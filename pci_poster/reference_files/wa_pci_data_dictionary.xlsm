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ink/ink1.xml" ContentType="application/inkml+xml"/>
  <Override PartName="/xl/drawings/drawing3.xml" ContentType="application/vnd.openxmlformats-officedocument.drawing+xml"/>
  <Override PartName="/xl/pivotTables/pivotTable2.xml" ContentType="application/vnd.openxmlformats-officedocument.spreadsheetml.pivotTable+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namedSheetViews/namedSheetView1.xml" ContentType="application/vnd.ms-excel.namedsheetviews+xml"/>
  <Override PartName="/xl/pivotTables/pivotTable3.xml" ContentType="application/vnd.openxmlformats-officedocument.spreadsheetml.pivot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ink/ink2.xml" ContentType="application/inkml+xml"/>
  <Override PartName="/xl/ink/ink3.xml" ContentType="application/inkml+xml"/>
  <Override PartName="/xl/pivotTables/pivotTable4.xml" ContentType="application/vnd.openxmlformats-officedocument.spreadsheetml.pivotTable+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C:\Users\he129975\Downloads\"/>
    </mc:Choice>
  </mc:AlternateContent>
  <xr:revisionPtr revIDLastSave="0" documentId="8_{402287D6-026A-4B59-B50A-752ADE489101}" xr6:coauthVersionLast="47" xr6:coauthVersionMax="47" xr10:uidLastSave="{00000000-0000-0000-0000-000000000000}"/>
  <bookViews>
    <workbookView xWindow="1125" yWindow="1125" windowWidth="38700" windowHeight="15195" tabRatio="656" firstSheet="11" activeTab="11" xr2:uid="{DD6339EF-F8DE-41CF-8E92-25DC337E58E4}"/>
  </bookViews>
  <sheets>
    <sheet name="Intro" sheetId="18" r:id="rId1"/>
    <sheet name="column_rules" sheetId="29" r:id="rId2"/>
    <sheet name="Column_rules_v2" sheetId="36" r:id="rId3"/>
    <sheet name="column_reliance" sheetId="34" r:id="rId4"/>
    <sheet name="PCI_registry_lookup" sheetId="35" r:id="rId5"/>
    <sheet name="sources" sheetId="28" r:id="rId6"/>
    <sheet name="source_summary" sheetId="23" r:id="rId7"/>
    <sheet name="change_log" sheetId="20" state="hidden" r:id="rId8"/>
    <sheet name="upload_notes" sheetId="1" state="hidden" r:id="rId9"/>
    <sheet name="Cardiobase PCI Indications" sheetId="3" state="hidden" r:id="rId10"/>
    <sheet name="indicator_elements" sheetId="27" state="hidden" r:id="rId11"/>
    <sheet name="data_elements" sheetId="17" r:id="rId12"/>
    <sheet name="NCR Indicators" sheetId="2" r:id="rId13"/>
    <sheet name="elements_for_indicators" sheetId="33" r:id="rId14"/>
    <sheet name="NCR Business Rules Impact" sheetId="37" r:id="rId15"/>
    <sheet name="NCR Col notes" sheetId="19" r:id="rId16"/>
    <sheet name="ncr_merged" sheetId="15" r:id="rId17"/>
    <sheet name="tranche_summary" sheetId="24" r:id="rId18"/>
    <sheet name="Tranche 2" sheetId="26" r:id="rId19"/>
    <sheet name="data_elements_bkp" sheetId="21" state="hidden" r:id="rId20"/>
    <sheet name="Disease Register Views" sheetId="25" r:id="rId21"/>
    <sheet name="cardiobase_field_list" sheetId="22" r:id="rId22"/>
    <sheet name="Sheet2" sheetId="30" r:id="rId23"/>
    <sheet name="Sheet3" sheetId="31" r:id="rId24"/>
  </sheets>
  <definedNames>
    <definedName name="_xlnm._FilterDatabase" localSheetId="11" hidden="1">data_elements!$A$2:$A$2</definedName>
    <definedName name="_xlnm._FilterDatabase" localSheetId="18" hidden="1">'Tranche 2'!$A$1:$E$25</definedName>
    <definedName name="ExternalData_11" localSheetId="16" hidden="1">ncr_merged!$A$2:$Z$186</definedName>
    <definedName name="_xlnm.Print_Area" localSheetId="11">data_elements!$A:$AB</definedName>
    <definedName name="_xlnm.Print_Area" localSheetId="19">data_elements_bkp!$A:$O</definedName>
    <definedName name="_xlnm.Print_Titles" localSheetId="11">data_elements!$1:$6</definedName>
    <definedName name="_xlnm.Print_Titles" localSheetId="19">data_elements_bkp!$1:$6</definedName>
    <definedName name="query__5" localSheetId="8" hidden="1">upload_notes!$E$1:$Y$163</definedName>
    <definedName name="wacor_data_elements">data_elements!$A$6:$AC$169</definedName>
  </definedNames>
  <calcPr calcId="191028"/>
  <pivotCaches>
    <pivotCache cacheId="0" r:id="rId2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29" i="17" l="1"/>
  <c r="D21" i="23"/>
  <c r="B16" i="23"/>
  <c r="D25" i="23"/>
  <c r="Q45" i="17"/>
  <c r="Q47" i="17"/>
  <c r="Q87" i="17"/>
  <c r="Q74" i="17"/>
  <c r="B4" i="23"/>
  <c r="C19" i="23"/>
  <c r="D24" i="23"/>
  <c r="D23" i="23"/>
  <c r="D22" i="23"/>
  <c r="C21" i="23"/>
  <c r="D20" i="23"/>
  <c r="C20" i="23"/>
  <c r="D19" i="23"/>
  <c r="C25" i="23"/>
  <c r="C24" i="23"/>
  <c r="C23" i="23"/>
  <c r="C22" i="23"/>
  <c r="B15" i="23"/>
  <c r="AM39" i="17"/>
  <c r="Q8" i="17"/>
  <c r="B10" i="23"/>
  <c r="B5" i="23"/>
  <c r="Q7" i="17"/>
  <c r="Q142" i="17"/>
  <c r="AM142" i="17"/>
  <c r="Q9" i="17"/>
  <c r="Q163" i="17"/>
  <c r="AM163" i="17"/>
  <c r="Q20" i="17"/>
  <c r="AM20" i="17"/>
  <c r="Q159" i="17"/>
  <c r="AM159" i="17"/>
  <c r="Q211" i="17"/>
  <c r="AM211" i="17"/>
  <c r="Q11" i="17"/>
  <c r="Q12" i="17"/>
  <c r="Q13" i="17"/>
  <c r="Q14" i="17"/>
  <c r="Q15" i="17"/>
  <c r="Q16" i="17"/>
  <c r="Q17" i="17"/>
  <c r="Q18" i="17"/>
  <c r="AM11" i="17"/>
  <c r="AM12" i="17"/>
  <c r="AM13" i="17"/>
  <c r="AM14" i="17"/>
  <c r="AM15" i="17"/>
  <c r="AM16" i="17"/>
  <c r="AM17" i="17"/>
  <c r="AM18" i="17"/>
  <c r="Q10" i="17"/>
  <c r="AM10" i="17"/>
  <c r="AM9" i="17"/>
  <c r="Q69" i="17"/>
  <c r="AM69" i="17"/>
  <c r="Q70" i="17"/>
  <c r="AM70" i="17"/>
  <c r="C6" i="33"/>
  <c r="C7" i="33"/>
  <c r="C8" i="33"/>
  <c r="C9" i="33"/>
  <c r="C10" i="33"/>
  <c r="C11" i="33"/>
  <c r="C12" i="33"/>
  <c r="C13" i="33"/>
  <c r="C14" i="33"/>
  <c r="C15" i="33"/>
  <c r="C16" i="33"/>
  <c r="C17" i="33"/>
  <c r="C18" i="33"/>
  <c r="C19" i="33"/>
  <c r="C20" i="33"/>
  <c r="C21" i="33"/>
  <c r="C22" i="33"/>
  <c r="C23" i="33"/>
  <c r="C24" i="33"/>
  <c r="C25" i="33"/>
  <c r="C26" i="33"/>
  <c r="C27" i="33"/>
  <c r="C28" i="33"/>
  <c r="C29" i="33"/>
  <c r="C30" i="33"/>
  <c r="C31" i="33"/>
  <c r="C32" i="33"/>
  <c r="C33" i="33"/>
  <c r="C34" i="33"/>
  <c r="C35" i="33"/>
  <c r="C36" i="33"/>
  <c r="C37" i="33"/>
  <c r="C38" i="33"/>
  <c r="C39" i="33"/>
  <c r="C40" i="33"/>
  <c r="C41" i="33"/>
  <c r="C42" i="33"/>
  <c r="C43" i="33"/>
  <c r="C44" i="33"/>
  <c r="C45" i="33"/>
  <c r="C46" i="33"/>
  <c r="C47" i="33"/>
  <c r="C48" i="33"/>
  <c r="C49" i="33"/>
  <c r="C50" i="33"/>
  <c r="C51" i="33"/>
  <c r="C52" i="33"/>
  <c r="C53" i="33"/>
  <c r="C54" i="33"/>
  <c r="C55" i="33"/>
  <c r="C56" i="33"/>
  <c r="C57" i="33"/>
  <c r="C58" i="33"/>
  <c r="C59" i="33"/>
  <c r="C60" i="33"/>
  <c r="C5" i="33"/>
  <c r="C26" i="23" l="1"/>
  <c r="D26" i="23"/>
  <c r="Q48" i="17"/>
  <c r="AM65" i="17"/>
  <c r="AM48" i="17"/>
  <c r="AM190" i="17"/>
  <c r="AM19" i="17"/>
  <c r="AM73" i="17"/>
  <c r="AM212" i="17"/>
  <c r="AM21" i="17"/>
  <c r="AM52" i="17"/>
  <c r="AM148" i="17"/>
  <c r="AM121" i="17"/>
  <c r="AM41" i="17"/>
  <c r="AM151" i="17"/>
  <c r="AM152" i="17"/>
  <c r="AM134" i="17"/>
  <c r="AM53" i="17"/>
  <c r="AM149" i="17"/>
  <c r="AM54" i="17"/>
  <c r="AM143" i="17"/>
  <c r="AM122" i="17"/>
  <c r="AM62" i="17"/>
  <c r="AM43" i="17"/>
  <c r="AM61" i="17"/>
  <c r="AM60" i="17"/>
  <c r="AM63" i="17"/>
  <c r="AM64" i="17"/>
  <c r="AM161" i="17"/>
  <c r="AM126" i="17"/>
  <c r="AM146" i="17"/>
  <c r="AM55" i="17"/>
  <c r="AM196" i="17"/>
  <c r="AM125" i="17"/>
  <c r="AM145" i="17"/>
  <c r="AM171" i="17"/>
  <c r="AM165" i="17"/>
  <c r="AM166" i="17"/>
  <c r="AM44" i="17"/>
  <c r="AM173" i="17"/>
  <c r="AM164" i="17"/>
  <c r="AM68" i="17"/>
  <c r="AM66" i="17"/>
  <c r="AM42" i="17"/>
  <c r="AM172" i="17"/>
  <c r="AM67" i="17"/>
  <c r="AM57" i="17"/>
  <c r="AM89" i="17"/>
  <c r="AM144" i="17"/>
  <c r="AM147" i="17"/>
  <c r="AM210" i="17"/>
  <c r="AM93" i="17"/>
  <c r="AM91" i="17"/>
  <c r="AM92" i="17"/>
  <c r="AM94" i="17"/>
  <c r="AM95" i="17"/>
  <c r="AM98" i="17"/>
  <c r="AM96" i="17"/>
  <c r="AM97" i="17"/>
  <c r="AM99" i="17"/>
  <c r="AM100" i="17"/>
  <c r="AM103" i="17"/>
  <c r="AM101" i="17"/>
  <c r="AM102" i="17"/>
  <c r="AM104" i="17"/>
  <c r="AM105" i="17"/>
  <c r="AM108" i="17"/>
  <c r="AM106" i="17"/>
  <c r="AM107" i="17"/>
  <c r="AM109" i="17"/>
  <c r="AM110" i="17"/>
  <c r="AM113" i="17"/>
  <c r="AM111" i="17"/>
  <c r="AM112" i="17"/>
  <c r="AM114" i="17"/>
  <c r="AM115" i="17"/>
  <c r="AM170" i="17"/>
  <c r="AM36" i="17"/>
  <c r="AM174" i="17"/>
  <c r="AM77" i="17"/>
  <c r="AM82" i="17"/>
  <c r="AM83" i="17"/>
  <c r="AM74" i="17"/>
  <c r="AM46" i="17"/>
  <c r="AM50" i="17"/>
  <c r="AM90" i="17"/>
  <c r="AM29" i="17"/>
  <c r="AM118" i="17"/>
  <c r="AM37" i="17"/>
  <c r="AM49" i="17"/>
  <c r="AM56" i="17"/>
  <c r="AM51" i="17"/>
  <c r="AM45" i="17"/>
  <c r="AM47" i="17"/>
  <c r="AM117" i="17"/>
  <c r="AM116" i="17"/>
  <c r="AM167" i="17"/>
  <c r="AM123" i="17"/>
  <c r="AM124" i="17"/>
  <c r="AM30" i="17"/>
  <c r="AM153" i="17"/>
  <c r="AM128" i="17"/>
  <c r="AM203" i="17"/>
  <c r="AM22" i="17"/>
  <c r="AM31" i="17"/>
  <c r="AM154" i="17"/>
  <c r="AM129" i="17"/>
  <c r="AM137" i="17"/>
  <c r="AM204" i="17"/>
  <c r="AM181" i="17"/>
  <c r="AM23" i="17"/>
  <c r="AM198" i="17"/>
  <c r="AM32" i="17"/>
  <c r="AM155" i="17"/>
  <c r="AM130" i="17"/>
  <c r="AM138" i="17"/>
  <c r="AM205" i="17"/>
  <c r="AM182" i="17"/>
  <c r="AM24" i="17"/>
  <c r="AM199" i="17"/>
  <c r="AM33" i="17"/>
  <c r="AM156" i="17"/>
  <c r="AM131" i="17"/>
  <c r="AM139" i="17"/>
  <c r="AM186" i="17"/>
  <c r="AM25" i="17"/>
  <c r="AM200" i="17"/>
  <c r="AM34" i="17"/>
  <c r="AM157" i="17"/>
  <c r="AM132" i="17"/>
  <c r="AM140" i="17"/>
  <c r="AM207" i="17"/>
  <c r="AM187" i="17"/>
  <c r="AM26" i="17"/>
  <c r="AM201" i="17"/>
  <c r="AM35" i="17"/>
  <c r="AM158" i="17"/>
  <c r="AM133" i="17"/>
  <c r="AM141" i="17"/>
  <c r="AM27" i="17"/>
  <c r="AM202" i="17"/>
  <c r="AM180" i="17"/>
  <c r="AM179" i="17"/>
  <c r="AM176" i="17"/>
  <c r="AM177" i="17"/>
  <c r="AM193" i="17"/>
  <c r="AM191" i="17"/>
  <c r="AM185" i="17"/>
  <c r="AM184" i="17"/>
  <c r="AM183" i="17"/>
  <c r="AM188" i="17"/>
  <c r="AM169" i="17"/>
  <c r="AM120" i="17"/>
  <c r="AM127" i="17"/>
  <c r="AM160" i="17"/>
  <c r="AM88" i="17"/>
  <c r="AM119" i="17"/>
  <c r="AM71" i="17"/>
  <c r="AM150" i="17"/>
  <c r="AM209" i="17"/>
  <c r="AM28" i="17"/>
  <c r="AM162" i="17"/>
  <c r="AM178" i="17"/>
  <c r="AM194" i="17"/>
  <c r="AM195" i="17"/>
  <c r="B12" i="23" l="1"/>
  <c r="B13" i="23"/>
  <c r="Q65" i="17"/>
  <c r="Q190" i="17"/>
  <c r="Q19" i="17"/>
  <c r="Q73" i="17"/>
  <c r="Q212" i="17"/>
  <c r="Q21" i="17"/>
  <c r="Q52" i="17"/>
  <c r="Q192" i="17"/>
  <c r="Q121" i="17"/>
  <c r="Q38" i="17"/>
  <c r="Q41" i="17"/>
  <c r="Q151" i="17"/>
  <c r="Q152" i="17"/>
  <c r="Q134" i="17"/>
  <c r="Q53" i="17"/>
  <c r="Q149" i="17"/>
  <c r="Q54" i="17"/>
  <c r="Q143" i="17"/>
  <c r="Q122" i="17"/>
  <c r="Q62" i="17"/>
  <c r="Q43" i="17"/>
  <c r="Q61" i="17"/>
  <c r="Q59" i="17"/>
  <c r="Q60" i="17"/>
  <c r="Q63" i="17"/>
  <c r="Q64" i="17"/>
  <c r="Q161" i="17"/>
  <c r="Q126" i="17"/>
  <c r="Q146" i="17"/>
  <c r="Q55" i="17"/>
  <c r="Q196" i="17"/>
  <c r="Q125" i="17"/>
  <c r="Q84" i="17"/>
  <c r="Q145" i="17"/>
  <c r="Q39" i="17"/>
  <c r="Q171" i="17"/>
  <c r="Q165" i="17"/>
  <c r="Q40" i="17"/>
  <c r="Q166" i="17"/>
  <c r="Q44" i="17"/>
  <c r="Q173" i="17"/>
  <c r="Q164" i="17"/>
  <c r="Q68" i="17"/>
  <c r="Q66" i="17"/>
  <c r="Q42" i="17"/>
  <c r="Q172" i="17"/>
  <c r="Q67" i="17"/>
  <c r="Q57" i="17"/>
  <c r="Q89" i="17"/>
  <c r="Q135" i="17"/>
  <c r="Q144" i="17"/>
  <c r="Q147" i="17"/>
  <c r="Q210" i="17"/>
  <c r="Q93" i="17"/>
  <c r="Q91" i="17"/>
  <c r="Q92" i="17"/>
  <c r="Q94" i="17"/>
  <c r="Q95" i="17"/>
  <c r="Q98" i="17"/>
  <c r="Q96" i="17"/>
  <c r="Q97" i="17"/>
  <c r="Q99" i="17"/>
  <c r="Q100" i="17"/>
  <c r="Q103" i="17"/>
  <c r="Q101" i="17"/>
  <c r="Q102" i="17"/>
  <c r="Q104" i="17"/>
  <c r="Q105" i="17"/>
  <c r="Q108" i="17"/>
  <c r="Q106" i="17"/>
  <c r="Q107" i="17"/>
  <c r="Q109" i="17"/>
  <c r="Q110" i="17"/>
  <c r="Q113" i="17"/>
  <c r="Q111" i="17"/>
  <c r="Q112" i="17"/>
  <c r="Q114" i="17"/>
  <c r="Q115" i="17"/>
  <c r="Q170" i="17"/>
  <c r="Q36" i="17"/>
  <c r="Q174" i="17"/>
  <c r="Q77" i="17"/>
  <c r="Q79" i="17"/>
  <c r="Q80" i="17"/>
  <c r="Q85" i="17"/>
  <c r="Q76" i="17"/>
  <c r="Q78" i="17"/>
  <c r="Q86" i="17"/>
  <c r="Q82" i="17"/>
  <c r="Q83" i="17"/>
  <c r="Q75" i="17"/>
  <c r="Q81" i="17"/>
  <c r="Q46" i="17"/>
  <c r="Q50" i="17"/>
  <c r="Q90" i="17"/>
  <c r="Q118" i="17"/>
  <c r="Q37" i="17"/>
  <c r="Q49" i="17"/>
  <c r="Q56" i="17"/>
  <c r="Q51" i="17"/>
  <c r="Q168" i="17"/>
  <c r="Q117" i="17"/>
  <c r="Q116" i="17"/>
  <c r="Q167" i="17"/>
  <c r="Q123" i="17"/>
  <c r="Q124" i="17"/>
  <c r="Q30" i="17"/>
  <c r="Q153" i="17"/>
  <c r="Q128" i="17"/>
  <c r="Q136" i="17"/>
  <c r="Q203" i="17"/>
  <c r="Q175" i="17"/>
  <c r="Q22" i="17"/>
  <c r="Q197" i="17"/>
  <c r="Q31" i="17"/>
  <c r="Q154" i="17"/>
  <c r="Q129" i="17"/>
  <c r="Q137" i="17"/>
  <c r="Q204" i="17"/>
  <c r="Q181" i="17"/>
  <c r="Q23" i="17"/>
  <c r="Q198" i="17"/>
  <c r="Q32" i="17"/>
  <c r="Q155" i="17"/>
  <c r="Q130" i="17"/>
  <c r="Q138" i="17"/>
  <c r="Q205" i="17"/>
  <c r="Q182" i="17"/>
  <c r="Q24" i="17"/>
  <c r="Q199" i="17"/>
  <c r="Q33" i="17"/>
  <c r="Q156" i="17"/>
  <c r="Q131" i="17"/>
  <c r="Q139" i="17"/>
  <c r="Q206" i="17"/>
  <c r="Q186" i="17"/>
  <c r="Q25" i="17"/>
  <c r="Q200" i="17"/>
  <c r="Q34" i="17"/>
  <c r="Q157" i="17"/>
  <c r="Q132" i="17"/>
  <c r="Q140" i="17"/>
  <c r="Q207" i="17"/>
  <c r="Q187" i="17"/>
  <c r="Q26" i="17"/>
  <c r="Q201" i="17"/>
  <c r="Q35" i="17"/>
  <c r="Q158" i="17"/>
  <c r="Q133" i="17"/>
  <c r="Q141" i="17"/>
  <c r="Q208" i="17"/>
  <c r="Q189" i="17"/>
  <c r="Q27" i="17"/>
  <c r="Q202" i="17"/>
  <c r="Q180" i="17"/>
  <c r="Q179" i="17"/>
  <c r="Q176" i="17"/>
  <c r="Q177" i="17"/>
  <c r="Q193" i="17"/>
  <c r="Q191" i="17"/>
  <c r="Q185" i="17"/>
  <c r="Q184" i="17"/>
  <c r="Q183" i="17"/>
  <c r="Q188" i="17"/>
  <c r="Q169" i="17"/>
  <c r="Q120" i="17"/>
  <c r="Q127" i="17"/>
  <c r="Q160" i="17"/>
  <c r="Q88" i="17"/>
  <c r="Q72" i="17"/>
  <c r="Q119" i="17"/>
  <c r="Q71" i="17"/>
  <c r="Q150" i="17"/>
  <c r="Q209" i="17"/>
  <c r="Q28" i="17"/>
  <c r="Q162" i="17"/>
  <c r="Q178" i="17"/>
  <c r="Q194" i="17"/>
  <c r="Q195" i="17"/>
  <c r="L28" i="23" l="1"/>
  <c r="L27" i="23"/>
  <c r="L26" i="23"/>
  <c r="L25" i="23"/>
  <c r="L24" i="23"/>
  <c r="L23" i="23"/>
  <c r="L22" i="23"/>
  <c r="L21" i="23"/>
  <c r="L20" i="23"/>
  <c r="K6" i="23"/>
  <c r="K28" i="23"/>
  <c r="K27" i="23"/>
  <c r="K26" i="23"/>
  <c r="K25" i="23"/>
  <c r="K24" i="23"/>
  <c r="K23" i="23"/>
  <c r="K22" i="23"/>
  <c r="K21" i="23"/>
  <c r="K20" i="23"/>
  <c r="K12" i="23"/>
  <c r="K11" i="23"/>
  <c r="K14" i="23"/>
  <c r="K10" i="23"/>
  <c r="K13" i="23"/>
  <c r="K7" i="23"/>
  <c r="K15" i="23"/>
  <c r="K8" i="23"/>
  <c r="K16" i="23"/>
  <c r="K9" i="23"/>
  <c r="K29" i="23" l="1"/>
  <c r="L29" i="23"/>
  <c r="K17" i="23"/>
  <c r="AF25" i="17"/>
  <c r="AF26" i="17" s="1"/>
  <c r="AF27" i="17" s="1"/>
  <c r="AF131" i="17"/>
  <c r="AF32" i="17" l="1"/>
  <c r="AF33" i="17" s="1"/>
  <c r="AF34" i="17" s="1"/>
  <c r="AF35" i="17"/>
  <c r="AF132" i="17"/>
  <c r="AF139" i="17" s="1"/>
  <c r="AF157" i="17"/>
  <c r="AF158" i="17" s="1"/>
  <c r="L16" i="23"/>
  <c r="AH25" i="17"/>
  <c r="AH26" i="17" s="1"/>
  <c r="AH27" i="17" s="1"/>
  <c r="AH129" i="17"/>
  <c r="AH31" i="17"/>
  <c r="AC114" i="17"/>
  <c r="AC109" i="17"/>
  <c r="AC104" i="17"/>
  <c r="AC99" i="17"/>
  <c r="M114" i="17"/>
  <c r="M109" i="17"/>
  <c r="M104" i="17"/>
  <c r="M99" i="17"/>
  <c r="AH32" i="17" l="1"/>
  <c r="AH33" i="17" s="1"/>
  <c r="AF133" i="17"/>
  <c r="AF140" i="17" s="1"/>
  <c r="AF141" i="17" s="1"/>
  <c r="AF155" i="17" s="1"/>
  <c r="AF156" i="17" s="1"/>
  <c r="AH130" i="17"/>
  <c r="AH137" i="17" s="1"/>
  <c r="AH131" i="17"/>
  <c r="AH34" i="17"/>
  <c r="B8" i="23"/>
  <c r="B7" i="23"/>
  <c r="P2" i="17"/>
  <c r="M189" i="21" a="1"/>
  <c r="M189" i="21" s="1"/>
  <c r="K189" i="21"/>
  <c r="J189" i="21"/>
  <c r="I189" i="21"/>
  <c r="H189" i="21"/>
  <c r="G189" i="21"/>
  <c r="F189" i="21"/>
  <c r="E189" i="21"/>
  <c r="B189" i="21" a="1"/>
  <c r="B189" i="21" s="1"/>
  <c r="A7" i="21" a="1"/>
  <c r="I87" i="21" s="1"/>
  <c r="M7" i="18"/>
  <c r="AH138" i="17" l="1"/>
  <c r="AH35" i="17"/>
  <c r="D2" i="21"/>
  <c r="K8" i="21"/>
  <c r="K16" i="21"/>
  <c r="J19" i="21"/>
  <c r="M21" i="21" a="1"/>
  <c r="M21" i="21" s="1"/>
  <c r="B24" i="21" a="1"/>
  <c r="B24" i="21" s="1"/>
  <c r="H25" i="21"/>
  <c r="H28" i="21"/>
  <c r="I39" i="21"/>
  <c r="B57" i="21" a="1"/>
  <c r="B57" i="21" s="1"/>
  <c r="M8" i="21" a="1"/>
  <c r="M8" i="21" s="1"/>
  <c r="I9" i="21"/>
  <c r="F10" i="21"/>
  <c r="B11" i="21" a="1"/>
  <c r="B11" i="21" s="1"/>
  <c r="K11" i="21"/>
  <c r="H12" i="21"/>
  <c r="E13" i="21"/>
  <c r="J14" i="21"/>
  <c r="G15" i="21"/>
  <c r="M16" i="21" a="1"/>
  <c r="M16" i="21" s="1"/>
  <c r="I17" i="21"/>
  <c r="F18" i="21"/>
  <c r="B19" i="21" a="1"/>
  <c r="B19" i="21" s="1"/>
  <c r="K19" i="21"/>
  <c r="H20" i="21"/>
  <c r="E21" i="21"/>
  <c r="J22" i="21"/>
  <c r="G23" i="21"/>
  <c r="M24" i="21" a="1"/>
  <c r="M24" i="21" s="1"/>
  <c r="I25" i="21"/>
  <c r="F26" i="21"/>
  <c r="B27" i="21" a="1"/>
  <c r="B27" i="21" s="1"/>
  <c r="K27" i="21"/>
  <c r="J28" i="21"/>
  <c r="H34" i="21"/>
  <c r="F40" i="21"/>
  <c r="K57" i="21"/>
  <c r="I63" i="21"/>
  <c r="G69" i="21"/>
  <c r="E75" i="21"/>
  <c r="B81" i="21" a="1"/>
  <c r="B81" i="21" s="1"/>
  <c r="M86" i="21" a="1"/>
  <c r="M86" i="21" s="1"/>
  <c r="H9" i="21"/>
  <c r="M13" i="21" a="1"/>
  <c r="M13" i="21" s="1"/>
  <c r="H17" i="21"/>
  <c r="G20" i="21"/>
  <c r="F23" i="21"/>
  <c r="K24" i="21"/>
  <c r="E26" i="21"/>
  <c r="J27" i="21"/>
  <c r="K33" i="21"/>
  <c r="G45" i="21"/>
  <c r="J68" i="21"/>
  <c r="E8" i="21"/>
  <c r="J9" i="21"/>
  <c r="G10" i="21"/>
  <c r="M11" i="21" a="1"/>
  <c r="M11" i="21" s="1"/>
  <c r="I12" i="21"/>
  <c r="F13" i="21"/>
  <c r="B14" i="21" a="1"/>
  <c r="B14" i="21" s="1"/>
  <c r="K14" i="21"/>
  <c r="H15" i="21"/>
  <c r="E16" i="21"/>
  <c r="J17" i="21"/>
  <c r="G18" i="21"/>
  <c r="M19" i="21" a="1"/>
  <c r="M19" i="21" s="1"/>
  <c r="I20" i="21"/>
  <c r="F21" i="21"/>
  <c r="B22" i="21" a="1"/>
  <c r="B22" i="21" s="1"/>
  <c r="K22" i="21"/>
  <c r="H23" i="21"/>
  <c r="E24" i="21"/>
  <c r="J25" i="21"/>
  <c r="G26" i="21"/>
  <c r="M27" i="21" a="1"/>
  <c r="M27" i="21" s="1"/>
  <c r="G29" i="21"/>
  <c r="E35" i="21"/>
  <c r="B41" i="21" a="1"/>
  <c r="B41" i="21" s="1"/>
  <c r="M46" i="21" a="1"/>
  <c r="M46" i="21" s="1"/>
  <c r="J52" i="21"/>
  <c r="H58" i="21"/>
  <c r="F64" i="21"/>
  <c r="K81" i="21"/>
  <c r="H188" i="21"/>
  <c r="K187" i="21"/>
  <c r="B187" i="21" a="1"/>
  <c r="B187" i="21" s="1"/>
  <c r="F186" i="21"/>
  <c r="I185" i="21"/>
  <c r="M184" i="21" a="1"/>
  <c r="M184" i="21" s="1"/>
  <c r="G183" i="21"/>
  <c r="J182" i="21"/>
  <c r="E181" i="21"/>
  <c r="H180" i="21"/>
  <c r="K179" i="21"/>
  <c r="B179" i="21" a="1"/>
  <c r="B179" i="21" s="1"/>
  <c r="F178" i="21"/>
  <c r="I177" i="21"/>
  <c r="M176" i="21" a="1"/>
  <c r="M176" i="21" s="1"/>
  <c r="G175" i="21"/>
  <c r="J174" i="21"/>
  <c r="E173" i="21"/>
  <c r="H172" i="21"/>
  <c r="K171" i="21"/>
  <c r="B171" i="21" a="1"/>
  <c r="B171" i="21" s="1"/>
  <c r="F170" i="21"/>
  <c r="I169" i="21"/>
  <c r="M168" i="21" a="1"/>
  <c r="M168" i="21" s="1"/>
  <c r="G188" i="21"/>
  <c r="J187" i="21"/>
  <c r="E186" i="21"/>
  <c r="H185" i="21"/>
  <c r="K184" i="21"/>
  <c r="B184" i="21" a="1"/>
  <c r="B184" i="21" s="1"/>
  <c r="F183" i="21"/>
  <c r="I182" i="21"/>
  <c r="M181" i="21" a="1"/>
  <c r="M181" i="21" s="1"/>
  <c r="G180" i="21"/>
  <c r="J179" i="21"/>
  <c r="E178" i="21"/>
  <c r="H177" i="21"/>
  <c r="K176" i="21"/>
  <c r="B176" i="21" a="1"/>
  <c r="B176" i="21" s="1"/>
  <c r="F175" i="21"/>
  <c r="I174" i="21"/>
  <c r="M173" i="21" a="1"/>
  <c r="M173" i="21" s="1"/>
  <c r="G172" i="21"/>
  <c r="J171" i="21"/>
  <c r="E170" i="21"/>
  <c r="H169" i="21"/>
  <c r="K168" i="21"/>
  <c r="B168" i="21" a="1"/>
  <c r="B168" i="21" s="1"/>
  <c r="F167" i="21"/>
  <c r="I166" i="21"/>
  <c r="M165" i="21" a="1"/>
  <c r="M165" i="21" s="1"/>
  <c r="G164" i="21"/>
  <c r="J163" i="21"/>
  <c r="E162" i="21"/>
  <c r="H161" i="21"/>
  <c r="K160" i="21"/>
  <c r="B160" i="21" a="1"/>
  <c r="B160" i="21" s="1"/>
  <c r="F159" i="21"/>
  <c r="I158" i="21"/>
  <c r="M157" i="21" a="1"/>
  <c r="M157" i="21" s="1"/>
  <c r="G156" i="21"/>
  <c r="J155" i="21"/>
  <c r="E154" i="21"/>
  <c r="H153" i="21"/>
  <c r="K152" i="21"/>
  <c r="B152" i="21" a="1"/>
  <c r="B152" i="21" s="1"/>
  <c r="F151" i="21"/>
  <c r="I150" i="21"/>
  <c r="M149" i="21" a="1"/>
  <c r="M149" i="21" s="1"/>
  <c r="G148" i="21"/>
  <c r="J147" i="21"/>
  <c r="E146" i="21"/>
  <c r="H145" i="21"/>
  <c r="K144" i="21"/>
  <c r="B144" i="21" a="1"/>
  <c r="B144" i="21" s="1"/>
  <c r="F143" i="21"/>
  <c r="I142" i="21"/>
  <c r="M141" i="21" a="1"/>
  <c r="M141" i="21" s="1"/>
  <c r="G140" i="21"/>
  <c r="J139" i="21"/>
  <c r="E138" i="21"/>
  <c r="H137" i="21"/>
  <c r="K136" i="21"/>
  <c r="B136" i="21" a="1"/>
  <c r="B136" i="21" s="1"/>
  <c r="F135" i="21"/>
  <c r="I134" i="21"/>
  <c r="M133" i="21" a="1"/>
  <c r="M133" i="21" s="1"/>
  <c r="G132" i="21"/>
  <c r="J131" i="21"/>
  <c r="E130" i="21"/>
  <c r="H129" i="21"/>
  <c r="K128" i="21"/>
  <c r="B128" i="21" a="1"/>
  <c r="B128" i="21" s="1"/>
  <c r="F127" i="21"/>
  <c r="F188" i="21"/>
  <c r="I187" i="21"/>
  <c r="M186" i="21" a="1"/>
  <c r="M186" i="21" s="1"/>
  <c r="G185" i="21"/>
  <c r="J184" i="21"/>
  <c r="E183" i="21"/>
  <c r="H182" i="21"/>
  <c r="K181" i="21"/>
  <c r="B181" i="21" a="1"/>
  <c r="B181" i="21" s="1"/>
  <c r="F180" i="21"/>
  <c r="I179" i="21"/>
  <c r="M178" i="21" a="1"/>
  <c r="M178" i="21" s="1"/>
  <c r="G177" i="21"/>
  <c r="J176" i="21"/>
  <c r="E175" i="21"/>
  <c r="H174" i="21"/>
  <c r="K173" i="21"/>
  <c r="B173" i="21" a="1"/>
  <c r="B173" i="21" s="1"/>
  <c r="F172" i="21"/>
  <c r="I171" i="21"/>
  <c r="M170" i="21" a="1"/>
  <c r="M170" i="21" s="1"/>
  <c r="G169" i="21"/>
  <c r="J168" i="21"/>
  <c r="E167" i="21"/>
  <c r="H166" i="21"/>
  <c r="K165" i="21"/>
  <c r="B165" i="21" a="1"/>
  <c r="B165" i="21" s="1"/>
  <c r="F164" i="21"/>
  <c r="I163" i="21"/>
  <c r="M162" i="21" a="1"/>
  <c r="M162" i="21" s="1"/>
  <c r="G161" i="21"/>
  <c r="J160" i="21"/>
  <c r="E159" i="21"/>
  <c r="H158" i="21"/>
  <c r="K157" i="21"/>
  <c r="B157" i="21" a="1"/>
  <c r="B157" i="21" s="1"/>
  <c r="F156" i="21"/>
  <c r="I155" i="21"/>
  <c r="M154" i="21" a="1"/>
  <c r="M154" i="21" s="1"/>
  <c r="G153" i="21"/>
  <c r="J152" i="21"/>
  <c r="E151" i="21"/>
  <c r="H150" i="21"/>
  <c r="K149" i="21"/>
  <c r="B149" i="21" a="1"/>
  <c r="B149" i="21" s="1"/>
  <c r="F148" i="21"/>
  <c r="I147" i="21"/>
  <c r="M146" i="21" a="1"/>
  <c r="M146" i="21" s="1"/>
  <c r="G145" i="21"/>
  <c r="J144" i="21"/>
  <c r="E143" i="21"/>
  <c r="H142" i="21"/>
  <c r="K141" i="21"/>
  <c r="B141" i="21" a="1"/>
  <c r="B141" i="21" s="1"/>
  <c r="F140" i="21"/>
  <c r="I139" i="21"/>
  <c r="M138" i="21" a="1"/>
  <c r="M138" i="21" s="1"/>
  <c r="G137" i="21"/>
  <c r="J136" i="21"/>
  <c r="E135" i="21"/>
  <c r="H134" i="21"/>
  <c r="K133" i="21"/>
  <c r="B133" i="21" a="1"/>
  <c r="B133" i="21" s="1"/>
  <c r="E188" i="21"/>
  <c r="H187" i="21"/>
  <c r="K186" i="21"/>
  <c r="B186" i="21" a="1"/>
  <c r="B186" i="21" s="1"/>
  <c r="F185" i="21"/>
  <c r="I184" i="21"/>
  <c r="M183" i="21" a="1"/>
  <c r="M183" i="21" s="1"/>
  <c r="G182" i="21"/>
  <c r="J181" i="21"/>
  <c r="E180" i="21"/>
  <c r="H179" i="21"/>
  <c r="K178" i="21"/>
  <c r="B178" i="21" a="1"/>
  <c r="B178" i="21" s="1"/>
  <c r="F177" i="21"/>
  <c r="I176" i="21"/>
  <c r="M175" i="21" a="1"/>
  <c r="M175" i="21" s="1"/>
  <c r="G174" i="21"/>
  <c r="J173" i="21"/>
  <c r="E172" i="21"/>
  <c r="H171" i="21"/>
  <c r="K170" i="21"/>
  <c r="B170" i="21" a="1"/>
  <c r="B170" i="21" s="1"/>
  <c r="F169" i="21"/>
  <c r="I168" i="21"/>
  <c r="M167" i="21" a="1"/>
  <c r="M167" i="21" s="1"/>
  <c r="G166" i="21"/>
  <c r="J165" i="21"/>
  <c r="E164" i="21"/>
  <c r="H163" i="21"/>
  <c r="K162" i="21"/>
  <c r="B162" i="21" a="1"/>
  <c r="B162" i="21" s="1"/>
  <c r="F161" i="21"/>
  <c r="I160" i="21"/>
  <c r="M159" i="21" a="1"/>
  <c r="M159" i="21" s="1"/>
  <c r="G158" i="21"/>
  <c r="J157" i="21"/>
  <c r="E156" i="21"/>
  <c r="H155" i="21"/>
  <c r="K154" i="21"/>
  <c r="B154" i="21" a="1"/>
  <c r="B154" i="21" s="1"/>
  <c r="F153" i="21"/>
  <c r="I152" i="21"/>
  <c r="M151" i="21" a="1"/>
  <c r="M151" i="21" s="1"/>
  <c r="G150" i="21"/>
  <c r="J149" i="21"/>
  <c r="E148" i="21"/>
  <c r="H147" i="21"/>
  <c r="K146" i="21"/>
  <c r="B146" i="21" a="1"/>
  <c r="B146" i="21" s="1"/>
  <c r="F145" i="21"/>
  <c r="I144" i="21"/>
  <c r="M143" i="21" a="1"/>
  <c r="M143" i="21" s="1"/>
  <c r="G142" i="21"/>
  <c r="J141" i="21"/>
  <c r="E140" i="21"/>
  <c r="H139" i="21"/>
  <c r="K138" i="21"/>
  <c r="B138" i="21" a="1"/>
  <c r="B138" i="21" s="1"/>
  <c r="F137" i="21"/>
  <c r="I136" i="21"/>
  <c r="M135" i="21" a="1"/>
  <c r="M135" i="21" s="1"/>
  <c r="G134" i="21"/>
  <c r="J133" i="21"/>
  <c r="E132" i="21"/>
  <c r="H131" i="21"/>
  <c r="K130" i="21"/>
  <c r="B130" i="21" a="1"/>
  <c r="B130" i="21" s="1"/>
  <c r="F129" i="21"/>
  <c r="I128" i="21"/>
  <c r="M127" i="21" a="1"/>
  <c r="M127" i="21" s="1"/>
  <c r="M188" i="21" a="1"/>
  <c r="M188" i="21" s="1"/>
  <c r="G187" i="21"/>
  <c r="J186" i="21"/>
  <c r="E185" i="21"/>
  <c r="H184" i="21"/>
  <c r="K183" i="21"/>
  <c r="B183" i="21" a="1"/>
  <c r="B183" i="21" s="1"/>
  <c r="F182" i="21"/>
  <c r="I181" i="21"/>
  <c r="M180" i="21" a="1"/>
  <c r="M180" i="21" s="1"/>
  <c r="G179" i="21"/>
  <c r="J178" i="21"/>
  <c r="E177" i="21"/>
  <c r="H176" i="21"/>
  <c r="K175" i="21"/>
  <c r="B175" i="21" a="1"/>
  <c r="B175" i="21" s="1"/>
  <c r="F174" i="21"/>
  <c r="I173" i="21"/>
  <c r="M172" i="21" a="1"/>
  <c r="M172" i="21" s="1"/>
  <c r="G171" i="21"/>
  <c r="J170" i="21"/>
  <c r="E169" i="21"/>
  <c r="H168" i="21"/>
  <c r="K167" i="21"/>
  <c r="B167" i="21" a="1"/>
  <c r="B167" i="21" s="1"/>
  <c r="F166" i="21"/>
  <c r="I165" i="21"/>
  <c r="M164" i="21" a="1"/>
  <c r="M164" i="21" s="1"/>
  <c r="G163" i="21"/>
  <c r="J162" i="21"/>
  <c r="E161" i="21"/>
  <c r="H160" i="21"/>
  <c r="K159" i="21"/>
  <c r="B159" i="21" a="1"/>
  <c r="B159" i="21" s="1"/>
  <c r="F158" i="21"/>
  <c r="I157" i="21"/>
  <c r="M156" i="21" a="1"/>
  <c r="M156" i="21" s="1"/>
  <c r="G155" i="21"/>
  <c r="J154" i="21"/>
  <c r="E153" i="21"/>
  <c r="H152" i="21"/>
  <c r="K151" i="21"/>
  <c r="B151" i="21" a="1"/>
  <c r="B151" i="21" s="1"/>
  <c r="F150" i="21"/>
  <c r="I149" i="21"/>
  <c r="M148" i="21" a="1"/>
  <c r="M148" i="21" s="1"/>
  <c r="G147" i="21"/>
  <c r="J146" i="21"/>
  <c r="E145" i="21"/>
  <c r="H144" i="21"/>
  <c r="K143" i="21"/>
  <c r="K188" i="21"/>
  <c r="B188" i="21" a="1"/>
  <c r="B188" i="21" s="1"/>
  <c r="F187" i="21"/>
  <c r="I186" i="21"/>
  <c r="M185" i="21" a="1"/>
  <c r="M185" i="21" s="1"/>
  <c r="G184" i="21"/>
  <c r="J183" i="21"/>
  <c r="E182" i="21"/>
  <c r="H181" i="21"/>
  <c r="K180" i="21"/>
  <c r="B180" i="21" a="1"/>
  <c r="B180" i="21" s="1"/>
  <c r="F179" i="21"/>
  <c r="I178" i="21"/>
  <c r="M177" i="21" a="1"/>
  <c r="M177" i="21" s="1"/>
  <c r="G176" i="21"/>
  <c r="J175" i="21"/>
  <c r="E174" i="21"/>
  <c r="H173" i="21"/>
  <c r="K172" i="21"/>
  <c r="B172" i="21" a="1"/>
  <c r="B172" i="21" s="1"/>
  <c r="F171" i="21"/>
  <c r="I170" i="21"/>
  <c r="M169" i="21" a="1"/>
  <c r="M169" i="21" s="1"/>
  <c r="G168" i="21"/>
  <c r="J167" i="21"/>
  <c r="E166" i="21"/>
  <c r="H165" i="21"/>
  <c r="K164" i="21"/>
  <c r="B164" i="21" a="1"/>
  <c r="B164" i="21" s="1"/>
  <c r="F163" i="21"/>
  <c r="I162" i="21"/>
  <c r="M161" i="21" a="1"/>
  <c r="M161" i="21" s="1"/>
  <c r="G160" i="21"/>
  <c r="J159" i="21"/>
  <c r="E158" i="21"/>
  <c r="H157" i="21"/>
  <c r="K156" i="21"/>
  <c r="B156" i="21" a="1"/>
  <c r="B156" i="21" s="1"/>
  <c r="F155" i="21"/>
  <c r="I154" i="21"/>
  <c r="M153" i="21" a="1"/>
  <c r="M153" i="21" s="1"/>
  <c r="G152" i="21"/>
  <c r="J151" i="21"/>
  <c r="E150" i="21"/>
  <c r="H149" i="21"/>
  <c r="K148" i="21"/>
  <c r="B148" i="21" a="1"/>
  <c r="B148" i="21" s="1"/>
  <c r="F147" i="21"/>
  <c r="I146" i="21"/>
  <c r="M145" i="21" a="1"/>
  <c r="M145" i="21" s="1"/>
  <c r="G144" i="21"/>
  <c r="J143" i="21"/>
  <c r="E142" i="21"/>
  <c r="J188" i="21"/>
  <c r="G186" i="21"/>
  <c r="H183" i="21"/>
  <c r="I180" i="21"/>
  <c r="J177" i="21"/>
  <c r="K174" i="21"/>
  <c r="M171" i="21" a="1"/>
  <c r="M171" i="21" s="1"/>
  <c r="J166" i="21"/>
  <c r="I164" i="21"/>
  <c r="H162" i="21"/>
  <c r="M160" i="21" a="1"/>
  <c r="M160" i="21" s="1"/>
  <c r="K158" i="21"/>
  <c r="J156" i="21"/>
  <c r="B155" i="21" a="1"/>
  <c r="B155" i="21" s="1"/>
  <c r="M150" i="21" a="1"/>
  <c r="M150" i="21" s="1"/>
  <c r="E149" i="21"/>
  <c r="B145" i="21" a="1"/>
  <c r="B145" i="21" s="1"/>
  <c r="G143" i="21"/>
  <c r="J140" i="21"/>
  <c r="G139" i="21"/>
  <c r="G138" i="21"/>
  <c r="M134" i="21" a="1"/>
  <c r="M134" i="21" s="1"/>
  <c r="I133" i="21"/>
  <c r="I132" i="21"/>
  <c r="I131" i="21"/>
  <c r="I130" i="21"/>
  <c r="J129" i="21"/>
  <c r="J128" i="21"/>
  <c r="J127" i="21"/>
  <c r="M126" i="21" a="1"/>
  <c r="M126" i="21" s="1"/>
  <c r="G125" i="21"/>
  <c r="J124" i="21"/>
  <c r="E123" i="21"/>
  <c r="H122" i="21"/>
  <c r="K121" i="21"/>
  <c r="B121" i="21" a="1"/>
  <c r="B121" i="21" s="1"/>
  <c r="F120" i="21"/>
  <c r="I119" i="21"/>
  <c r="M118" i="21" a="1"/>
  <c r="M118" i="21" s="1"/>
  <c r="G117" i="21"/>
  <c r="J116" i="21"/>
  <c r="E115" i="21"/>
  <c r="H114" i="21"/>
  <c r="K113" i="21"/>
  <c r="B113" i="21" a="1"/>
  <c r="B113" i="21" s="1"/>
  <c r="F112" i="21"/>
  <c r="I111" i="21"/>
  <c r="M110" i="21" a="1"/>
  <c r="M110" i="21" s="1"/>
  <c r="G109" i="21"/>
  <c r="J108" i="21"/>
  <c r="E107" i="21"/>
  <c r="H106" i="21"/>
  <c r="K105" i="21"/>
  <c r="B105" i="21" a="1"/>
  <c r="B105" i="21" s="1"/>
  <c r="F104" i="21"/>
  <c r="I103" i="21"/>
  <c r="M102" i="21" a="1"/>
  <c r="M102" i="21" s="1"/>
  <c r="G101" i="21"/>
  <c r="J100" i="21"/>
  <c r="E99" i="21"/>
  <c r="H98" i="21"/>
  <c r="K97" i="21"/>
  <c r="B97" i="21" a="1"/>
  <c r="B97" i="21" s="1"/>
  <c r="F96" i="21"/>
  <c r="I95" i="21"/>
  <c r="M94" i="21" a="1"/>
  <c r="M94" i="21" s="1"/>
  <c r="G93" i="21"/>
  <c r="J92" i="21"/>
  <c r="E91" i="21"/>
  <c r="H90" i="21"/>
  <c r="K185" i="21"/>
  <c r="M182" i="21" a="1"/>
  <c r="M182" i="21" s="1"/>
  <c r="B177" i="21" a="1"/>
  <c r="B177" i="21" s="1"/>
  <c r="E171" i="21"/>
  <c r="F168" i="21"/>
  <c r="H164" i="21"/>
  <c r="G162" i="21"/>
  <c r="F160" i="21"/>
  <c r="J158" i="21"/>
  <c r="I156" i="21"/>
  <c r="H154" i="21"/>
  <c r="M152" i="21" a="1"/>
  <c r="M152" i="21" s="1"/>
  <c r="K150" i="21"/>
  <c r="J148" i="21"/>
  <c r="B147" i="21" a="1"/>
  <c r="B147" i="21" s="1"/>
  <c r="B143" i="21" a="1"/>
  <c r="B143" i="21" s="1"/>
  <c r="I141" i="21"/>
  <c r="I140" i="21"/>
  <c r="F139" i="21"/>
  <c r="F138" i="21"/>
  <c r="B137" i="21" a="1"/>
  <c r="B137" i="21" s="1"/>
  <c r="K135" i="21"/>
  <c r="K134" i="21"/>
  <c r="H133" i="21"/>
  <c r="H132" i="21"/>
  <c r="G131" i="21"/>
  <c r="H130" i="21"/>
  <c r="I129" i="21"/>
  <c r="H128" i="21"/>
  <c r="I127" i="21"/>
  <c r="K126" i="21"/>
  <c r="B126" i="21" a="1"/>
  <c r="B126" i="21" s="1"/>
  <c r="F125" i="21"/>
  <c r="I124" i="21"/>
  <c r="M123" i="21" a="1"/>
  <c r="M123" i="21" s="1"/>
  <c r="G122" i="21"/>
  <c r="J121" i="21"/>
  <c r="E120" i="21"/>
  <c r="H119" i="21"/>
  <c r="K118" i="21"/>
  <c r="B118" i="21" a="1"/>
  <c r="B118" i="21" s="1"/>
  <c r="F117" i="21"/>
  <c r="I116" i="21"/>
  <c r="M115" i="21" a="1"/>
  <c r="M115" i="21" s="1"/>
  <c r="G114" i="21"/>
  <c r="J113" i="21"/>
  <c r="E112" i="21"/>
  <c r="H111" i="21"/>
  <c r="K110" i="21"/>
  <c r="B110" i="21" a="1"/>
  <c r="B110" i="21" s="1"/>
  <c r="F109" i="21"/>
  <c r="I108" i="21"/>
  <c r="M107" i="21" a="1"/>
  <c r="M107" i="21" s="1"/>
  <c r="G106" i="21"/>
  <c r="J105" i="21"/>
  <c r="E104" i="21"/>
  <c r="H103" i="21"/>
  <c r="K102" i="21"/>
  <c r="B102" i="21" a="1"/>
  <c r="B102" i="21" s="1"/>
  <c r="F101" i="21"/>
  <c r="I100" i="21"/>
  <c r="M99" i="21" a="1"/>
  <c r="M99" i="21" s="1"/>
  <c r="G98" i="21"/>
  <c r="J97" i="21"/>
  <c r="E96" i="21"/>
  <c r="H95" i="21"/>
  <c r="K94" i="21"/>
  <c r="B94" i="21" a="1"/>
  <c r="B94" i="21" s="1"/>
  <c r="F93" i="21"/>
  <c r="I92" i="21"/>
  <c r="M91" i="21" a="1"/>
  <c r="M91" i="21" s="1"/>
  <c r="G90" i="21"/>
  <c r="I188" i="21"/>
  <c r="J185" i="21"/>
  <c r="K182" i="21"/>
  <c r="M179" i="21" a="1"/>
  <c r="M179" i="21" s="1"/>
  <c r="B174" i="21" a="1"/>
  <c r="B174" i="21" s="1"/>
  <c r="E168" i="21"/>
  <c r="B166" i="21" a="1"/>
  <c r="B166" i="21" s="1"/>
  <c r="F162" i="21"/>
  <c r="E160" i="21"/>
  <c r="H156" i="21"/>
  <c r="G154" i="21"/>
  <c r="F152" i="21"/>
  <c r="J150" i="21"/>
  <c r="I148" i="21"/>
  <c r="H146" i="21"/>
  <c r="M144" i="21" a="1"/>
  <c r="M144" i="21" s="1"/>
  <c r="M142" i="21" a="1"/>
  <c r="M142" i="21" s="1"/>
  <c r="H141" i="21"/>
  <c r="H140" i="21"/>
  <c r="E139" i="21"/>
  <c r="J135" i="21"/>
  <c r="J134" i="21"/>
  <c r="G133" i="21"/>
  <c r="F132" i="21"/>
  <c r="F131" i="21"/>
  <c r="G130" i="21"/>
  <c r="G129" i="21"/>
  <c r="G128" i="21"/>
  <c r="H127" i="21"/>
  <c r="J126" i="21"/>
  <c r="E125" i="21"/>
  <c r="H124" i="21"/>
  <c r="K123" i="21"/>
  <c r="B123" i="21" a="1"/>
  <c r="B123" i="21" s="1"/>
  <c r="F122" i="21"/>
  <c r="I121" i="21"/>
  <c r="M120" i="21" a="1"/>
  <c r="M120" i="21" s="1"/>
  <c r="G119" i="21"/>
  <c r="J118" i="21"/>
  <c r="E117" i="21"/>
  <c r="H116" i="21"/>
  <c r="K115" i="21"/>
  <c r="B115" i="21" a="1"/>
  <c r="B115" i="21" s="1"/>
  <c r="F114" i="21"/>
  <c r="I113" i="21"/>
  <c r="M112" i="21" a="1"/>
  <c r="M112" i="21" s="1"/>
  <c r="G111" i="21"/>
  <c r="J110" i="21"/>
  <c r="E109" i="21"/>
  <c r="H108" i="21"/>
  <c r="K107" i="21"/>
  <c r="B107" i="21" a="1"/>
  <c r="B107" i="21" s="1"/>
  <c r="F106" i="21"/>
  <c r="I105" i="21"/>
  <c r="M104" i="21" a="1"/>
  <c r="M104" i="21" s="1"/>
  <c r="G103" i="21"/>
  <c r="J102" i="21"/>
  <c r="E101" i="21"/>
  <c r="H100" i="21"/>
  <c r="K99" i="21"/>
  <c r="B99" i="21" a="1"/>
  <c r="B99" i="21" s="1"/>
  <c r="F98" i="21"/>
  <c r="I97" i="21"/>
  <c r="M96" i="21" a="1"/>
  <c r="M96" i="21" s="1"/>
  <c r="G95" i="21"/>
  <c r="J94" i="21"/>
  <c r="E93" i="21"/>
  <c r="H92" i="21"/>
  <c r="K91" i="21"/>
  <c r="B91" i="21" a="1"/>
  <c r="B91" i="21" s="1"/>
  <c r="B185" i="21" a="1"/>
  <c r="B185" i="21" s="1"/>
  <c r="E179" i="21"/>
  <c r="F176" i="21"/>
  <c r="G173" i="21"/>
  <c r="H170" i="21"/>
  <c r="I167" i="21"/>
  <c r="M163" i="21" a="1"/>
  <c r="M163" i="21" s="1"/>
  <c r="K161" i="21"/>
  <c r="B158" i="21" a="1"/>
  <c r="B158" i="21" s="1"/>
  <c r="F154" i="21"/>
  <c r="E152" i="21"/>
  <c r="H148" i="21"/>
  <c r="G146" i="21"/>
  <c r="F144" i="21"/>
  <c r="K142" i="21"/>
  <c r="G141" i="21"/>
  <c r="M137" i="21" a="1"/>
  <c r="M137" i="21" s="1"/>
  <c r="M136" i="21" a="1"/>
  <c r="M136" i="21" s="1"/>
  <c r="I135" i="21"/>
  <c r="F134" i="21"/>
  <c r="F133" i="21"/>
  <c r="E131" i="21"/>
  <c r="F130" i="21"/>
  <c r="E129" i="21"/>
  <c r="F128" i="21"/>
  <c r="G127" i="21"/>
  <c r="I126" i="21"/>
  <c r="M125" i="21" a="1"/>
  <c r="M125" i="21" s="1"/>
  <c r="G124" i="21"/>
  <c r="J123" i="21"/>
  <c r="E122" i="21"/>
  <c r="H121" i="21"/>
  <c r="K120" i="21"/>
  <c r="B120" i="21" a="1"/>
  <c r="B120" i="21" s="1"/>
  <c r="F119" i="21"/>
  <c r="I118" i="21"/>
  <c r="M117" i="21" a="1"/>
  <c r="M117" i="21" s="1"/>
  <c r="G116" i="21"/>
  <c r="J115" i="21"/>
  <c r="E114" i="21"/>
  <c r="H113" i="21"/>
  <c r="K112" i="21"/>
  <c r="B112" i="21" a="1"/>
  <c r="B112" i="21" s="1"/>
  <c r="F111" i="21"/>
  <c r="I110" i="21"/>
  <c r="M109" i="21" a="1"/>
  <c r="M109" i="21" s="1"/>
  <c r="G108" i="21"/>
  <c r="J107" i="21"/>
  <c r="E106" i="21"/>
  <c r="H105" i="21"/>
  <c r="K104" i="21"/>
  <c r="B104" i="21" a="1"/>
  <c r="B104" i="21" s="1"/>
  <c r="F103" i="21"/>
  <c r="I102" i="21"/>
  <c r="M101" i="21" a="1"/>
  <c r="M101" i="21" s="1"/>
  <c r="G100" i="21"/>
  <c r="J99" i="21"/>
  <c r="E98" i="21"/>
  <c r="H97" i="21"/>
  <c r="K96" i="21"/>
  <c r="B96" i="21" a="1"/>
  <c r="B96" i="21" s="1"/>
  <c r="F95" i="21"/>
  <c r="I94" i="21"/>
  <c r="M93" i="21" a="1"/>
  <c r="M93" i="21" s="1"/>
  <c r="G92" i="21"/>
  <c r="J91" i="21"/>
  <c r="E90" i="21"/>
  <c r="M187" i="21" a="1"/>
  <c r="M187" i="21" s="1"/>
  <c r="B182" i="21" a="1"/>
  <c r="B182" i="21" s="1"/>
  <c r="E176" i="21"/>
  <c r="F173" i="21"/>
  <c r="G170" i="21"/>
  <c r="H167" i="21"/>
  <c r="G165" i="21"/>
  <c r="K163" i="21"/>
  <c r="J161" i="21"/>
  <c r="I159" i="21"/>
  <c r="M155" i="21" a="1"/>
  <c r="M155" i="21" s="1"/>
  <c r="K153" i="21"/>
  <c r="B150" i="21" a="1"/>
  <c r="B150" i="21" s="1"/>
  <c r="F146" i="21"/>
  <c r="E144" i="21"/>
  <c r="J142" i="21"/>
  <c r="F141" i="21"/>
  <c r="B140" i="21" a="1"/>
  <c r="B140" i="21" s="1"/>
  <c r="B139" i="21" a="1"/>
  <c r="B139" i="21" s="1"/>
  <c r="K137" i="21"/>
  <c r="H136" i="21"/>
  <c r="H135" i="21"/>
  <c r="E134" i="21"/>
  <c r="E133" i="21"/>
  <c r="B132" i="21" a="1"/>
  <c r="B132" i="21" s="1"/>
  <c r="E128" i="21"/>
  <c r="E127" i="21"/>
  <c r="H126" i="21"/>
  <c r="K125" i="21"/>
  <c r="B125" i="21" a="1"/>
  <c r="B125" i="21" s="1"/>
  <c r="F124" i="21"/>
  <c r="I123" i="21"/>
  <c r="M122" i="21" a="1"/>
  <c r="M122" i="21" s="1"/>
  <c r="G121" i="21"/>
  <c r="J120" i="21"/>
  <c r="E119" i="21"/>
  <c r="H118" i="21"/>
  <c r="K117" i="21"/>
  <c r="B117" i="21" a="1"/>
  <c r="B117" i="21" s="1"/>
  <c r="F116" i="21"/>
  <c r="I115" i="21"/>
  <c r="M114" i="21" a="1"/>
  <c r="M114" i="21" s="1"/>
  <c r="G113" i="21"/>
  <c r="J112" i="21"/>
  <c r="E111" i="21"/>
  <c r="H110" i="21"/>
  <c r="K109" i="21"/>
  <c r="B109" i="21" a="1"/>
  <c r="B109" i="21" s="1"/>
  <c r="F108" i="21"/>
  <c r="I107" i="21"/>
  <c r="M106" i="21" a="1"/>
  <c r="M106" i="21" s="1"/>
  <c r="G105" i="21"/>
  <c r="J104" i="21"/>
  <c r="E103" i="21"/>
  <c r="H102" i="21"/>
  <c r="K101" i="21"/>
  <c r="B101" i="21" a="1"/>
  <c r="B101" i="21" s="1"/>
  <c r="F100" i="21"/>
  <c r="I99" i="21"/>
  <c r="M98" i="21" a="1"/>
  <c r="M98" i="21" s="1"/>
  <c r="G97" i="21"/>
  <c r="J96" i="21"/>
  <c r="E95" i="21"/>
  <c r="H94" i="21"/>
  <c r="K93" i="21"/>
  <c r="B93" i="21" a="1"/>
  <c r="B93" i="21" s="1"/>
  <c r="F92" i="21"/>
  <c r="I91" i="21"/>
  <c r="M90" i="21" a="1"/>
  <c r="M90" i="21" s="1"/>
  <c r="E187" i="21"/>
  <c r="F184" i="21"/>
  <c r="G181" i="21"/>
  <c r="H178" i="21"/>
  <c r="I175" i="21"/>
  <c r="J172" i="21"/>
  <c r="K169" i="21"/>
  <c r="G167" i="21"/>
  <c r="F165" i="21"/>
  <c r="E163" i="21"/>
  <c r="I161" i="21"/>
  <c r="H159" i="21"/>
  <c r="G157" i="21"/>
  <c r="K155" i="21"/>
  <c r="J153" i="21"/>
  <c r="I151" i="21"/>
  <c r="M147" i="21" a="1"/>
  <c r="M147" i="21" s="1"/>
  <c r="K145" i="21"/>
  <c r="F142" i="21"/>
  <c r="E141" i="21"/>
  <c r="J138" i="21"/>
  <c r="J137" i="21"/>
  <c r="G136" i="21"/>
  <c r="G135" i="21"/>
  <c r="M132" i="21" a="1"/>
  <c r="M132" i="21" s="1"/>
  <c r="B131" i="21" a="1"/>
  <c r="B131" i="21" s="1"/>
  <c r="B129" i="21" a="1"/>
  <c r="B129" i="21" s="1"/>
  <c r="G126" i="21"/>
  <c r="J125" i="21"/>
  <c r="E124" i="21"/>
  <c r="H123" i="21"/>
  <c r="K122" i="21"/>
  <c r="B122" i="21" a="1"/>
  <c r="B122" i="21" s="1"/>
  <c r="F121" i="21"/>
  <c r="I120" i="21"/>
  <c r="M119" i="21" a="1"/>
  <c r="M119" i="21" s="1"/>
  <c r="G118" i="21"/>
  <c r="J117" i="21"/>
  <c r="E116" i="21"/>
  <c r="H115" i="21"/>
  <c r="K114" i="21"/>
  <c r="B114" i="21" a="1"/>
  <c r="B114" i="21" s="1"/>
  <c r="F113" i="21"/>
  <c r="I112" i="21"/>
  <c r="M111" i="21" a="1"/>
  <c r="M111" i="21" s="1"/>
  <c r="G110" i="21"/>
  <c r="J109" i="21"/>
  <c r="E108" i="21"/>
  <c r="H107" i="21"/>
  <c r="K106" i="21"/>
  <c r="B106" i="21" a="1"/>
  <c r="B106" i="21" s="1"/>
  <c r="F105" i="21"/>
  <c r="I104" i="21"/>
  <c r="M103" i="21" a="1"/>
  <c r="M103" i="21" s="1"/>
  <c r="G102" i="21"/>
  <c r="J101" i="21"/>
  <c r="E100" i="21"/>
  <c r="H99" i="21"/>
  <c r="K98" i="21"/>
  <c r="B98" i="21" a="1"/>
  <c r="B98" i="21" s="1"/>
  <c r="F97" i="21"/>
  <c r="I96" i="21"/>
  <c r="M95" i="21" a="1"/>
  <c r="M95" i="21" s="1"/>
  <c r="G94" i="21"/>
  <c r="J93" i="21"/>
  <c r="E92" i="21"/>
  <c r="H91" i="21"/>
  <c r="K90" i="21"/>
  <c r="E184" i="21"/>
  <c r="F181" i="21"/>
  <c r="G178" i="21"/>
  <c r="H175" i="21"/>
  <c r="I172" i="21"/>
  <c r="J169" i="21"/>
  <c r="M166" i="21" a="1"/>
  <c r="M166" i="21" s="1"/>
  <c r="E165" i="21"/>
  <c r="B161" i="21" a="1"/>
  <c r="B161" i="21" s="1"/>
  <c r="G159" i="21"/>
  <c r="F157" i="21"/>
  <c r="E155" i="21"/>
  <c r="I153" i="21"/>
  <c r="H151" i="21"/>
  <c r="G149" i="21"/>
  <c r="K147" i="21"/>
  <c r="J145" i="21"/>
  <c r="I143" i="21"/>
  <c r="M140" i="21" a="1"/>
  <c r="M140" i="21" s="1"/>
  <c r="M139" i="21" a="1"/>
  <c r="M139" i="21" s="1"/>
  <c r="I138" i="21"/>
  <c r="I137" i="21"/>
  <c r="F136" i="21"/>
  <c r="B135" i="21" a="1"/>
  <c r="B135" i="21" s="1"/>
  <c r="B134" i="21" a="1"/>
  <c r="B134" i="21" s="1"/>
  <c r="K132" i="21"/>
  <c r="M131" i="21" a="1"/>
  <c r="M131" i="21" s="1"/>
  <c r="M130" i="21" a="1"/>
  <c r="M130" i="21" s="1"/>
  <c r="M129" i="21" a="1"/>
  <c r="M129" i="21" s="1"/>
  <c r="B127" i="21" a="1"/>
  <c r="B127" i="21" s="1"/>
  <c r="F126" i="21"/>
  <c r="I125" i="21"/>
  <c r="M124" i="21" a="1"/>
  <c r="M124" i="21" s="1"/>
  <c r="G123" i="21"/>
  <c r="J122" i="21"/>
  <c r="E121" i="21"/>
  <c r="H120" i="21"/>
  <c r="K119" i="21"/>
  <c r="B119" i="21" a="1"/>
  <c r="B119" i="21" s="1"/>
  <c r="F118" i="21"/>
  <c r="I117" i="21"/>
  <c r="M116" i="21" a="1"/>
  <c r="M116" i="21" s="1"/>
  <c r="G115" i="21"/>
  <c r="J114" i="21"/>
  <c r="E113" i="21"/>
  <c r="H112" i="21"/>
  <c r="K111" i="21"/>
  <c r="B111" i="21" a="1"/>
  <c r="B111" i="21" s="1"/>
  <c r="F110" i="21"/>
  <c r="I109" i="21"/>
  <c r="M108" i="21" a="1"/>
  <c r="M108" i="21" s="1"/>
  <c r="G107" i="21"/>
  <c r="J106" i="21"/>
  <c r="E105" i="21"/>
  <c r="H104" i="21"/>
  <c r="K103" i="21"/>
  <c r="B103" i="21" a="1"/>
  <c r="B103" i="21" s="1"/>
  <c r="F102" i="21"/>
  <c r="I101" i="21"/>
  <c r="M100" i="21" a="1"/>
  <c r="M100" i="21" s="1"/>
  <c r="G99" i="21"/>
  <c r="J98" i="21"/>
  <c r="E97" i="21"/>
  <c r="H96" i="21"/>
  <c r="K95" i="21"/>
  <c r="B95" i="21" a="1"/>
  <c r="B95" i="21" s="1"/>
  <c r="F94" i="21"/>
  <c r="I93" i="21"/>
  <c r="M92" i="21" a="1"/>
  <c r="M92" i="21" s="1"/>
  <c r="G91" i="21"/>
  <c r="J90" i="21"/>
  <c r="H186" i="21"/>
  <c r="I183" i="21"/>
  <c r="J180" i="21"/>
  <c r="K177" i="21"/>
  <c r="M174" i="21" a="1"/>
  <c r="M174" i="21" s="1"/>
  <c r="B169" i="21" a="1"/>
  <c r="B169" i="21" s="1"/>
  <c r="K166" i="21"/>
  <c r="J164" i="21"/>
  <c r="B163" i="21" a="1"/>
  <c r="B163" i="21" s="1"/>
  <c r="M158" i="21" a="1"/>
  <c r="M158" i="21" s="1"/>
  <c r="E157" i="21"/>
  <c r="B153" i="21" a="1"/>
  <c r="B153" i="21" s="1"/>
  <c r="G151" i="21"/>
  <c r="F149" i="21"/>
  <c r="E147" i="21"/>
  <c r="I145" i="21"/>
  <c r="H143" i="21"/>
  <c r="B142" i="21" a="1"/>
  <c r="B142" i="21" s="1"/>
  <c r="K140" i="21"/>
  <c r="K139" i="21"/>
  <c r="H138" i="21"/>
  <c r="E137" i="21"/>
  <c r="E136" i="21"/>
  <c r="J132" i="21"/>
  <c r="K131" i="21"/>
  <c r="J130" i="21"/>
  <c r="K129" i="21"/>
  <c r="M128" i="21" a="1"/>
  <c r="M128" i="21" s="1"/>
  <c r="K127" i="21"/>
  <c r="E126" i="21"/>
  <c r="H125" i="21"/>
  <c r="K124" i="21"/>
  <c r="B124" i="21" a="1"/>
  <c r="B124" i="21" s="1"/>
  <c r="F123" i="21"/>
  <c r="I122" i="21"/>
  <c r="M121" i="21" a="1"/>
  <c r="M121" i="21" s="1"/>
  <c r="G120" i="21"/>
  <c r="J119" i="21"/>
  <c r="E118" i="21"/>
  <c r="H117" i="21"/>
  <c r="K116" i="21"/>
  <c r="B116" i="21" a="1"/>
  <c r="B116" i="21" s="1"/>
  <c r="F115" i="21"/>
  <c r="I114" i="21"/>
  <c r="M113" i="21" a="1"/>
  <c r="M113" i="21" s="1"/>
  <c r="G112" i="21"/>
  <c r="J111" i="21"/>
  <c r="E110" i="21"/>
  <c r="H109" i="21"/>
  <c r="K108" i="21"/>
  <c r="B108" i="21" a="1"/>
  <c r="B108" i="21" s="1"/>
  <c r="F107" i="21"/>
  <c r="I106" i="21"/>
  <c r="M105" i="21" a="1"/>
  <c r="M105" i="21" s="1"/>
  <c r="G104" i="21"/>
  <c r="J103" i="21"/>
  <c r="E102" i="21"/>
  <c r="H101" i="21"/>
  <c r="K100" i="21"/>
  <c r="B100" i="21" a="1"/>
  <c r="B100" i="21" s="1"/>
  <c r="F99" i="21"/>
  <c r="I98" i="21"/>
  <c r="M97" i="21" a="1"/>
  <c r="M97" i="21" s="1"/>
  <c r="G96" i="21"/>
  <c r="J95" i="21"/>
  <c r="E94" i="21"/>
  <c r="H93" i="21"/>
  <c r="K92" i="21"/>
  <c r="B92" i="21" a="1"/>
  <c r="B92" i="21" s="1"/>
  <c r="F91" i="21"/>
  <c r="I90" i="21"/>
  <c r="J89" i="21"/>
  <c r="E88" i="21"/>
  <c r="H87" i="21"/>
  <c r="K86" i="21"/>
  <c r="B86" i="21" a="1"/>
  <c r="B86" i="21" s="1"/>
  <c r="F85" i="21"/>
  <c r="I84" i="21"/>
  <c r="M83" i="21" a="1"/>
  <c r="M83" i="21" s="1"/>
  <c r="G82" i="21"/>
  <c r="J81" i="21"/>
  <c r="E80" i="21"/>
  <c r="H79" i="21"/>
  <c r="K78" i="21"/>
  <c r="B78" i="21" a="1"/>
  <c r="B78" i="21" s="1"/>
  <c r="F77" i="21"/>
  <c r="I76" i="21"/>
  <c r="M75" i="21" a="1"/>
  <c r="M75" i="21" s="1"/>
  <c r="G74" i="21"/>
  <c r="J73" i="21"/>
  <c r="E72" i="21"/>
  <c r="H71" i="21"/>
  <c r="K70" i="21"/>
  <c r="B70" i="21" a="1"/>
  <c r="B70" i="21" s="1"/>
  <c r="F69" i="21"/>
  <c r="I68" i="21"/>
  <c r="M67" i="21" a="1"/>
  <c r="M67" i="21" s="1"/>
  <c r="G66" i="21"/>
  <c r="J65" i="21"/>
  <c r="E64" i="21"/>
  <c r="H63" i="21"/>
  <c r="K62" i="21"/>
  <c r="B62" i="21" a="1"/>
  <c r="B62" i="21" s="1"/>
  <c r="F61" i="21"/>
  <c r="I60" i="21"/>
  <c r="M59" i="21" a="1"/>
  <c r="M59" i="21" s="1"/>
  <c r="G58" i="21"/>
  <c r="J57" i="21"/>
  <c r="E56" i="21"/>
  <c r="H55" i="21"/>
  <c r="K54" i="21"/>
  <c r="B54" i="21" a="1"/>
  <c r="B54" i="21" s="1"/>
  <c r="F53" i="21"/>
  <c r="I52" i="21"/>
  <c r="M51" i="21" a="1"/>
  <c r="M51" i="21" s="1"/>
  <c r="G50" i="21"/>
  <c r="J49" i="21"/>
  <c r="E48" i="21"/>
  <c r="H47" i="21"/>
  <c r="K46" i="21"/>
  <c r="B46" i="21" a="1"/>
  <c r="B46" i="21" s="1"/>
  <c r="F45" i="21"/>
  <c r="I44" i="21"/>
  <c r="M43" i="21" a="1"/>
  <c r="M43" i="21" s="1"/>
  <c r="G42" i="21"/>
  <c r="J41" i="21"/>
  <c r="E40" i="21"/>
  <c r="H39" i="21"/>
  <c r="K38" i="21"/>
  <c r="B38" i="21" a="1"/>
  <c r="B38" i="21" s="1"/>
  <c r="F37" i="21"/>
  <c r="I36" i="21"/>
  <c r="M35" i="21" a="1"/>
  <c r="M35" i="21" s="1"/>
  <c r="G34" i="21"/>
  <c r="J33" i="21"/>
  <c r="E32" i="21"/>
  <c r="H31" i="21"/>
  <c r="K30" i="21"/>
  <c r="B30" i="21" a="1"/>
  <c r="B30" i="21" s="1"/>
  <c r="F29" i="21"/>
  <c r="I28" i="21"/>
  <c r="I89" i="21"/>
  <c r="M88" i="21" a="1"/>
  <c r="M88" i="21" s="1"/>
  <c r="G87" i="21"/>
  <c r="J86" i="21"/>
  <c r="E85" i="21"/>
  <c r="H84" i="21"/>
  <c r="K83" i="21"/>
  <c r="B83" i="21" a="1"/>
  <c r="B83" i="21" s="1"/>
  <c r="F82" i="21"/>
  <c r="I81" i="21"/>
  <c r="M80" i="21" a="1"/>
  <c r="M80" i="21" s="1"/>
  <c r="G79" i="21"/>
  <c r="J78" i="21"/>
  <c r="E77" i="21"/>
  <c r="H76" i="21"/>
  <c r="K75" i="21"/>
  <c r="B75" i="21" a="1"/>
  <c r="B75" i="21" s="1"/>
  <c r="F74" i="21"/>
  <c r="I73" i="21"/>
  <c r="M72" i="21" a="1"/>
  <c r="M72" i="21" s="1"/>
  <c r="G71" i="21"/>
  <c r="J70" i="21"/>
  <c r="E69" i="21"/>
  <c r="H68" i="21"/>
  <c r="K67" i="21"/>
  <c r="B67" i="21" a="1"/>
  <c r="B67" i="21" s="1"/>
  <c r="F66" i="21"/>
  <c r="I65" i="21"/>
  <c r="M64" i="21" a="1"/>
  <c r="M64" i="21" s="1"/>
  <c r="G63" i="21"/>
  <c r="J62" i="21"/>
  <c r="E61" i="21"/>
  <c r="H60" i="21"/>
  <c r="K59" i="21"/>
  <c r="B59" i="21" a="1"/>
  <c r="B59" i="21" s="1"/>
  <c r="F58" i="21"/>
  <c r="I57" i="21"/>
  <c r="M56" i="21" a="1"/>
  <c r="M56" i="21" s="1"/>
  <c r="G55" i="21"/>
  <c r="J54" i="21"/>
  <c r="E53" i="21"/>
  <c r="H52" i="21"/>
  <c r="K51" i="21"/>
  <c r="B51" i="21" a="1"/>
  <c r="B51" i="21" s="1"/>
  <c r="F50" i="21"/>
  <c r="I49" i="21"/>
  <c r="M48" i="21" a="1"/>
  <c r="M48" i="21" s="1"/>
  <c r="G47" i="21"/>
  <c r="J46" i="21"/>
  <c r="E45" i="21"/>
  <c r="H44" i="21"/>
  <c r="K43" i="21"/>
  <c r="B43" i="21" a="1"/>
  <c r="B43" i="21" s="1"/>
  <c r="F42" i="21"/>
  <c r="I41" i="21"/>
  <c r="M40" i="21" a="1"/>
  <c r="M40" i="21" s="1"/>
  <c r="G39" i="21"/>
  <c r="J38" i="21"/>
  <c r="E37" i="21"/>
  <c r="H36" i="21"/>
  <c r="K35" i="21"/>
  <c r="B35" i="21" a="1"/>
  <c r="B35" i="21" s="1"/>
  <c r="F34" i="21"/>
  <c r="I33" i="21"/>
  <c r="M32" i="21" a="1"/>
  <c r="M32" i="21" s="1"/>
  <c r="G31" i="21"/>
  <c r="J30" i="21"/>
  <c r="E29" i="21"/>
  <c r="F90" i="21"/>
  <c r="H89" i="21"/>
  <c r="K88" i="21"/>
  <c r="B88" i="21" a="1"/>
  <c r="B88" i="21" s="1"/>
  <c r="F87" i="21"/>
  <c r="I86" i="21"/>
  <c r="M85" i="21" a="1"/>
  <c r="M85" i="21" s="1"/>
  <c r="G84" i="21"/>
  <c r="J83" i="21"/>
  <c r="E82" i="21"/>
  <c r="H81" i="21"/>
  <c r="K80" i="21"/>
  <c r="B80" i="21" a="1"/>
  <c r="B80" i="21" s="1"/>
  <c r="F79" i="21"/>
  <c r="I78" i="21"/>
  <c r="M77" i="21" a="1"/>
  <c r="M77" i="21" s="1"/>
  <c r="G76" i="21"/>
  <c r="J75" i="21"/>
  <c r="E74" i="21"/>
  <c r="H73" i="21"/>
  <c r="K72" i="21"/>
  <c r="B72" i="21" a="1"/>
  <c r="B72" i="21" s="1"/>
  <c r="F71" i="21"/>
  <c r="I70" i="21"/>
  <c r="M69" i="21" a="1"/>
  <c r="M69" i="21" s="1"/>
  <c r="G68" i="21"/>
  <c r="J67" i="21"/>
  <c r="E66" i="21"/>
  <c r="H65" i="21"/>
  <c r="K64" i="21"/>
  <c r="B64" i="21" a="1"/>
  <c r="B64" i="21" s="1"/>
  <c r="F63" i="21"/>
  <c r="I62" i="21"/>
  <c r="M61" i="21" a="1"/>
  <c r="M61" i="21" s="1"/>
  <c r="G60" i="21"/>
  <c r="J59" i="21"/>
  <c r="E58" i="21"/>
  <c r="H57" i="21"/>
  <c r="K56" i="21"/>
  <c r="B56" i="21" a="1"/>
  <c r="B56" i="21" s="1"/>
  <c r="F55" i="21"/>
  <c r="I54" i="21"/>
  <c r="M53" i="21" a="1"/>
  <c r="M53" i="21" s="1"/>
  <c r="G52" i="21"/>
  <c r="J51" i="21"/>
  <c r="E50" i="21"/>
  <c r="H49" i="21"/>
  <c r="K48" i="21"/>
  <c r="B48" i="21" a="1"/>
  <c r="B48" i="21" s="1"/>
  <c r="F47" i="21"/>
  <c r="I46" i="21"/>
  <c r="M45" i="21" a="1"/>
  <c r="M45" i="21" s="1"/>
  <c r="G44" i="21"/>
  <c r="J43" i="21"/>
  <c r="E42" i="21"/>
  <c r="H41" i="21"/>
  <c r="K40" i="21"/>
  <c r="B40" i="21" a="1"/>
  <c r="B40" i="21" s="1"/>
  <c r="F39" i="21"/>
  <c r="I38" i="21"/>
  <c r="M37" i="21" a="1"/>
  <c r="M37" i="21" s="1"/>
  <c r="G36" i="21"/>
  <c r="J35" i="21"/>
  <c r="E34" i="21"/>
  <c r="H33" i="21"/>
  <c r="K32" i="21"/>
  <c r="B32" i="21" a="1"/>
  <c r="B32" i="21" s="1"/>
  <c r="F31" i="21"/>
  <c r="I30" i="21"/>
  <c r="M29" i="21" a="1"/>
  <c r="M29" i="21" s="1"/>
  <c r="G89" i="21"/>
  <c r="J88" i="21"/>
  <c r="E87" i="21"/>
  <c r="H86" i="21"/>
  <c r="K85" i="21"/>
  <c r="B85" i="21" a="1"/>
  <c r="B85" i="21" s="1"/>
  <c r="F84" i="21"/>
  <c r="I83" i="21"/>
  <c r="M82" i="21" a="1"/>
  <c r="M82" i="21" s="1"/>
  <c r="G81" i="21"/>
  <c r="J80" i="21"/>
  <c r="E79" i="21"/>
  <c r="H78" i="21"/>
  <c r="K77" i="21"/>
  <c r="B77" i="21" a="1"/>
  <c r="B77" i="21" s="1"/>
  <c r="F76" i="21"/>
  <c r="I75" i="21"/>
  <c r="M74" i="21" a="1"/>
  <c r="M74" i="21" s="1"/>
  <c r="G73" i="21"/>
  <c r="J72" i="21"/>
  <c r="E71" i="21"/>
  <c r="H70" i="21"/>
  <c r="K69" i="21"/>
  <c r="B69" i="21" a="1"/>
  <c r="B69" i="21" s="1"/>
  <c r="F68" i="21"/>
  <c r="I67" i="21"/>
  <c r="M66" i="21" a="1"/>
  <c r="M66" i="21" s="1"/>
  <c r="G65" i="21"/>
  <c r="J64" i="21"/>
  <c r="E63" i="21"/>
  <c r="H62" i="21"/>
  <c r="K61" i="21"/>
  <c r="B61" i="21" a="1"/>
  <c r="B61" i="21" s="1"/>
  <c r="F60" i="21"/>
  <c r="I59" i="21"/>
  <c r="M58" i="21" a="1"/>
  <c r="M58" i="21" s="1"/>
  <c r="G57" i="21"/>
  <c r="J56" i="21"/>
  <c r="E55" i="21"/>
  <c r="H54" i="21"/>
  <c r="K53" i="21"/>
  <c r="B53" i="21" a="1"/>
  <c r="B53" i="21" s="1"/>
  <c r="F52" i="21"/>
  <c r="I51" i="21"/>
  <c r="M50" i="21" a="1"/>
  <c r="M50" i="21" s="1"/>
  <c r="G49" i="21"/>
  <c r="J48" i="21"/>
  <c r="E47" i="21"/>
  <c r="H46" i="21"/>
  <c r="K45" i="21"/>
  <c r="B45" i="21" a="1"/>
  <c r="B45" i="21" s="1"/>
  <c r="F44" i="21"/>
  <c r="I43" i="21"/>
  <c r="M42" i="21" a="1"/>
  <c r="M42" i="21" s="1"/>
  <c r="G41" i="21"/>
  <c r="J40" i="21"/>
  <c r="E39" i="21"/>
  <c r="H38" i="21"/>
  <c r="K37" i="21"/>
  <c r="B37" i="21" a="1"/>
  <c r="B37" i="21" s="1"/>
  <c r="F36" i="21"/>
  <c r="I35" i="21"/>
  <c r="M34" i="21" a="1"/>
  <c r="M34" i="21" s="1"/>
  <c r="G33" i="21"/>
  <c r="J32" i="21"/>
  <c r="E31" i="21"/>
  <c r="H30" i="21"/>
  <c r="K29" i="21"/>
  <c r="B29" i="21" a="1"/>
  <c r="B29" i="21" s="1"/>
  <c r="B90" i="21" a="1"/>
  <c r="B90" i="21" s="1"/>
  <c r="F89" i="21"/>
  <c r="I88" i="21"/>
  <c r="M87" i="21" a="1"/>
  <c r="M87" i="21" s="1"/>
  <c r="G86" i="21"/>
  <c r="J85" i="21"/>
  <c r="E84" i="21"/>
  <c r="H83" i="21"/>
  <c r="K82" i="21"/>
  <c r="B82" i="21" a="1"/>
  <c r="B82" i="21" s="1"/>
  <c r="F81" i="21"/>
  <c r="I80" i="21"/>
  <c r="M79" i="21" a="1"/>
  <c r="M79" i="21" s="1"/>
  <c r="G78" i="21"/>
  <c r="J77" i="21"/>
  <c r="E76" i="21"/>
  <c r="H75" i="21"/>
  <c r="K74" i="21"/>
  <c r="B74" i="21" a="1"/>
  <c r="B74" i="21" s="1"/>
  <c r="F73" i="21"/>
  <c r="I72" i="21"/>
  <c r="M71" i="21" a="1"/>
  <c r="M71" i="21" s="1"/>
  <c r="G70" i="21"/>
  <c r="J69" i="21"/>
  <c r="E68" i="21"/>
  <c r="H67" i="21"/>
  <c r="K66" i="21"/>
  <c r="B66" i="21" a="1"/>
  <c r="B66" i="21" s="1"/>
  <c r="F65" i="21"/>
  <c r="I64" i="21"/>
  <c r="M63" i="21" a="1"/>
  <c r="M63" i="21" s="1"/>
  <c r="G62" i="21"/>
  <c r="J61" i="21"/>
  <c r="E60" i="21"/>
  <c r="H59" i="21"/>
  <c r="K58" i="21"/>
  <c r="B58" i="21" a="1"/>
  <c r="B58" i="21" s="1"/>
  <c r="F57" i="21"/>
  <c r="I56" i="21"/>
  <c r="M55" i="21" a="1"/>
  <c r="M55" i="21" s="1"/>
  <c r="G54" i="21"/>
  <c r="J53" i="21"/>
  <c r="E52" i="21"/>
  <c r="H51" i="21"/>
  <c r="K50" i="21"/>
  <c r="B50" i="21" a="1"/>
  <c r="B50" i="21" s="1"/>
  <c r="F49" i="21"/>
  <c r="I48" i="21"/>
  <c r="M47" i="21" a="1"/>
  <c r="M47" i="21" s="1"/>
  <c r="G46" i="21"/>
  <c r="J45" i="21"/>
  <c r="E44" i="21"/>
  <c r="H43" i="21"/>
  <c r="K42" i="21"/>
  <c r="B42" i="21" a="1"/>
  <c r="B42" i="21" s="1"/>
  <c r="F41" i="21"/>
  <c r="I40" i="21"/>
  <c r="M39" i="21" a="1"/>
  <c r="M39" i="21" s="1"/>
  <c r="G38" i="21"/>
  <c r="J37" i="21"/>
  <c r="E36" i="21"/>
  <c r="H35" i="21"/>
  <c r="K34" i="21"/>
  <c r="B34" i="21" a="1"/>
  <c r="B34" i="21" s="1"/>
  <c r="F33" i="21"/>
  <c r="I32" i="21"/>
  <c r="M31" i="21" a="1"/>
  <c r="M31" i="21" s="1"/>
  <c r="G30" i="21"/>
  <c r="J29" i="21"/>
  <c r="E28" i="21"/>
  <c r="E89" i="21"/>
  <c r="H88" i="21"/>
  <c r="K87" i="21"/>
  <c r="B87" i="21" a="1"/>
  <c r="B87" i="21" s="1"/>
  <c r="F86" i="21"/>
  <c r="I85" i="21"/>
  <c r="M84" i="21" a="1"/>
  <c r="M84" i="21" s="1"/>
  <c r="G83" i="21"/>
  <c r="J82" i="21"/>
  <c r="E81" i="21"/>
  <c r="H80" i="21"/>
  <c r="K79" i="21"/>
  <c r="B79" i="21" a="1"/>
  <c r="B79" i="21" s="1"/>
  <c r="F78" i="21"/>
  <c r="I77" i="21"/>
  <c r="M76" i="21" a="1"/>
  <c r="M76" i="21" s="1"/>
  <c r="G75" i="21"/>
  <c r="J74" i="21"/>
  <c r="E73" i="21"/>
  <c r="H72" i="21"/>
  <c r="K71" i="21"/>
  <c r="B71" i="21" a="1"/>
  <c r="B71" i="21" s="1"/>
  <c r="F70" i="21"/>
  <c r="I69" i="21"/>
  <c r="M68" i="21" a="1"/>
  <c r="M68" i="21" s="1"/>
  <c r="G67" i="21"/>
  <c r="J66" i="21"/>
  <c r="E65" i="21"/>
  <c r="H64" i="21"/>
  <c r="K63" i="21"/>
  <c r="B63" i="21" a="1"/>
  <c r="B63" i="21" s="1"/>
  <c r="F62" i="21"/>
  <c r="I61" i="21"/>
  <c r="M60" i="21" a="1"/>
  <c r="M60" i="21" s="1"/>
  <c r="G59" i="21"/>
  <c r="J58" i="21"/>
  <c r="E57" i="21"/>
  <c r="H56" i="21"/>
  <c r="K55" i="21"/>
  <c r="B55" i="21" a="1"/>
  <c r="B55" i="21" s="1"/>
  <c r="F54" i="21"/>
  <c r="I53" i="21"/>
  <c r="M52" i="21" a="1"/>
  <c r="M52" i="21" s="1"/>
  <c r="G51" i="21"/>
  <c r="J50" i="21"/>
  <c r="E49" i="21"/>
  <c r="H48" i="21"/>
  <c r="K47" i="21"/>
  <c r="B47" i="21" a="1"/>
  <c r="B47" i="21" s="1"/>
  <c r="F46" i="21"/>
  <c r="I45" i="21"/>
  <c r="M44" i="21" a="1"/>
  <c r="M44" i="21" s="1"/>
  <c r="G43" i="21"/>
  <c r="J42" i="21"/>
  <c r="E41" i="21"/>
  <c r="H40" i="21"/>
  <c r="K39" i="21"/>
  <c r="B39" i="21" a="1"/>
  <c r="B39" i="21" s="1"/>
  <c r="F38" i="21"/>
  <c r="I37" i="21"/>
  <c r="M36" i="21" a="1"/>
  <c r="M36" i="21" s="1"/>
  <c r="G35" i="21"/>
  <c r="J34" i="21"/>
  <c r="E33" i="21"/>
  <c r="H32" i="21"/>
  <c r="K31" i="21"/>
  <c r="B31" i="21" a="1"/>
  <c r="B31" i="21" s="1"/>
  <c r="F30" i="21"/>
  <c r="I29" i="21"/>
  <c r="M28" i="21" a="1"/>
  <c r="M28" i="21" s="1"/>
  <c r="M89" i="21" a="1"/>
  <c r="M89" i="21" s="1"/>
  <c r="G88" i="21"/>
  <c r="J87" i="21"/>
  <c r="E86" i="21"/>
  <c r="H85" i="21"/>
  <c r="K84" i="21"/>
  <c r="B84" i="21" a="1"/>
  <c r="B84" i="21" s="1"/>
  <c r="F83" i="21"/>
  <c r="I82" i="21"/>
  <c r="M81" i="21" a="1"/>
  <c r="M81" i="21" s="1"/>
  <c r="G80" i="21"/>
  <c r="J79" i="21"/>
  <c r="E78" i="21"/>
  <c r="H77" i="21"/>
  <c r="K76" i="21"/>
  <c r="B76" i="21" a="1"/>
  <c r="B76" i="21" s="1"/>
  <c r="F75" i="21"/>
  <c r="I74" i="21"/>
  <c r="M73" i="21" a="1"/>
  <c r="M73" i="21" s="1"/>
  <c r="G72" i="21"/>
  <c r="J71" i="21"/>
  <c r="E70" i="21"/>
  <c r="H69" i="21"/>
  <c r="K68" i="21"/>
  <c r="B68" i="21" a="1"/>
  <c r="B68" i="21" s="1"/>
  <c r="F67" i="21"/>
  <c r="I66" i="21"/>
  <c r="M65" i="21" a="1"/>
  <c r="M65" i="21" s="1"/>
  <c r="G64" i="21"/>
  <c r="J63" i="21"/>
  <c r="E62" i="21"/>
  <c r="H61" i="21"/>
  <c r="K60" i="21"/>
  <c r="B60" i="21" a="1"/>
  <c r="B60" i="21" s="1"/>
  <c r="F59" i="21"/>
  <c r="I58" i="21"/>
  <c r="M57" i="21" a="1"/>
  <c r="M57" i="21" s="1"/>
  <c r="G56" i="21"/>
  <c r="J55" i="21"/>
  <c r="E54" i="21"/>
  <c r="H53" i="21"/>
  <c r="K52" i="21"/>
  <c r="B52" i="21" a="1"/>
  <c r="B52" i="21" s="1"/>
  <c r="F51" i="21"/>
  <c r="I50" i="21"/>
  <c r="M49" i="21" a="1"/>
  <c r="M49" i="21" s="1"/>
  <c r="G48" i="21"/>
  <c r="J47" i="21"/>
  <c r="E46" i="21"/>
  <c r="H45" i="21"/>
  <c r="K44" i="21"/>
  <c r="B44" i="21" a="1"/>
  <c r="B44" i="21" s="1"/>
  <c r="F43" i="21"/>
  <c r="I42" i="21"/>
  <c r="M41" i="21" a="1"/>
  <c r="M41" i="21" s="1"/>
  <c r="G40" i="21"/>
  <c r="J39" i="21"/>
  <c r="E38" i="21"/>
  <c r="H37" i="21"/>
  <c r="K36" i="21"/>
  <c r="B36" i="21" a="1"/>
  <c r="B36" i="21" s="1"/>
  <c r="F35" i="21"/>
  <c r="I34" i="21"/>
  <c r="M33" i="21" a="1"/>
  <c r="M33" i="21" s="1"/>
  <c r="G32" i="21"/>
  <c r="J31" i="21"/>
  <c r="E30" i="21"/>
  <c r="H29" i="21"/>
  <c r="K28" i="21"/>
  <c r="F8" i="21"/>
  <c r="B9" i="21" a="1"/>
  <c r="B9" i="21" s="1"/>
  <c r="K9" i="21"/>
  <c r="H10" i="21"/>
  <c r="E11" i="21"/>
  <c r="J12" i="21"/>
  <c r="G13" i="21"/>
  <c r="M14" i="21" a="1"/>
  <c r="M14" i="21" s="1"/>
  <c r="I15" i="21"/>
  <c r="F16" i="21"/>
  <c r="B17" i="21" a="1"/>
  <c r="B17" i="21" s="1"/>
  <c r="K17" i="21"/>
  <c r="H18" i="21"/>
  <c r="E19" i="21"/>
  <c r="J20" i="21"/>
  <c r="G21" i="21"/>
  <c r="M22" i="21" a="1"/>
  <c r="M22" i="21" s="1"/>
  <c r="I23" i="21"/>
  <c r="F24" i="21"/>
  <c r="B25" i="21" a="1"/>
  <c r="B25" i="21" s="1"/>
  <c r="K25" i="21"/>
  <c r="H26" i="21"/>
  <c r="E27" i="21"/>
  <c r="K41" i="21"/>
  <c r="I47" i="21"/>
  <c r="G53" i="21"/>
  <c r="E59" i="21"/>
  <c r="B65" i="21" a="1"/>
  <c r="B65" i="21" s="1"/>
  <c r="M70" i="21" a="1"/>
  <c r="M70" i="21" s="1"/>
  <c r="J76" i="21"/>
  <c r="H82" i="21"/>
  <c r="F88" i="21"/>
  <c r="E10" i="21"/>
  <c r="I14" i="21"/>
  <c r="E18" i="21"/>
  <c r="E51" i="21"/>
  <c r="A7" i="21"/>
  <c r="G8" i="21"/>
  <c r="M9" i="21" a="1"/>
  <c r="M9" i="21" s="1"/>
  <c r="I10" i="21"/>
  <c r="F11" i="21"/>
  <c r="B12" i="21" a="1"/>
  <c r="B12" i="21" s="1"/>
  <c r="K12" i="21"/>
  <c r="H13" i="21"/>
  <c r="E14" i="21"/>
  <c r="J15" i="21"/>
  <c r="G16" i="21"/>
  <c r="M17" i="21" a="1"/>
  <c r="M17" i="21" s="1"/>
  <c r="I18" i="21"/>
  <c r="F19" i="21"/>
  <c r="B20" i="21" a="1"/>
  <c r="B20" i="21" s="1"/>
  <c r="K20" i="21"/>
  <c r="H21" i="21"/>
  <c r="E22" i="21"/>
  <c r="J23" i="21"/>
  <c r="G24" i="21"/>
  <c r="M25" i="21" a="1"/>
  <c r="M25" i="21" s="1"/>
  <c r="I26" i="21"/>
  <c r="F27" i="21"/>
  <c r="B28" i="21" a="1"/>
  <c r="B28" i="21" s="1"/>
  <c r="M30" i="21" a="1"/>
  <c r="M30" i="21" s="1"/>
  <c r="J36" i="21"/>
  <c r="H42" i="21"/>
  <c r="F48" i="21"/>
  <c r="K65" i="21"/>
  <c r="I71" i="21"/>
  <c r="G77" i="21"/>
  <c r="E83" i="21"/>
  <c r="B89" i="21" a="1"/>
  <c r="B89" i="21" s="1"/>
  <c r="G12" i="21"/>
  <c r="M62" i="21" a="1"/>
  <c r="M62" i="21" s="1"/>
  <c r="H8" i="21"/>
  <c r="E9" i="21"/>
  <c r="J10" i="21"/>
  <c r="G11" i="21"/>
  <c r="M12" i="21" a="1"/>
  <c r="M12" i="21" s="1"/>
  <c r="I13" i="21"/>
  <c r="F14" i="21"/>
  <c r="B15" i="21" a="1"/>
  <c r="B15" i="21" s="1"/>
  <c r="K15" i="21"/>
  <c r="H16" i="21"/>
  <c r="E17" i="21"/>
  <c r="J18" i="21"/>
  <c r="G19" i="21"/>
  <c r="M20" i="21" a="1"/>
  <c r="M20" i="21" s="1"/>
  <c r="I21" i="21"/>
  <c r="F22" i="21"/>
  <c r="B23" i="21" a="1"/>
  <c r="B23" i="21" s="1"/>
  <c r="K23" i="21"/>
  <c r="H24" i="21"/>
  <c r="E25" i="21"/>
  <c r="J26" i="21"/>
  <c r="G27" i="21"/>
  <c r="I31" i="21"/>
  <c r="G37" i="21"/>
  <c r="E43" i="21"/>
  <c r="B49" i="21" a="1"/>
  <c r="B49" i="21" s="1"/>
  <c r="M54" i="21" a="1"/>
  <c r="M54" i="21" s="1"/>
  <c r="J60" i="21"/>
  <c r="H66" i="21"/>
  <c r="F72" i="21"/>
  <c r="K89" i="21"/>
  <c r="B8" i="21" a="1"/>
  <c r="B8" i="21" s="1"/>
  <c r="F15" i="21"/>
  <c r="H74" i="21"/>
  <c r="I8" i="21"/>
  <c r="F9" i="21"/>
  <c r="B10" i="21" a="1"/>
  <c r="B10" i="21" s="1"/>
  <c r="K10" i="21"/>
  <c r="H11" i="21"/>
  <c r="E12" i="21"/>
  <c r="J13" i="21"/>
  <c r="G14" i="21"/>
  <c r="M15" i="21" a="1"/>
  <c r="M15" i="21" s="1"/>
  <c r="I16" i="21"/>
  <c r="F17" i="21"/>
  <c r="B18" i="21" a="1"/>
  <c r="B18" i="21" s="1"/>
  <c r="K18" i="21"/>
  <c r="H19" i="21"/>
  <c r="E20" i="21"/>
  <c r="J21" i="21"/>
  <c r="G22" i="21"/>
  <c r="M23" i="21" a="1"/>
  <c r="M23" i="21" s="1"/>
  <c r="I24" i="21"/>
  <c r="F25" i="21"/>
  <c r="B26" i="21" a="1"/>
  <c r="B26" i="21" s="1"/>
  <c r="K26" i="21"/>
  <c r="H27" i="21"/>
  <c r="F28" i="21"/>
  <c r="F32" i="21"/>
  <c r="K49" i="21"/>
  <c r="I55" i="21"/>
  <c r="G61" i="21"/>
  <c r="E67" i="21"/>
  <c r="B73" i="21" a="1"/>
  <c r="B73" i="21" s="1"/>
  <c r="M78" i="21" a="1"/>
  <c r="M78" i="21" s="1"/>
  <c r="J84" i="21"/>
  <c r="J11" i="21"/>
  <c r="B16" i="21" a="1"/>
  <c r="B16" i="21" s="1"/>
  <c r="I22" i="21"/>
  <c r="F80" i="21"/>
  <c r="J8" i="21"/>
  <c r="G9" i="21"/>
  <c r="M10" i="21" a="1"/>
  <c r="M10" i="21" s="1"/>
  <c r="I11" i="21"/>
  <c r="F12" i="21"/>
  <c r="B13" i="21" a="1"/>
  <c r="B13" i="21" s="1"/>
  <c r="K13" i="21"/>
  <c r="H14" i="21"/>
  <c r="E15" i="21"/>
  <c r="J16" i="21"/>
  <c r="G17" i="21"/>
  <c r="M18" i="21" a="1"/>
  <c r="M18" i="21" s="1"/>
  <c r="I19" i="21"/>
  <c r="F20" i="21"/>
  <c r="B21" i="21" a="1"/>
  <c r="B21" i="21" s="1"/>
  <c r="K21" i="21"/>
  <c r="H22" i="21"/>
  <c r="E23" i="21"/>
  <c r="J24" i="21"/>
  <c r="G25" i="21"/>
  <c r="M26" i="21" a="1"/>
  <c r="M26" i="21" s="1"/>
  <c r="I27" i="21"/>
  <c r="G28" i="21"/>
  <c r="B33" i="21" a="1"/>
  <c r="B33" i="21" s="1"/>
  <c r="M38" i="21" a="1"/>
  <c r="M38" i="21" s="1"/>
  <c r="J44" i="21"/>
  <c r="H50" i="21"/>
  <c r="F56" i="21"/>
  <c r="K73" i="21"/>
  <c r="I79" i="21"/>
  <c r="G85" i="21"/>
  <c r="AH186" i="17" l="1"/>
  <c r="AH187" i="17" s="1"/>
  <c r="L8" i="23"/>
  <c r="E7" i="21"/>
  <c r="F7" i="21"/>
  <c r="M7" i="21" a="1"/>
  <c r="M7" i="21" s="1"/>
  <c r="K7" i="21"/>
  <c r="B7" i="21" a="1"/>
  <c r="B7" i="21" s="1"/>
  <c r="J7" i="21"/>
  <c r="I7" i="21"/>
  <c r="H7" i="21"/>
  <c r="G7" i="21"/>
  <c r="L7" i="23" l="1"/>
  <c r="L14" i="23"/>
  <c r="L6" i="23"/>
  <c r="L15" i="23"/>
  <c r="L17" i="23"/>
  <c r="L13" i="23"/>
  <c r="L12" i="23"/>
  <c r="L9" i="23"/>
  <c r="L10" i="23"/>
  <c r="L11" i="23"/>
  <c r="AH156" i="17"/>
  <c r="AH133" i="17" s="1"/>
  <c r="AH158" i="17"/>
  <c r="AH181" i="17"/>
  <c r="AH189" i="17" s="1"/>
  <c r="AH204" i="17" s="1"/>
  <c r="AH182" i="17"/>
  <c r="AH198" i="17" s="1"/>
  <c r="AH199" i="17" s="1"/>
  <c r="AH200" i="17" s="1"/>
  <c r="AH157" i="17"/>
  <c r="AH141" i="17" l="1"/>
  <c r="AH155" i="17" s="1"/>
  <c r="AH132" i="17" s="1"/>
  <c r="AH139" i="17" s="1"/>
  <c r="AH208" i="17"/>
  <c r="AH201" i="17"/>
  <c r="AH202" i="17" s="1"/>
  <c r="AH140" i="17" l="1"/>
  <c r="AH154" i="1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tc={1A84D3FE-88DC-40F3-80A6-ABF1AEFDEB2A}</author>
    <author>tc={32144F28-5FD1-4586-A24C-F23AACFC5168}</author>
    <author>tc={D5082EB7-6CE5-4D0D-9690-0408AA249BDF}</author>
    <author>tc={00C1947B-755E-4004-A0EC-F183854A3599}</author>
    <author>tc={C0D6D300-3030-4151-A416-C8CA5248F3E0}</author>
    <author>tc={77D46ABB-E930-4AE0-919C-165E46B98F9F}</author>
    <author>tc={18BE8E7F-6F11-41B0-80E8-D9930DB0717E}</author>
    <author>tc={E3F6289C-7A83-4B1B-A359-40016FA5B540}</author>
    <author>tc={3EB7C014-C36C-4BB2-BBB6-3512DF49E52B}</author>
    <author>tc={4D98E14C-4F67-4B23-9DE9-926DB2A13E0A}</author>
    <author>tc={BFAF3BFE-F41A-49F3-A5CD-5B0A5908B927}</author>
    <author>tc={96AA0199-729B-44AE-AEB5-8309DEC89A4C}</author>
    <author>tc={5FA1DC1C-48F2-41D7-89E5-7DE644C355E1}</author>
    <author>tc={EAA3F177-EB8A-44BA-9986-3F220F7C8C23}</author>
    <author>tc={AC52FDA9-BF4D-4EE1-8511-CE7B41509ED6}</author>
    <author>tc={EE664CCA-30BB-4238-AFA3-C7D7EACD39CF}</author>
    <author>tc={AA0DD919-2497-4768-A9B8-1631C47D94DB}</author>
    <author>tc={585FBDE2-5DD5-430B-BA13-12E89B4FC77A}</author>
    <author>tc={A82E1D9C-A388-4B54-BA36-58E54D7A2823}</author>
  </authors>
  <commentList>
    <comment ref="D6" authorId="0" shapeId="0" xr:uid="{1A84D3FE-88DC-40F3-80A6-ABF1AEFDEB2A}">
      <text>
        <t>[Threaded comment]
Your version of Excel allows you to read this threaded comment; however, any edits to it will get removed if the file is opened in a newer version of Excel. Learn more: https://go.microsoft.com/fwlink/?linkid=870924
Comment:
    Include a clear definitionw without repeating the data element itself.</t>
      </text>
    </comment>
    <comment ref="O6" authorId="1" shapeId="0" xr:uid="{32144F28-5FD1-4586-A24C-F23AACFC5168}">
      <text>
        <t>[Threaded comment]
Your version of Excel allows you to read this threaded comment; however, any edits to it will get removed if the file is opened in a newer version of Excel. Learn more: https://go.microsoft.com/fwlink/?linkid=870924
Comment:
    this column could be optional? moved to another sheet?</t>
      </text>
    </comment>
    <comment ref="P6" authorId="2" shapeId="0" xr:uid="{D5082EB7-6CE5-4D0D-9690-0408AA249BDF}">
      <text>
        <t>[Threaded comment]
Your version of Excel allows you to read this threaded comment; however, any edits to it will get removed if the file is opened in a newer version of Excel. Learn more: https://go.microsoft.com/fwlink/?linkid=870924
Comment:
    Shall we split? into ncr data validations and wacor validations</t>
      </text>
    </comment>
    <comment ref="Q6" authorId="3" shapeId="0" xr:uid="{00C1947B-755E-4004-A0EC-F183854A3599}">
      <text>
        <t>[Threaded comment]
Your version of Excel allows you to read this threaded comment; however, any edits to it will get removed if the file is opened in a newer version of Excel. Learn more: https://go.microsoft.com/fwlink/?linkid=870924
Comment:
    e.g. hmds (view &amp; data item name), HIH (table name &amp; data item name), cardiobase (module name, field name)</t>
      </text>
    </comment>
    <comment ref="AD6" authorId="4" shapeId="0" xr:uid="{C0D6D300-3030-4151-A416-C8CA5248F3E0}">
      <text>
        <t>[Threaded comment]
Your version of Excel allows you to read this threaded comment; however, any edits to it will get removed if the file is opened in a newer version of Excel. Learn more: https://go.microsoft.com/fwlink/?linkid=870924
Comment:
    six digit number reference for Meteor</t>
      </text>
    </comment>
    <comment ref="AE6" authorId="5" shapeId="0" xr:uid="{77D46ABB-E930-4AE0-919C-165E46B98F9F}">
      <text>
        <t>[Threaded comment]
Your version of Excel allows you to read this threaded comment; however, any edits to it will get removed if the file is opened in a newer version of Excel. Learn more: https://go.microsoft.com/fwlink/?linkid=870924
Comment:
    Include link to data dictionary or existing references (where it exists)</t>
      </text>
    </comment>
    <comment ref="M36" authorId="6" shapeId="0" xr:uid="{18BE8E7F-6F11-41B0-80E8-D9930DB0717E}">
      <text>
        <t>[Threaded comment]
Your version of Excel allows you to read this threaded comment; however, any edits to it will get removed if the file is opened in a newer version of Excel. Learn more: https://go.microsoft.com/fwlink/?linkid=870924
Comment:
    @Gillett, Richard NCR 2021 Information Release - dap = ( Cardiobase.[TOTAL_DOSE] / 1000 )</t>
      </text>
    </comment>
    <comment ref="M37" authorId="7" shapeId="0" xr:uid="{E3F6289C-7A83-4B1B-A359-40016FA5B540}">
      <text>
        <t>[Threaded comment]
Your version of Excel allows you to read this threaded comment; however, any edits to it will get removed if the file is opened in a newer version of Excel. Learn more: https://go.microsoft.com/fwlink/?linkid=870924
Comment:
    @Gillett, Richard does HIH include all drugs prescribed or only dispensed (in hospital)?
Reply:
    @Weber, Ben  I think @Lee, Alex is better placed to answer this one :-)
Reply:
    I just had a quick look at HIH, and I figure that it has both information. So far I only explore medications that are dispensed in hospital. There is also a table in HIH called 'PERSISTENT_CIM_MEDICATIONPRESCRIPTION' - pretty self-explanatory, but I have not verified its relationship with the discharge summary main table.</t>
      </text>
    </comment>
    <comment ref="M46" authorId="8" shapeId="0" xr:uid="{3EB7C014-C36C-4BB2-BBB6-3512DF49E52B}">
      <text>
        <t>[Threaded comment]
Your version of Excel allows you to read this threaded comment; however, any edits to it will get removed if the file is opened in a newer version of Excel. Learn more: https://go.microsoft.com/fwlink/?linkid=870924
Comment:
    @Gillett, Richard HMDC . [mode_of_separation] may help but this will require further work / use in conjunction with other sources
Reply:
    sure, there are fields in HMDS which specify the onward location, @McMahon, Denise I think you know these off the top of your head - could you update the development comments ? Thanks Denise.</t>
      </text>
    </comment>
    <comment ref="M50" authorId="9" shapeId="0" xr:uid="{4D98E14C-4F67-4B23-9DE9-926DB2A13E0A}">
      <text>
        <t>[Threaded comment]
Your version of Excel allows you to read this threaded comment; however, any edits to it will get removed if the file is opened in a newer version of Excel. Learn more: https://go.microsoft.com/fwlink/?linkid=870924
Comment:
    @Gillett, Richard NW's original mapping suggested NACS.
HMDC.[separation_date] in conjunction with HMDC.[mode_of_separation] may help?
Reply:
    @Weber, Ben This is separation date from HMDS - for my reading of the defiinition.</t>
      </text>
    </comment>
    <comment ref="M75" authorId="10" shapeId="0" xr:uid="{BFAF3BFE-F41A-49F3-A5CD-5B0A5908B927}">
      <text>
        <t>[Threaded comment]
Your version of Excel allows you to read this threaded comment; however, any edits to it will get removed if the file is opened in a newer version of Excel. Learn more: https://go.microsoft.com/fwlink/?linkid=870924
Comment:
    @Gillett, Richard NW's original mapping suggested NACS</t>
      </text>
    </comment>
    <comment ref="M76" authorId="11" shapeId="0" xr:uid="{96AA0199-729B-44AE-AEB5-8309DEC89A4C}">
      <text>
        <t>[Threaded comment]
Your version of Excel allows you to read this threaded comment; however, any edits to it will get removed if the file is opened in a newer version of Excel. Learn more: https://go.microsoft.com/fwlink/?linkid=870924
Comment:
    @Weber, Ben to clarify with NCR</t>
      </text>
    </comment>
    <comment ref="AH88" authorId="12" shapeId="0" xr:uid="{5FA1DC1C-48F2-41D7-89E5-7DE644C355E1}">
      <text>
        <t>[Threaded comment]
Your version of Excel allows you to read this threaded comment; however, any edits to it will get removed if the file is opened in a newer version of Excel. Learn more: https://go.microsoft.com/fwlink/?linkid=870924
Comment:
    @Weber, Ben woudl you check the mapping for this one (I get a value of 4 coming through, but the NCR doesn't allow this value), if you could edit the dataflow/ETL that would be great.
Reply:
    mapping table HMDC_Indigenous_Status_inds.xlsx (sharepoint.com) not currently referenced</t>
      </text>
    </comment>
    <comment ref="M93" authorId="13" shapeId="0" xr:uid="{EAA3F177-EB8A-44BA-9986-3F220F7C8C23}">
      <text>
        <t>[Threaded comment]
Your version of Excel allows you to read this threaded comment; however, any edits to it will get removed if the file is opened in a newer version of Excel. Learn more: https://go.microsoft.com/fwlink/?linkid=870924
Comment:
    @Gillett, Richard NCR 2021 Information Release - mapped to Cardiobase.[Lesion Site]</t>
      </text>
    </comment>
    <comment ref="M95" authorId="14" shapeId="0" xr:uid="{AC52FDA9-BF4D-4EE1-8511-CE7B41509ED6}">
      <text>
        <t>[Threaded comment]
Your version of Excel allows you to read this threaded comment; however, any edits to it will get removed if the file is opened in a newer version of Excel. Learn more: https://go.microsoft.com/fwlink/?linkid=870924
Comment:
    @Gillett, Richard Cardiobase.[Stents Deployed] identified as potential alternative source? Requires mapping/review
Reply:
    Sure, that's something we can definitely look at with input from the clinical teams.  Let's set something up to confirm (noting that the definitions allow for mixed here).</t>
      </text>
    </comment>
    <comment ref="M151" authorId="15" shapeId="0" xr:uid="{EE664CCA-30BB-4238-AFA3-C7D7EACD39CF}">
      <text>
        <t>[Threaded comment]
Your version of Excel allows you to read this threaded comment; however, any edits to it will get removed if the file is opened in a newer version of Excel. Learn more: https://go.microsoft.com/fwlink/?linkid=870924
Comment:
    @McMahon, Denise Not sure what procedure codes should be selected to flag for PVD1. All procedure codes relating to episodes where the ICD-10 PVD code is present can be found in the link below. Happy to just search for key terms rather than list all procedure codes too.
Reply:
    https://wahealthdept.sharepoint.com/:x:/r/sites/WACardiacOutcomeRegistry/Shared%20Documents/01%20Starting%20up%20a%20project/06%20Metadata/02%20WACOR/02%20WACOR%20data%20dictionary/etl07xx/icd_achi_mapping.xlsx?d=web8725d8925649f5aa14f09485db30ce&amp;csf=1&amp;web=1&amp;e=lcKAax</t>
      </text>
    </comment>
    <comment ref="M152" authorId="16" shapeId="0" xr:uid="{AA0DD919-2497-4768-A9B8-1631C47D94DB}">
      <text>
        <t xml:space="preserve">[Threaded comment]
Your version of Excel allows you to read this threaded comment; however, any edits to it will get removed if the file is opened in a newer version of Excel. Learn more: https://go.microsoft.com/fwlink/?linkid=870924
Comment:
    @Li, Peter I have added some T codes here (and in 21 above) +removed R02, to account for complications of surgery for PVD which may accompany reoperations / revisions.  Also added two additional reoperation procedure codes.
Reply:
    @McMahon, Denise Thanks. Just wanted to double check that PVD diagnoses are only related to those with the "I" codes? Are the "T" codes secondary diagnoses, where the presence of them does not necessarily mean PVD? May need to chat through to get my understanding right!
Reply:
    Yes I will need to remove them as it wouldnt indicate necessarily a diagnosis of PVD.   Sorry
</t>
      </text>
    </comment>
    <comment ref="M174" authorId="17" shapeId="0" xr:uid="{585FBDE2-5DD5-430B-BA13-12E89B4FC77A}">
      <text>
        <t>[Threaded comment]
Your version of Excel allows you to read this threaded comment; however, any edits to it will get removed if the file is opened in a newer version of Excel. Learn more: https://go.microsoft.com/fwlink/?linkid=870924
Comment:
    @Gillett, Richard @Gillett, Richard NCR 2021 Information Release - tft = ( Cardiobase.[Procedure Time] )</t>
      </text>
    </comment>
    <comment ref="M210" authorId="18" shapeId="0" xr:uid="{A82E1D9C-A388-4B54-BA36-58E54D7A2823}">
      <text>
        <t>[Threaded comment]
Your version of Excel allows you to read this threaded comment; however, any edits to it will get removed if the file is opened in a newer version of Excel. Learn more: https://go.microsoft.com/fwlink/?linkid=870924
Comment:
    @Gillett, Richard NW mapping suggests Cardiobase.[IABP] (checkbox) - would require discussion/agreement for consistent use
Reply:
    Sure: the definition appears to refer to four categories of which IABP is one.  Looks like we can source that from cardiobase.  I'm not sure which device(s) are used across our cath labs here in WA, so it would be great to get engagement and input from all the sites.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Users\he68731\Downloads\query (5).iqy" keepAlive="1" name="query (5)" type="5" refreshedVersion="7" minRefreshableVersion="3" saveData="1">
    <dbPr connection="Provider=Microsoft.Office.List.OLEDB.2.0;Data Source=&quot;&quot;;ApplicationName=Excel;Version=12.0.0.0" command="&lt;LIST&gt;&lt;VIEWGUID&gt;C9A525CD-C0CD-4170-8E4A-C7EBF52B04AE&lt;/VIEWGUID&gt;&lt;LISTNAME&gt;{9E112CA9-3307-44F0-B256-5EA038B46DDA}&lt;/LISTNAME&gt;&lt;LISTWEB&gt;https://wahealthdept.sharepoint.com/sites/WACardiacOutcomeRegistry/_vti_bin&lt;/LISTWEB&gt;&lt;LISTSUBWEB&gt;&lt;/LISTSUBWEB&gt;&lt;ROOTFOLDER&gt;&lt;/ROOTFOLDER&gt;&lt;/LIST&gt;" commandType="5"/>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<sst xmlns="http://schemas.openxmlformats.org/spreadsheetml/2006/main" count="10712" uniqueCount="2911">
  <si>
    <r>
      <t xml:space="preserve">The </t>
    </r>
    <r>
      <rPr>
        <b/>
        <sz val="11"/>
        <color rgb="FF000000"/>
        <rFont val="Arial"/>
        <family val="2"/>
      </rPr>
      <t>WA PCI Data Set</t>
    </r>
    <r>
      <rPr>
        <sz val="11"/>
        <color rgb="FF000000"/>
        <rFont val="Arial"/>
        <family val="2"/>
      </rPr>
      <t xml:space="preserve"> workspace, a deep-dive focused on patients undergoing Percutaneous Coronary Intervention in Western Australia.</t>
    </r>
  </si>
  <si>
    <t>Data Dictionary</t>
  </si>
  <si>
    <t>Version:</t>
  </si>
  <si>
    <t>Western Australia</t>
  </si>
  <si>
    <t>PCI dataset data elements</t>
  </si>
  <si>
    <t>PCI dataset data terms</t>
  </si>
  <si>
    <t>PCI dataset indicators</t>
  </si>
  <si>
    <t>National</t>
  </si>
  <si>
    <t>National Registry (for information only)</t>
  </si>
  <si>
    <t>National Cardiac Outcomes Registry data items</t>
  </si>
  <si>
    <t>National Cardiac Outcomes Registry indicator specifications</t>
  </si>
  <si>
    <t>What is a data element?</t>
  </si>
  <si>
    <t>What is a data glossary item?</t>
  </si>
  <si>
    <t>Code</t>
  </si>
  <si>
    <t>Column Rule</t>
  </si>
  <si>
    <t>Conditions</t>
  </si>
  <si>
    <t>Fix</t>
  </si>
  <si>
    <t>Why</t>
  </si>
  <si>
    <t>ECG datetime must be before First balloon inflation datetime</t>
  </si>
  <si>
    <t>Date Time first balloon inflation &gt;= First ECG Date Time, and both variables are present</t>
  </si>
  <si>
    <t>Update ECG date time and/or First balloon inflation date time in Cardiobase</t>
  </si>
  <si>
    <t>To accurately measure the time from ECG to Reperfusion.</t>
  </si>
  <si>
    <t>Indication column is missing</t>
  </si>
  <si>
    <t>Indication = null or blank</t>
  </si>
  <si>
    <t>Update the Indication element in Cardiobase</t>
  </si>
  <si>
    <t>To identify STEMI patients.</t>
  </si>
  <si>
    <t>ECG to Balloon Inflation time is over 12 hours</t>
  </si>
  <si>
    <t>ECG to PCI time is greater than 720 minutes, 12 hours is arbitrary and can be changed</t>
  </si>
  <si>
    <t>Update ECG and/or First balloon inflation times in Cardiobase</t>
  </si>
  <si>
    <t>To ensure that ECG times and balloon inflation times are correct.</t>
  </si>
  <si>
    <t>All Date and Time fields are missing from the record</t>
  </si>
  <si>
    <t xml:space="preserve">Null values for: Time on table, procedure start, procedure end, time of arrival sja, time of arrival to ED, time of triage, time of first balloon inflation, time of first ecg. Could be updated to count the HMDC joined variables too, </t>
  </si>
  <si>
    <t>Update any/all relevent datetimes in Cardiobase</t>
  </si>
  <si>
    <t>To accurately measure the time of arrival.</t>
  </si>
  <si>
    <t>ECG datetime for STEMI patient is missing</t>
  </si>
  <si>
    <t>ACST = 3 and ecg date time is null</t>
  </si>
  <si>
    <t>Update ECG datetime in Cardiobase</t>
  </si>
  <si>
    <t>To ensure that all STEMI patients are captured within the ECG to reperfusion indicator.</t>
  </si>
  <si>
    <t>A HMDC match cannot be found for this record</t>
  </si>
  <si>
    <t>If Source_eventID = null. Could be due to no stent placing actually occurring as it is the only icd code</t>
  </si>
  <si>
    <t>Update and match datetime, umrn and establishment codes in Cardiobase and HMDC</t>
  </si>
  <si>
    <t>To allow for the matching of cardiobase to HMDC to use as an additional source of data for multiple indicators.</t>
  </si>
  <si>
    <t>A HMDC match was found for this record but the procedure dates are different.</t>
  </si>
  <si>
    <t>If Source_eventID = error7</t>
  </si>
  <si>
    <t>Update and match Procedure Start datetime in Cardiobase to be the same as the procedure date in HMDC or change the HMDC procedure date to be the correct date, umrn, establishment</t>
  </si>
  <si>
    <t>To ensure that dates are correctly entered in both systems to reduce incorrect matching.</t>
  </si>
  <si>
    <t>Date Time of Arrival for SJA greater than 24 hours from Procedure Start Date Time</t>
  </si>
  <si>
    <t>Number of days between time arrival SJA and Procedure start &gt; 1</t>
  </si>
  <si>
    <t>Update Time of Arrival of SJA or Procedure Start Date Time</t>
  </si>
  <si>
    <t>To ensure that dates used in indicator calculations are correct</t>
  </si>
  <si>
    <t>Date Time of Arrival at ED greater than 24 hours from Procedure Start Date Time</t>
  </si>
  <si>
    <t>Number of days between time arrival to ED and Procedure start &gt; 1</t>
  </si>
  <si>
    <t>Update Time of Arrival to ED or Procedure Start Date Time</t>
  </si>
  <si>
    <t>Date Time of Triage greater than 24 hours from Procedure Start Date Time</t>
  </si>
  <si>
    <t>Number of days between triage time and Procedure start &gt; 1</t>
  </si>
  <si>
    <t>Update Triage time or Procedure Start Date Time</t>
  </si>
  <si>
    <t>Date Time of First Balloon Inflation greater than 24 hours from Procedure Start Date Time</t>
  </si>
  <si>
    <t>Number of days between first balloon inflation and Procedure start &gt; 1</t>
  </si>
  <si>
    <t>Update First Balloon Inflation time or Procedure Start Date Time</t>
  </si>
  <si>
    <t>Date Time of Time on Table greater than 24 hours from Procedure Start Date Time</t>
  </si>
  <si>
    <t>Number of days between time on table and Procedure start &gt; 1</t>
  </si>
  <si>
    <t>Update Time on Table or Procedure Start Date Time</t>
  </si>
  <si>
    <t>Procedure End greater than 24 hours from Procedure Start</t>
  </si>
  <si>
    <t>Number of days between Procedure end and Procedure start &gt; 1</t>
  </si>
  <si>
    <t>Update Procedure End date or Procedure Start Date Time</t>
  </si>
  <si>
    <t xml:space="preserve">Date Time of First Balloon Inflation for STEMI patient is missing </t>
  </si>
  <si>
    <t>If ACST = 3 and time of first ballon inflation is null</t>
  </si>
  <si>
    <t>Input First balloon inflation date time.</t>
  </si>
  <si>
    <t>A Discharge Summary was not found for this record</t>
  </si>
  <si>
    <t>Relies on HMDS join. Code 6.</t>
  </si>
  <si>
    <t>Update Discharge summary, HMDS, and Cardiobase dates to match</t>
  </si>
  <si>
    <t>To ensure that medications data can be extracted from discharge summaries.</t>
  </si>
  <si>
    <t>A HMDC match was found for this record but there was no PCI ICD code attached.</t>
  </si>
  <si>
    <t>if Source_eventID = separations</t>
  </si>
  <si>
    <t>Update HMDS to include PCI ICD codes.</t>
  </si>
  <si>
    <t>To ensure that all PCI events are accurately coded in HMDC to have accurate matches for additional data for multiple indicators.</t>
  </si>
  <si>
    <t>Date Time of Time on Table is missing for this record</t>
  </si>
  <si>
    <t>Time on table is null</t>
  </si>
  <si>
    <t>Update Cardiobase Time on table.</t>
  </si>
  <si>
    <t>To ensure an aspect of Date Time of arrival is preserved if all previous times are missing.</t>
  </si>
  <si>
    <t>Arrival time must be before First balloon inflation time</t>
  </si>
  <si>
    <t>Date Time of arrival &lt; first balloon inflation time. toa is a composite column</t>
  </si>
  <si>
    <t>Update Time of arrival of SJA or Time of arrival at ED or Triage time or First balloon inflation time in cardiobase</t>
  </si>
  <si>
    <t>To accurately measure the time from arrival to reperfusion.</t>
  </si>
  <si>
    <t>Columns</t>
  </si>
  <si>
    <t>ECG Date Time must be before First balloon inflation datetime</t>
  </si>
  <si>
    <t>Update ECG Date Time and/or Balloon/Device Date Time in Cardiobase</t>
  </si>
  <si>
    <t>decgd, tecgd, dbd, tbd</t>
  </si>
  <si>
    <t>ECG Date Time for STEMI patient is missing</t>
  </si>
  <si>
    <t>Update ECG Date Time in Cardiobase</t>
  </si>
  <si>
    <t>decgd, tecgd</t>
  </si>
  <si>
    <t xml:space="preserve">Date Time of Balloon/Device Date Time for STEMI patient is missing </t>
  </si>
  <si>
    <t>If ACST = 3 and time of first ballon inflation are null</t>
  </si>
  <si>
    <t>dbd, tbd</t>
  </si>
  <si>
    <t>ECG to Balloon/Device Date Time is over 12 hours</t>
  </si>
  <si>
    <t>Update ECG and/or Balloon/Device Date Time in Cardiobase</t>
  </si>
  <si>
    <t>To ensure that ECG times and balloon/device inflation times are correct.</t>
  </si>
  <si>
    <t>Arrival Date Time must be before Balloon/Device Date Time</t>
  </si>
  <si>
    <t>Date Time of arrival &lt; first balloon inflation time</t>
  </si>
  <si>
    <t>doa, toa, dbd, tbd</t>
  </si>
  <si>
    <t>Arrival Date Time is missing</t>
  </si>
  <si>
    <t>Value is null</t>
  </si>
  <si>
    <t>Update Date and Time of Arrival in Redcap if present, otherwise update cardiobase
[TIME_ARRIVAL_SJA],
[ARRIVAL_DATETIME_EDDC],
[TRIAGE_DATETIME_EDDC],
[TIME_OF_ARRIVAL_ED],
[TRIAGE_TIME_DT]</t>
  </si>
  <si>
    <t>doa, toa</t>
  </si>
  <si>
    <t>Mode of discharge value is missing</t>
  </si>
  <si>
    <t>dis</t>
  </si>
  <si>
    <t>Date of Discharge value is missing</t>
  </si>
  <si>
    <t>dod</t>
  </si>
  <si>
    <t>Acute Coronary Syndrome value is missing</t>
  </si>
  <si>
    <t>acs</t>
  </si>
  <si>
    <t>Acute Coronary Syndrome Type value is missing</t>
  </si>
  <si>
    <t>acst</t>
  </si>
  <si>
    <t>Discharged on Lipid Lowering Therapy value is missing</t>
  </si>
  <si>
    <t>doll</t>
  </si>
  <si>
    <t>Discharged on Statin value is missing</t>
  </si>
  <si>
    <t>dstp</t>
  </si>
  <si>
    <t>Discharged on Aspirin value is missing</t>
  </si>
  <si>
    <t>dasp</t>
  </si>
  <si>
    <t>Discharged on Other Antiplatelet Therapy value is missing</t>
  </si>
  <si>
    <t>doap</t>
  </si>
  <si>
    <t>Date of Procedure value is missing</t>
  </si>
  <si>
    <t>dop</t>
  </si>
  <si>
    <t>PCI column cannot be filled</t>
  </si>
  <si>
    <t>pci</t>
  </si>
  <si>
    <t>Relies on HMDS join.</t>
  </si>
  <si>
    <t>Column</t>
  </si>
  <si>
    <t>Relies on Column</t>
  </si>
  <si>
    <t>Source</t>
  </si>
  <si>
    <t>Notes</t>
  </si>
  <si>
    <t>Rules</t>
  </si>
  <si>
    <t>ICD codes</t>
  </si>
  <si>
    <t>HMDS</t>
  </si>
  <si>
    <t>Relies on manual ICD code lookups, missing for unspecified codes.</t>
  </si>
  <si>
    <t>-</t>
  </si>
  <si>
    <t>Indication</t>
  </si>
  <si>
    <t>Cardiobase</t>
  </si>
  <si>
    <t>Relies on manual lookup table that is incomplete.</t>
  </si>
  <si>
    <t>crehab</t>
  </si>
  <si>
    <t>Relies on ICD codes to capture Cardiovascular patients</t>
  </si>
  <si>
    <t>Outpatient attendance to Cardiac Rehab</t>
  </si>
  <si>
    <t>Relies on ICD codes to capture Cardiovascular patients and patient attending their rehab</t>
  </si>
  <si>
    <t>THERAPUTICGOODIDENTIFICATION_DESCRIPTION</t>
  </si>
  <si>
    <t>NACS</t>
  </si>
  <si>
    <t>Relies on medication being entered in discharge summary</t>
  </si>
  <si>
    <t>dbd</t>
  </si>
  <si>
    <t>TIME_FIRST_BALLOON_INFLATION_DT</t>
  </si>
  <si>
    <t>Only required if ACST = 3</t>
  </si>
  <si>
    <t>Date within min and max dates, Greater than first ECG time</t>
  </si>
  <si>
    <t>decgd</t>
  </si>
  <si>
    <t>FIRST_ECG_TIME_DT</t>
  </si>
  <si>
    <t>Date within min and max dates, Less than balloon inflation time</t>
  </si>
  <si>
    <t>CARE_TYPE_F</t>
  </si>
  <si>
    <t>Relies on HMDS event occuring after PCI event</t>
  </si>
  <si>
    <t>MODE_OF_SEPARATION</t>
  </si>
  <si>
    <t>dmort30</t>
  </si>
  <si>
    <t>Cause of Death</t>
  </si>
  <si>
    <t>DR</t>
  </si>
  <si>
    <t>Relies on manual Cause of Death lookup</t>
  </si>
  <si>
    <t>doa</t>
  </si>
  <si>
    <t>admission_datetime_hmdc</t>
  </si>
  <si>
    <t>Date within min and max dates</t>
  </si>
  <si>
    <t>TEST_DATE</t>
  </si>
  <si>
    <t>TIME_ARRIVAL_SJA</t>
  </si>
  <si>
    <t>TIME_OF_ARRIVAL_ED</t>
  </si>
  <si>
    <t>TIME_ON_TABLE_DT</t>
  </si>
  <si>
    <t>TRIAGE_TIME_DT</t>
  </si>
  <si>
    <t>wa_arrival_datetime_eddc</t>
  </si>
  <si>
    <t>EDDC</t>
  </si>
  <si>
    <t>Procedure Start</t>
  </si>
  <si>
    <t>Procedure End</t>
  </si>
  <si>
    <t>ihstr</t>
  </si>
  <si>
    <t>ICD Codes</t>
  </si>
  <si>
    <t>Relies on manual ICD code lookups</t>
  </si>
  <si>
    <t>iht</t>
  </si>
  <si>
    <t>source_of_referral_location</t>
  </si>
  <si>
    <t>pc30</t>
  </si>
  <si>
    <t>Relies on ICD codes to capture Cardiac patients</t>
  </si>
  <si>
    <t>pci30</t>
  </si>
  <si>
    <t>Relies on ICD codes to capture Cardiac patients and PCI Procedures</t>
  </si>
  <si>
    <t>tbd</t>
  </si>
  <si>
    <t>tecgd</t>
  </si>
  <si>
    <t>toa</t>
  </si>
  <si>
    <t>wa_arrival_datetime_hmdc</t>
  </si>
  <si>
    <t>NCR Col</t>
  </si>
  <si>
    <t>PCI Registry</t>
  </si>
  <si>
    <t>Note</t>
  </si>
  <si>
    <t>pci_indication_list</t>
  </si>
  <si>
    <t>pci_indication_list is recoded into the 'pci' NCR column, which is then used to inform acst</t>
  </si>
  <si>
    <t>discharge_meds___1</t>
  </si>
  <si>
    <t>Aspirin</t>
  </si>
  <si>
    <t>discharge_meds___2</t>
  </si>
  <si>
    <t>Clopidogrel</t>
  </si>
  <si>
    <t>discharge_meds___3</t>
  </si>
  <si>
    <t>Ticagrelor</t>
  </si>
  <si>
    <t>discharge_meds___4</t>
  </si>
  <si>
    <t>Statin</t>
  </si>
  <si>
    <t>discharge_meds___5</t>
  </si>
  <si>
    <t>Other lipid lowering therapies (fibrate, ezetimibe etc)</t>
  </si>
  <si>
    <t>discharge_meds___9</t>
  </si>
  <si>
    <t>Discharge medications unknown</t>
  </si>
  <si>
    <t>ecg_date_time</t>
  </si>
  <si>
    <t>activation_prehospital_sja</t>
  </si>
  <si>
    <t>ecg_date_time_2</t>
  </si>
  <si>
    <t>activation_by_pci_centre_ed</t>
  </si>
  <si>
    <t>ecg_date_time_3</t>
  </si>
  <si>
    <t>activation_by_nonpci_centre_ed_iht</t>
  </si>
  <si>
    <t>ecg_date_time_4</t>
  </si>
  <si>
    <t>activation_by_other_hospital_ward_at_pci_centre</t>
  </si>
  <si>
    <t>ecg_date_time_5</t>
  </si>
  <si>
    <t>rescue_pci</t>
  </si>
  <si>
    <t>discharge_status</t>
  </si>
  <si>
    <t>Discharged home, Discharged to rehab / hospital, In-hospital death - Does not contain all options</t>
  </si>
  <si>
    <t>Currently empty</t>
  </si>
  <si>
    <t>door_date_time</t>
  </si>
  <si>
    <t>SJA Activation - arrival at PCI centre</t>
  </si>
  <si>
    <t>door_time_2</t>
  </si>
  <si>
    <t>PCI centre ED Activation - arrival at PCI centre</t>
  </si>
  <si>
    <t>door2_arrival_time</t>
  </si>
  <si>
    <t>non-PCI centre ED Activation - arrival at PCI centre</t>
  </si>
  <si>
    <t>arrival_pci_centre_5</t>
  </si>
  <si>
    <t>rescue PCI - arrival at PCI centre</t>
  </si>
  <si>
    <t>dop_top</t>
  </si>
  <si>
    <t>PCI procedure date/time</t>
  </si>
  <si>
    <t>top</t>
  </si>
  <si>
    <t>ihbl</t>
  </si>
  <si>
    <t>1, Type 1 | 2, Type 2 | 3, Type 3a | 4, Type 3b | 5, Type 3c | 6, Type 4 | 7, Type 5a | 8, Type 5b</t>
  </si>
  <si>
    <t>ihblsite</t>
  </si>
  <si>
    <t>1, Retroperitoneal | 2, PCI access site | 3, GI tract | 4, Cerebral | 5, Genitourinary | 6, Other</t>
  </si>
  <si>
    <t>In-hospital stroke</t>
  </si>
  <si>
    <t>stemi_route</t>
  </si>
  <si>
    <t>Stemi patient route = Activation non-PCI centre (IHT)</t>
  </si>
  <si>
    <t>ihtlr</t>
  </si>
  <si>
    <t>tlr_pci</t>
  </si>
  <si>
    <t>Was PCI needed for target lesion revascularisation (TLR)?</t>
  </si>
  <si>
    <t>ihtvr</t>
  </si>
  <si>
    <t>tvr_pci</t>
  </si>
  <si>
    <t>Was PCI needed for target vessel revascularisation (TVR)?</t>
  </si>
  <si>
    <t>ihpci</t>
  </si>
  <si>
    <t>subs_pci</t>
  </si>
  <si>
    <t>Subsequent PCI (during same admission)</t>
  </si>
  <si>
    <t>ihpcip</t>
  </si>
  <si>
    <t>planned_subs_pci</t>
  </si>
  <si>
    <t>Was subsequent PCI planned (staged)?</t>
  </si>
  <si>
    <t>mort30r</t>
  </si>
  <si>
    <t>1, Non-cardiac | 2, Cardiac | 3, Uncertain</t>
  </si>
  <si>
    <t>Planned cardiac rehospitalisation</t>
  </si>
  <si>
    <t>crh30</t>
  </si>
  <si>
    <t>Cardiac rehospitalisation</t>
  </si>
  <si>
    <t>Planned PCI rehospitalisation</t>
  </si>
  <si>
    <t>stat30</t>
  </si>
  <si>
    <t>Status at 30 days 1, Alive | 2, Deceased | 3, Lost to follow-up</t>
  </si>
  <si>
    <t>device_time</t>
  </si>
  <si>
    <t>device_time_2</t>
  </si>
  <si>
    <t>device_time_3</t>
  </si>
  <si>
    <t>device_time_4</t>
  </si>
  <si>
    <t>device_time_5</t>
  </si>
  <si>
    <t>tlr30</t>
  </si>
  <si>
    <t>1, Yes | 2, No | 3, Unknown</t>
  </si>
  <si>
    <t>tvr30</t>
  </si>
  <si>
    <t>Indicator element analysis</t>
  </si>
  <si>
    <t>Data Elements Page</t>
  </si>
  <si>
    <t>Needed for indicator?</t>
  </si>
  <si>
    <t>(All)</t>
  </si>
  <si>
    <t>ncr_required</t>
  </si>
  <si>
    <t>Values</t>
  </si>
  <si>
    <t>field_id</t>
  </si>
  <si>
    <t>label</t>
  </si>
  <si>
    <t>tranche</t>
  </si>
  <si>
    <t>Count of field_id</t>
  </si>
  <si>
    <t>Count of Cardiobase Angioplasty</t>
  </si>
  <si>
    <t>Count of Cardiobase RiskScore</t>
  </si>
  <si>
    <t>Was the patient  suffering from an acute coronary syndrome (ACS) in the 7 day period leading up to and including the index PCI?</t>
  </si>
  <si>
    <t>2c</t>
  </si>
  <si>
    <t>Type of ACS (select ONE):</t>
  </si>
  <si>
    <t>2d</t>
  </si>
  <si>
    <t>age</t>
  </si>
  <si>
    <t>Patient age</t>
  </si>
  <si>
    <t>bmi</t>
  </si>
  <si>
    <t>Body Mass Index [kg/m^2]</t>
  </si>
  <si>
    <t>(blank)</t>
  </si>
  <si>
    <t>cab30</t>
  </si>
  <si>
    <t>CABG Rehospitalisation</t>
  </si>
  <si>
    <t>2a</t>
  </si>
  <si>
    <t>cab30_2</t>
  </si>
  <si>
    <t>cab30_3</t>
  </si>
  <si>
    <t>cab30_4</t>
  </si>
  <si>
    <t>cab30_5</t>
  </si>
  <si>
    <t>cab30_6</t>
  </si>
  <si>
    <t>cagssite</t>
  </si>
  <si>
    <t>CAGS on-site vs CAGS not on-site</t>
  </si>
  <si>
    <t>Cardiac rehabilitation referral</t>
  </si>
  <si>
    <t>crh30_2</t>
  </si>
  <si>
    <t>2b</t>
  </si>
  <si>
    <t>crh30_3</t>
  </si>
  <si>
    <t>crh30_4</t>
  </si>
  <si>
    <t>crh30_5</t>
  </si>
  <si>
    <t>crh30_6</t>
  </si>
  <si>
    <t>dap</t>
  </si>
  <si>
    <t>Total exam Dose Area Product in mGy/m2</t>
  </si>
  <si>
    <t>Aspirin prescribed at discharge</t>
  </si>
  <si>
    <t>db</t>
  </si>
  <si>
    <t>Diabetes</t>
  </si>
  <si>
    <t>Balloon/device date</t>
  </si>
  <si>
    <t>dbdt</t>
  </si>
  <si>
    <t>Door to balloon/device time [mins]</t>
  </si>
  <si>
    <t>dbm</t>
  </si>
  <si>
    <t>Diabetes management type</t>
  </si>
  <si>
    <t>Date of diagnostic ECG</t>
  </si>
  <si>
    <t>def</t>
  </si>
  <si>
    <t>Date of LVEF test</t>
  </si>
  <si>
    <t>dfmc</t>
  </si>
  <si>
    <t>Date of first medical contact</t>
  </si>
  <si>
    <t>dfu30</t>
  </si>
  <si>
    <t>Date of Follow-up</t>
  </si>
  <si>
    <t>Discharge status</t>
  </si>
  <si>
    <t>Date of death</t>
  </si>
  <si>
    <t>Date of arrival at PCI hospital</t>
  </si>
  <si>
    <t>Other antiplatelet prescribed at discharge</t>
  </si>
  <si>
    <t>Date of discharge / hospital mortality</t>
  </si>
  <si>
    <t>Other Lipid Lowering Therapies prescribed at discharge</t>
  </si>
  <si>
    <t>PCI procedure date</t>
  </si>
  <si>
    <t>dpcabg</t>
  </si>
  <si>
    <t>When was the most recent CABG?</t>
  </si>
  <si>
    <t>dppci</t>
  </si>
  <si>
    <t>When was the most recent PCI?</t>
  </si>
  <si>
    <t>dso</t>
  </si>
  <si>
    <t>Date of ACS symptom onset</t>
  </si>
  <si>
    <t>Statin prescribed at discharge</t>
  </si>
  <si>
    <t>ecgdb</t>
  </si>
  <si>
    <t>Diagnostic ECG to balloon [mins]</t>
  </si>
  <si>
    <t>ed</t>
  </si>
  <si>
    <t>ED vs no ED</t>
  </si>
  <si>
    <t>ef</t>
  </si>
  <si>
    <t>Ejection fraction (EF) test result 
Digitally Derived %</t>
  </si>
  <si>
    <t>2z</t>
  </si>
  <si>
    <t>efes</t>
  </si>
  <si>
    <t>Ejection fraction (EF) test result Estimated</t>
  </si>
  <si>
    <t>eft</t>
  </si>
  <si>
    <t>LVEF test type</t>
  </si>
  <si>
    <t>eftp</t>
  </si>
  <si>
    <t>LVEF test performed</t>
  </si>
  <si>
    <t>egfr</t>
  </si>
  <si>
    <t>Estimated Glomerular Filtration Rate (Cockcroft-Gault formula)</t>
  </si>
  <si>
    <t>egfri</t>
  </si>
  <si>
    <t>Estimated Glomerular Filtration Rate Imported</t>
  </si>
  <si>
    <t>email</t>
  </si>
  <si>
    <t>Email address</t>
  </si>
  <si>
    <t>eventid</t>
  </si>
  <si>
    <t>n/a</t>
  </si>
  <si>
    <t>firstname</t>
  </si>
  <si>
    <t>First Name</t>
  </si>
  <si>
    <t>fmctd</t>
  </si>
  <si>
    <t>FMC to door [mins]</t>
  </si>
  <si>
    <t>fmctecg</t>
  </si>
  <si>
    <t>FMC to Diagnostic ECG[mins]</t>
  </si>
  <si>
    <t>fmctr</t>
  </si>
  <si>
    <t>FMC to reperfusion [mins]</t>
  </si>
  <si>
    <t>hid</t>
  </si>
  <si>
    <t>State Hospital ID</t>
  </si>
  <si>
    <t>hname</t>
  </si>
  <si>
    <t>Hospital Name</t>
  </si>
  <si>
    <t>htm</t>
  </si>
  <si>
    <t>Patient height [cm]</t>
  </si>
  <si>
    <t>In-hospital bleeding</t>
  </si>
  <si>
    <t>In-hospital bleeding site</t>
  </si>
  <si>
    <t>ihcab</t>
  </si>
  <si>
    <t>In-hospital cardiothoracic surgery</t>
  </si>
  <si>
    <t>ihmi</t>
  </si>
  <si>
    <t>In-hospital MI</t>
  </si>
  <si>
    <t>ihpcab</t>
  </si>
  <si>
    <t>Planned cardiothoracic surgery</t>
  </si>
  <si>
    <t>Subsequent PCI (in this admission)</t>
  </si>
  <si>
    <t>Planned subsequent PCI</t>
  </si>
  <si>
    <t>ihst</t>
  </si>
  <si>
    <t>In hospital stent thrombosis</t>
  </si>
  <si>
    <t>ihstrt</t>
  </si>
  <si>
    <t>In-hospital stroke type</t>
  </si>
  <si>
    <t>Inter-hospital transfer</t>
  </si>
  <si>
    <t>In-hospital target LESION revascularisation</t>
  </si>
  <si>
    <t>ihtvcab</t>
  </si>
  <si>
    <t>In-hospital TVR (CABG)</t>
  </si>
  <si>
    <t>In-hospital Target Vessel (PCI)</t>
  </si>
  <si>
    <t>inds</t>
  </si>
  <si>
    <t>Indigenous status</t>
  </si>
  <si>
    <t>inp</t>
  </si>
  <si>
    <t>Inpatient at Time of ACS</t>
  </si>
  <si>
    <t>lastname</t>
  </si>
  <si>
    <t>Last  name</t>
  </si>
  <si>
    <t>los</t>
  </si>
  <si>
    <t>Length of Stay</t>
  </si>
  <si>
    <t>lr1_isr</t>
  </si>
  <si>
    <t>In-stent restenosis (ISR)</t>
  </si>
  <si>
    <t>lr1_isrst</t>
  </si>
  <si>
    <t>Stent thrombosis</t>
  </si>
  <si>
    <t>lr1_lesion</t>
  </si>
  <si>
    <t>Lesion location</t>
  </si>
  <si>
    <t>lr1_lst</t>
  </si>
  <si>
    <t>Lesion successfully treated</t>
  </si>
  <si>
    <t>lr1_sit</t>
  </si>
  <si>
    <t>Type of stent(s) implanted</t>
  </si>
  <si>
    <t>lr2_isr</t>
  </si>
  <si>
    <t>lr2_isrst</t>
  </si>
  <si>
    <t>lr2_lesion</t>
  </si>
  <si>
    <t>lr2_lst</t>
  </si>
  <si>
    <t>lr2_sit</t>
  </si>
  <si>
    <t>lr3_isr</t>
  </si>
  <si>
    <t>lr3_isrst</t>
  </si>
  <si>
    <t>lr3_lesion</t>
  </si>
  <si>
    <t>lr3_lst</t>
  </si>
  <si>
    <t>lr3_sit</t>
  </si>
  <si>
    <t>lr4_isr</t>
  </si>
  <si>
    <t>lr4_isrst</t>
  </si>
  <si>
    <t>lr4_lesion</t>
  </si>
  <si>
    <t>lr4_lst</t>
  </si>
  <si>
    <t>lr4_sit</t>
  </si>
  <si>
    <t>lr5_isr</t>
  </si>
  <si>
    <t>lr5_isrst</t>
  </si>
  <si>
    <t>lr5_lesion</t>
  </si>
  <si>
    <t>lr5_lst</t>
  </si>
  <si>
    <t>lr5_sit</t>
  </si>
  <si>
    <t>mi30</t>
  </si>
  <si>
    <t>New MI</t>
  </si>
  <si>
    <t>Out of hospital primary cause of death (cardiac/non-cardiac)</t>
  </si>
  <si>
    <t>mortc</t>
  </si>
  <si>
    <t>In hospital primary cause of death (cardiac/non-cardiac)</t>
  </si>
  <si>
    <t>ncrhid</t>
  </si>
  <si>
    <t>NCR Hospital ID</t>
  </si>
  <si>
    <t>ncrpatientid</t>
  </si>
  <si>
    <t>PatientID NCR</t>
  </si>
  <si>
    <t>ncrpo</t>
  </si>
  <si>
    <t>NCR Primary Operator</t>
  </si>
  <si>
    <t>npcr</t>
  </si>
  <si>
    <t>Creatinine result not available</t>
  </si>
  <si>
    <t>nstr</t>
  </si>
  <si>
    <t>New stroke</t>
  </si>
  <si>
    <t>nstrt</t>
  </si>
  <si>
    <t>new stroke type</t>
  </si>
  <si>
    <t>ntso</t>
  </si>
  <si>
    <t>Onset time not available</t>
  </si>
  <si>
    <t>oca</t>
  </si>
  <si>
    <t>Out-of-hospital cardiac arrest</t>
  </si>
  <si>
    <t>patientid</t>
  </si>
  <si>
    <t>PatientID State Code</t>
  </si>
  <si>
    <t>pc30_2</t>
  </si>
  <si>
    <t>pc30_3</t>
  </si>
  <si>
    <t>pc30_4</t>
  </si>
  <si>
    <t>pc30_5</t>
  </si>
  <si>
    <t>pc30_6</t>
  </si>
  <si>
    <t>pcabg</t>
  </si>
  <si>
    <t>Previous CABG</t>
  </si>
  <si>
    <t>PCI indication</t>
  </si>
  <si>
    <t>PCI rehospitalisation</t>
  </si>
  <si>
    <t>pci30_2</t>
  </si>
  <si>
    <t>pci30_3</t>
  </si>
  <si>
    <t>pci30_4</t>
  </si>
  <si>
    <t>pci30_5</t>
  </si>
  <si>
    <t>pci30_6</t>
  </si>
  <si>
    <t>pcode</t>
  </si>
  <si>
    <t>Postcode</t>
  </si>
  <si>
    <t>pcr</t>
  </si>
  <si>
    <t>Last pre-procedure creatinine (µmol/L)
OR</t>
  </si>
  <si>
    <t>pel</t>
  </si>
  <si>
    <t>Percutaneous entry location</t>
  </si>
  <si>
    <t>phn</t>
  </si>
  <si>
    <t>Pre -Hospital notification</t>
  </si>
  <si>
    <t>pint</t>
  </si>
  <si>
    <t>Pre-procedure intubation</t>
  </si>
  <si>
    <t>pintr</t>
  </si>
  <si>
    <t>Procedural intubation required</t>
  </si>
  <si>
    <t>po</t>
  </si>
  <si>
    <t>Primary Operator</t>
  </si>
  <si>
    <t>ppci</t>
  </si>
  <si>
    <t>Previous PCI</t>
  </si>
  <si>
    <t>pubpri</t>
  </si>
  <si>
    <t>Public/Private</t>
  </si>
  <si>
    <t>pvd1</t>
  </si>
  <si>
    <t>Peripheral vascular disease history 1 - with intervention</t>
  </si>
  <si>
    <t>pvd2</t>
  </si>
  <si>
    <t>Peripheral vascular disease history 2 - broader definition</t>
  </si>
  <si>
    <t>rhdte</t>
  </si>
  <si>
    <t>Cardiac rehospitalisation Date</t>
  </si>
  <si>
    <t>rhdte_2</t>
  </si>
  <si>
    <t>rhdte_3</t>
  </si>
  <si>
    <t>rhdte_4</t>
  </si>
  <si>
    <t>rhdte_5</t>
  </si>
  <si>
    <t>rhdte_6</t>
  </si>
  <si>
    <t>role</t>
  </si>
  <si>
    <t>Role</t>
  </si>
  <si>
    <t>sex</t>
  </si>
  <si>
    <t>shock</t>
  </si>
  <si>
    <t>Cardiogenic shock</t>
  </si>
  <si>
    <t>sitedeact</t>
  </si>
  <si>
    <t>Site Status - Deactivated</t>
  </si>
  <si>
    <t>sofmc</t>
  </si>
  <si>
    <t>Symptom Onset to FMC</t>
  </si>
  <si>
    <t>sor</t>
  </si>
  <si>
    <t>Symptom Onset to reperfusion</t>
  </si>
  <si>
    <t>spr</t>
  </si>
  <si>
    <t>Self presenter</t>
  </si>
  <si>
    <t>st30</t>
  </si>
  <si>
    <t>New stent-thrombosis</t>
  </si>
  <si>
    <t>Follow-up status</t>
  </si>
  <si>
    <t>state</t>
  </si>
  <si>
    <t>State</t>
  </si>
  <si>
    <t>tak</t>
  </si>
  <si>
    <t>Total entrance radiation dose (Air Kerma)</t>
  </si>
  <si>
    <t>Balloon/device time</t>
  </si>
  <si>
    <t>Time of diagnostic ECG</t>
  </si>
  <si>
    <t>tfmc</t>
  </si>
  <si>
    <t>Time of first medical contact</t>
  </si>
  <si>
    <t>tft</t>
  </si>
  <si>
    <t>Total fluoroscopy time in mins</t>
  </si>
  <si>
    <t>Target LESION revascularisation (TLR)</t>
  </si>
  <si>
    <t>tlr30_2</t>
  </si>
  <si>
    <t>tlr30_3</t>
  </si>
  <si>
    <t>tlr30_4</t>
  </si>
  <si>
    <t>tlr30_5</t>
  </si>
  <si>
    <t>tlr30_6</t>
  </si>
  <si>
    <t>Time of arrival at PCI hospital</t>
  </si>
  <si>
    <t>PCI Procedure time</t>
  </si>
  <si>
    <t>tso</t>
  </si>
  <si>
    <t>Time of ACS symptom onset</t>
  </si>
  <si>
    <t>tvcab30</t>
  </si>
  <si>
    <t>Target Vessel CABG</t>
  </si>
  <si>
    <t>tvcab30_2</t>
  </si>
  <si>
    <t>tvcab30_3</t>
  </si>
  <si>
    <t>tvcab30_4</t>
  </si>
  <si>
    <t>tvcab30_5</t>
  </si>
  <si>
    <t>tvcab30_6</t>
  </si>
  <si>
    <t>Target Vessel revascularisation (PCI)</t>
  </si>
  <si>
    <t>tvr30_2</t>
  </si>
  <si>
    <t>tvr30_3</t>
  </si>
  <si>
    <t>tvr30_4</t>
  </si>
  <si>
    <t>tvr30_5</t>
  </si>
  <si>
    <t>tvr30_6</t>
  </si>
  <si>
    <t>volume</t>
  </si>
  <si>
    <t>PCI annual case volume</t>
  </si>
  <si>
    <t>vsr</t>
  </si>
  <si>
    <t>Mechanical circulatory support</t>
  </si>
  <si>
    <t>wkg</t>
  </si>
  <si>
    <t>Patient weight [kg]</t>
  </si>
  <si>
    <t>Grand Total</t>
  </si>
  <si>
    <t>This page summarises the potential data sources for data elements from the data_elements page.</t>
  </si>
  <si>
    <t>Data Elements</t>
  </si>
  <si>
    <t>Total data elements.</t>
  </si>
  <si>
    <t>Data elements classified by the NCR as 'always' required.</t>
  </si>
  <si>
    <t>Source system</t>
  </si>
  <si>
    <t xml:space="preserve">N. Data Elements </t>
  </si>
  <si>
    <t>% data elements</t>
  </si>
  <si>
    <t>Cardiobase Angioplasty</t>
  </si>
  <si>
    <t>Readmission related elements (optional - i.e. not required for patients who are not readmitted).</t>
  </si>
  <si>
    <t>Cardiobase RiskScore</t>
  </si>
  <si>
    <t>Lesion data element (four data elements per lesion, minimum of one lesion).</t>
  </si>
  <si>
    <t>DOH</t>
  </si>
  <si>
    <t>HMDC</t>
  </si>
  <si>
    <t>Data elements are derived.</t>
  </si>
  <si>
    <t>SJA (Ambulance)</t>
  </si>
  <si>
    <t>HIH</t>
  </si>
  <si>
    <t>Total number of NCR data elements needed for indicators.</t>
  </si>
  <si>
    <t>Derived</t>
  </si>
  <si>
    <t>Number of data elements WA has deployed in the PCI dataset which contribute to indicators.</t>
  </si>
  <si>
    <t>Deaths registry</t>
  </si>
  <si>
    <t>Number of data elements deployed in the PCI dataset, and the files to upload to the NCR.</t>
  </si>
  <si>
    <t>Nil</t>
  </si>
  <si>
    <t>Development</t>
  </si>
  <si>
    <t>Number of data elements live in the PCI dataset, which are classed as 'always' required by the NCR.</t>
  </si>
  <si>
    <t>nil</t>
  </si>
  <si>
    <t>No source system</t>
  </si>
  <si>
    <t>Total</t>
  </si>
  <si>
    <t>NCR Group</t>
  </si>
  <si>
    <t>Total Columns</t>
  </si>
  <si>
    <t>Complete Columns</t>
  </si>
  <si>
    <t>Site</t>
  </si>
  <si>
    <t>Single Source Columns</t>
  </si>
  <si>
    <t>Patient</t>
  </si>
  <si>
    <t>Admission and Preprocedural</t>
  </si>
  <si>
    <t>Procedure</t>
  </si>
  <si>
    <t>Post Procedure</t>
  </si>
  <si>
    <t>Discharge</t>
  </si>
  <si>
    <t>30 Day Follow Up</t>
  </si>
  <si>
    <t>Redcap</t>
  </si>
  <si>
    <t>Blank</t>
  </si>
  <si>
    <t>Change Log for WA Data Dictionary</t>
  </si>
  <si>
    <t>Version</t>
  </si>
  <si>
    <t>Date</t>
  </si>
  <si>
    <t>Initial version created</t>
  </si>
  <si>
    <t>NCR data items added</t>
  </si>
  <si>
    <t>Previous WACOR upload notes added</t>
  </si>
  <si>
    <t>Minor cosmetic updates</t>
  </si>
  <si>
    <t>Test run through for toa, added guide_for_use &amp; minor amendments</t>
  </si>
  <si>
    <t>Tranch 1 added minor amendments</t>
  </si>
  <si>
    <t>Columns less relevant moved to the far right, sections less meaningful shifted lower.</t>
  </si>
  <si>
    <t>Updates to data sources, to identify additional data sources to reduce front line clinical staff duplicating data input.</t>
  </si>
  <si>
    <t>Column added to flag questions for clinical staff.  Data sources added.  Progress statuses added.</t>
  </si>
  <si>
    <t>Added Deployed In columns for PCI Dataset and Cardiovascular (PBI workspaces) and revised Tranche Summary</t>
  </si>
  <si>
    <t>Updates to guide for use for data elements derived from HMDS.</t>
  </si>
  <si>
    <t>Choices</t>
  </si>
  <si>
    <t>Definition</t>
  </si>
  <si>
    <t>WAH System</t>
  </si>
  <si>
    <t>Tab</t>
  </si>
  <si>
    <t>Title</t>
  </si>
  <si>
    <t>NCR Variable ID</t>
  </si>
  <si>
    <t>NCR Field Name</t>
  </si>
  <si>
    <t>STEMI ONLY?</t>
  </si>
  <si>
    <t>Module</t>
  </si>
  <si>
    <t>Field Name</t>
  </si>
  <si>
    <t>RPH/FSHCollection Date</t>
  </si>
  <si>
    <t>RPH/FSH Collector</t>
  </si>
  <si>
    <t>SCGH
Collection Date</t>
  </si>
  <si>
    <t>SCGH Collector</t>
  </si>
  <si>
    <t>NCR 1</t>
  </si>
  <si>
    <t>NCR 2</t>
  </si>
  <si>
    <t>NCR 3</t>
  </si>
  <si>
    <t>NCR 4</t>
  </si>
  <si>
    <t>NCR 5</t>
  </si>
  <si>
    <t>NCR 6</t>
  </si>
  <si>
    <t>NCR 7</t>
  </si>
  <si>
    <t>NCR 8</t>
  </si>
  <si>
    <t>NCR 9</t>
  </si>
  <si>
    <t>NCR 10</t>
  </si>
  <si>
    <t>NCR 11</t>
  </si>
  <si>
    <t>Angioplasty Data Extract Export Column Name</t>
  </si>
  <si>
    <t>Angioplasty Data Extract Export Column ID</t>
  </si>
  <si>
    <t>NW Comments</t>
  </si>
  <si>
    <t>Comments</t>
  </si>
  <si>
    <t>Field type</t>
  </si>
  <si>
    <t>NCR Permitted Values</t>
  </si>
  <si>
    <t>in_progress</t>
  </si>
  <si>
    <t>This is a unique patient ID code that must follow them throughout the life of the patient journey.</t>
  </si>
  <si>
    <t>1</t>
  </si>
  <si>
    <t>record_id</t>
  </si>
  <si>
    <t>Record ID</t>
  </si>
  <si>
    <t>Must be generated by WACOR</t>
  </si>
  <si>
    <t xml:space="preserve">Derived </t>
  </si>
  <si>
    <t>NNNNNN</t>
  </si>
  <si>
    <t>wacor generated</t>
  </si>
  <si>
    <t>WebPAS or Cardiobase</t>
  </si>
  <si>
    <t>2</t>
  </si>
  <si>
    <t>umrn</t>
  </si>
  <si>
    <t>Primary</t>
  </si>
  <si>
    <t>hmds</t>
  </si>
  <si>
    <t>PCI</t>
  </si>
  <si>
    <t>3</t>
  </si>
  <si>
    <t>dob</t>
  </si>
  <si>
    <t>Patient date of birth</t>
  </si>
  <si>
    <t>DOB</t>
  </si>
  <si>
    <t>C</t>
  </si>
  <si>
    <t>DD/MM/YYYY</t>
  </si>
  <si>
    <t>1, male | 2, female</t>
  </si>
  <si>
    <t>Data</t>
  </si>
  <si>
    <t>4</t>
  </si>
  <si>
    <t>gender</t>
  </si>
  <si>
    <t>Gender</t>
  </si>
  <si>
    <t>D</t>
  </si>
  <si>
    <t>needs to define sex and gender</t>
  </si>
  <si>
    <t>0, Neither | 1, Aboriginal | 2, Torres Strait Islander | 3, Both Aboriginal and Torres Strait Islander | -1, Unknown</t>
  </si>
  <si>
    <t>WebPAS</t>
  </si>
  <si>
    <t>5</t>
  </si>
  <si>
    <t>0 = Neither,                       1 = Aboriginal,
2 = Torres Strait Islander,
3 = Both Aboriginal and Torres Strait Islander
-1 = Unknown</t>
  </si>
  <si>
    <t>hmds but needs mapping</t>
  </si>
  <si>
    <t>6</t>
  </si>
  <si>
    <t>patient_details_complete</t>
  </si>
  <si>
    <t>Complete?</t>
  </si>
  <si>
    <t>7</t>
  </si>
  <si>
    <t>code</t>
  </si>
  <si>
    <t>NNNN</t>
  </si>
  <si>
    <t>8</t>
  </si>
  <si>
    <t>Hospital ID</t>
  </si>
  <si>
    <t>WACOR/NCR generated</t>
  </si>
  <si>
    <t>Date the patient was admitted or transferred to the PCI hospital.</t>
  </si>
  <si>
    <t>9</t>
  </si>
  <si>
    <t>Y</t>
  </si>
  <si>
    <t>hmds - needs clarification with webpas team on direct admissions to cath lab, or business rule to take date &amp; time of arrival at cath lab as this field. Would need from cardiobase - needs discussion with vendor/cardiobase leads.</t>
  </si>
  <si>
    <t>Indicate the time the patient arrived at the PCI hospital. 
Note: This is the time that the patient arrived at the PCI hospital and when they were triaged (entered into the hospital administrative system).</t>
  </si>
  <si>
    <t>10</t>
  </si>
  <si>
    <t>HH:MM</t>
  </si>
  <si>
    <t>11</t>
  </si>
  <si>
    <t>Business rule.</t>
  </si>
  <si>
    <t>Height in centimetres in bare or stockinged feet. 
Note: Can be self-reported, estimated or measured.</t>
  </si>
  <si>
    <t>12</t>
  </si>
  <si>
    <t>Patient height (cm)</t>
  </si>
  <si>
    <t>HEIGHT</t>
  </si>
  <si>
    <t>F</t>
  </si>
  <si>
    <t>Won't need to collect from Angioplasty module as is collected in risk score</t>
  </si>
  <si>
    <t>NNN</t>
  </si>
  <si>
    <t>Cardiobase risk score module.</t>
  </si>
  <si>
    <t>Weight in kilograms in light clothing. 
Note: Can be self-reported, estimated or measured.</t>
  </si>
  <si>
    <t>13</t>
  </si>
  <si>
    <t>Patient weight (kg)</t>
  </si>
  <si>
    <t>WEIGHT</t>
  </si>
  <si>
    <t>G</t>
  </si>
  <si>
    <t>14</t>
  </si>
  <si>
    <t>Body mass index (kg/m^2)</t>
  </si>
  <si>
    <t>Needs definition completd for transparency.</t>
  </si>
  <si>
    <t>Date on which the patient crossed the threshold of entry into the cardiac catheter laboratory for the current PCI. 
Note: Where multiple procedures occur during the index hospitalisation, a separate  entry must be recorded for every relevant procedure.</t>
  </si>
  <si>
    <t>Measurements / Follow Up</t>
  </si>
  <si>
    <t>15</t>
  </si>
  <si>
    <t>Angioplasty</t>
  </si>
  <si>
    <t>PROCEDURE_START_TIME_DT</t>
  </si>
  <si>
    <t>MIT</t>
  </si>
  <si>
    <t>I</t>
  </si>
  <si>
    <t>Cardiobase - needs validation &amp; enagement with vendor.</t>
  </si>
  <si>
    <t>The time the patient crossed the threshold of entry into the catheter laboratory for the current PCI.</t>
  </si>
  <si>
    <t>16</t>
  </si>
  <si>
    <t>PCI procedure time</t>
  </si>
  <si>
    <t>J</t>
  </si>
  <si>
    <t>The unique code of the cardiologist/clinician who is ultimately responsible for the PCI as allocated by the State Registry.</t>
  </si>
  <si>
    <t>17</t>
  </si>
  <si>
    <t>Primary operator (Cardiologist)</t>
  </si>
  <si>
    <t>Operator</t>
  </si>
  <si>
    <t>S</t>
  </si>
  <si>
    <t>Free text/code</t>
  </si>
  <si>
    <r>
      <t xml:space="preserve">WACOR generated, needs independent lookup table linked to practitioner.  </t>
    </r>
    <r>
      <rPr>
        <b/>
        <sz val="11"/>
        <color theme="1"/>
        <rFont val="Calibri"/>
        <family val="2"/>
        <scheme val="minor"/>
      </rPr>
      <t>Needs separate table.</t>
    </r>
  </si>
  <si>
    <t>0, no | 1, yes</t>
  </si>
  <si>
    <t>Indicate if the patient has been diagnosed with diabetes mellitus regardless of duration of disease and, this includes a medical diagnosis made during the current admission.</t>
  </si>
  <si>
    <t>18</t>
  </si>
  <si>
    <t>AG</t>
  </si>
  <si>
    <t>0 = No                                  1 = Yes</t>
  </si>
  <si>
    <t>Business rule to take value from whichever is more specific or populated, RiskScore/HMDS/Other</t>
  </si>
  <si>
    <t>1, oral hypoglycemic medication | 2, insulin therapy | 3, diet maintenance</t>
  </si>
  <si>
    <t>Indicate the diabetes management type:
- Oral: Patient requires oral hypoglycaemic medication to control their condition
- Insulin: Patient requires insulin to control their condition with or without oral therapy
- Diet: Patient has received dietary advice appropriate to their condition but is not taking medication to lower blood sugar.</t>
  </si>
  <si>
    <t>WebPAS or iSoft ?</t>
  </si>
  <si>
    <t>19</t>
  </si>
  <si>
    <t>Diabetes Management</t>
  </si>
  <si>
    <t>Requires investigation - no clear source
CCU module - Risk Factors - options Type I &amp; II</t>
  </si>
  <si>
    <t>1 = Oral                               2 = Insulin                         3 = Diet</t>
  </si>
  <si>
    <t>HIH Results Hub - needs clarification &amp; SME input (SMA)</t>
  </si>
  <si>
    <t>Indicate if patient displays evidence of other chronic or acute PVD. Must be demonstrated by vascular reconstruction or amputation for arterial insufficiency, bypass surgery or percutaneous intervention.</t>
  </si>
  <si>
    <t>20</t>
  </si>
  <si>
    <t>Peripheral Vascular Disease history 1 - with intervention</t>
  </si>
  <si>
    <t>KC - insufficient detail in Cardiobase. No specifics of intervention. Requires further investigation.</t>
  </si>
  <si>
    <t>Derivable with history from HMDS, and/or NACS, and/or Cardiobase - needs additional variables to be added to explain why this field is set to to TRUE and originating data source.</t>
  </si>
  <si>
    <t>Current or previous history of peripheral arterial disease (includes subclavian, iliac, femoral, and upper- and lower-extremity vessels; excludes renal, coronary, cerebral, and mesenteric vessels and aneurysms). This can include: claudication on exertion, amputation for arterial vascular insufficiency, vascular reconstruction, bypass surgery, or percutaneous revascularization in the arteries of the extremities, Positive non-invasive test (e.g., ankle brachial index &lt;= 0.9, ultrasound, MR or CT imaging of &gt;50% diameter stenosis in any peripheral artery (i.e., subclavian, femoral, iliac) or angiographic imaging).</t>
  </si>
  <si>
    <t>21</t>
  </si>
  <si>
    <t>Peripheral Vascular Disease history 2 - broader definition</t>
  </si>
  <si>
    <t>Has the patient previously undergone a CABG prior to the current PCI?</t>
  </si>
  <si>
    <t>22</t>
  </si>
  <si>
    <t>Prior CABG</t>
  </si>
  <si>
    <t>AL</t>
  </si>
  <si>
    <t>The date on which patient had their most recent CABG. 
Note: If only the year is known or estimated, this will suffice, enter as 01/01/YYYY.</t>
  </si>
  <si>
    <t>Patient History / Timings</t>
  </si>
  <si>
    <t>23</t>
  </si>
  <si>
    <t>Date of most recent CABG</t>
  </si>
  <si>
    <t>Prior CABG Date</t>
  </si>
  <si>
    <t>AM</t>
  </si>
  <si>
    <t>Derivable if pt had procedure within WA, HMDS</t>
  </si>
  <si>
    <t>Indicate if patient has had a prior PCI Angioplasty, Coronary Atherectomy, and/or coronary stent done at any time prior to the current PCI procedure. 
Note: This may include a PCI performed during the current admission.</t>
  </si>
  <si>
    <t>24</t>
  </si>
  <si>
    <t>Prior PTCA</t>
  </si>
  <si>
    <t>AN</t>
  </si>
  <si>
    <t>The date on which patient had their most recent PCI. 
Note: If only the year is known or estimated, this will suffice, enter as 01/01/YYYY.</t>
  </si>
  <si>
    <t>25</t>
  </si>
  <si>
    <t>Date of most recent PCI</t>
  </si>
  <si>
    <t>Prior PTCA Date</t>
  </si>
  <si>
    <t>AO</t>
  </si>
  <si>
    <t>Record the last serum creatinine levels recorded within 60 days prior to the current PCI (in μmol/L).</t>
  </si>
  <si>
    <t>26</t>
  </si>
  <si>
    <t>Last pre-procedure creatinine (umol/L)</t>
  </si>
  <si>
    <t>20-2000 µmol/L</t>
  </si>
  <si>
    <t>Snowflake, HIH, Results table, requires SMA input to classify.</t>
  </si>
  <si>
    <t>27</t>
  </si>
  <si>
    <t>This is a quality assurance field  derived from  'pcr' (pcr=null). Values and timing may require further consideration. KC</t>
  </si>
  <si>
    <t>Business Rule</t>
  </si>
  <si>
    <t>For all patients (excluding STEMIs - see note below) indicate whether the patient's ventricular ejection fraction (EF) was measured (or estimated) within 6 months prior to the current procedure up to four weeks post-discharge. This includes the period leading up to and including the cardiac catheter lab visit, after the lab visit and up to 30 days after the patient was discharged. If multiple test results are available during this period, select the test result closest to the date/time of the index PCI. 
Note: For STEMI patients a LVEF test must have been recorded DURING the index admission or up to 30 days post-discharge for this item to be coded 'yes'.  For these patients, where no LVEF test was performed DURING THE INDEX ADMISSION, code "no".</t>
  </si>
  <si>
    <t>Syngo</t>
  </si>
  <si>
    <t>28</t>
  </si>
  <si>
    <t>Two possible sources, explore syngo access, and HIH results hub.  eftp_derived_source</t>
  </si>
  <si>
    <t>The date of the MOST RECENT LVEF test.
Note: Where multiple LVEF test results exist within the 6 month period leading up to the index admission or anytime during the index admission but within 30 days post-discharge, record the test result CLOSEST TO THE INDEX PCI date/time.</t>
  </si>
  <si>
    <t>29</t>
  </si>
  <si>
    <t>Need access to Syngo back end SQL.</t>
  </si>
  <si>
    <t>30</t>
  </si>
  <si>
    <t>The options provided were:            - Echocardiography
- Angiography
- Gated cardiac blood pool scan
- Magnetic resonance imaging (MRI)
- Myocardial perfusion scan
- Not stated/inadequately described</t>
  </si>
  <si>
    <t>Choices field is wrong.  Possible sources for in hopsital LVEF are Cardiobase.</t>
  </si>
  <si>
    <t xml:space="preserve">Reported as % (range 1-99) </t>
  </si>
  <si>
    <t>Record the digitally derived EF result (where the EF test results is a computed, digital EF percentage). 
Note: The patient's digitally derived EF result should ONLY be expressed as a whole number (between 10 and 80) expressed as a percentage of blood emptied from the left ventricle at the end of contraction.</t>
  </si>
  <si>
    <t>31</t>
  </si>
  <si>
    <t>Ejection fraction (EF) test result Digitally Derived (%) OR</t>
  </si>
  <si>
    <t>Range 01 to 09</t>
  </si>
  <si>
    <t>Cardiobase OR HIH results hub.   Needs wacor clarification on WHEN the result (assume linked to EFTP date?)</t>
  </si>
  <si>
    <t>1, Normal function (&gt;50%) | 2, Mild dysfunction/impairment (45-49%) | 3, Moderate dysfunction/impairment (35-44%) | 4, Severe dysfunction/impairment (&lt; 35%)</t>
  </si>
  <si>
    <t>If digitally derived ejection fraction not available, use estimated. The patient's ejection fraction is the amount of blood emptied from the left ventricle at the end of contraction. EF is estimated where the test itself has not computed a digital EF percentage to express ventricular function. For Estimated EF, select ONE of the following:
1=Normal function (&gt;50%)
2= Mild dysfunction/impairment (45-49%)
3=Moderate dysfunction/impairment (35% -44%)
4=Severe dysfunction/impairment (&lt;35%)</t>
  </si>
  <si>
    <t>Syngo ?</t>
  </si>
  <si>
    <t>32</t>
  </si>
  <si>
    <t xml:space="preserve">
1=Normal function (&gt;50%)
2= Mild dysfunction/impairment (45-49%)
3=Moderate dysfunction/impairment (35% -44%)
4=Severe dysfunction/impairment (&lt;35%)</t>
  </si>
  <si>
    <t>33</t>
  </si>
  <si>
    <t>Estimated glomerular filtration rate (imported)</t>
  </si>
  <si>
    <t>Indicate if the patient was in cardiogenic shock at the time of index PCI. 
Cardiogenic supporting definition:
Transient episodes of hypotension reversed with IV fluid or atropine do not constitute cardiogenic shock. Cardiogenic shock is coded as 'yes' if all of the following apply: 1. Sustained (&gt;30 minutes) episode of systolic blood pressure &lt;90 mm Hg (or vasopressors required to maintain BP &gt;90 mm Hg); AND 2. Evidence of elevated filling pressures (e.g. pulmonary congestion on examination or chest radiograph); AND 3. Evidence of end organ hypoperfusion (e.g. urine output 30mL/hour; or cold/diaphoretic extremities; or altered mental status, etc.).</t>
  </si>
  <si>
    <t>34</t>
  </si>
  <si>
    <t>HMDS or HIH</t>
  </si>
  <si>
    <t>Indicate if the patients has experienced an out-of-hospital cardiac arrest (ie: lack of effective cardiac output) including if the patient was under cardiac arrest at the time of presentation to the hospital.</t>
  </si>
  <si>
    <t>35</t>
  </si>
  <si>
    <t>HMDS, query Y code with WACCA.</t>
  </si>
  <si>
    <t>Indicate if the patient was intubated PRIOR to the PCI procedure.</t>
  </si>
  <si>
    <t>36</t>
  </si>
  <si>
    <t>Cardiobase.</t>
  </si>
  <si>
    <t>37</t>
  </si>
  <si>
    <t>admission_complete</t>
  </si>
  <si>
    <t>Completed case?  Business rule</t>
  </si>
  <si>
    <t>Was the patient suffering from an acute ACS in the 7 day period leading up to and including the index PCI?
ACS encompasses clinical features comprising chest pain or overwhelming shortness of breath, defined by accompanying clinical, ECG and biochemical features. Specifically, ACS refers to unstable angina, NSTEMI and/or STEMI.</t>
  </si>
  <si>
    <t>38</t>
  </si>
  <si>
    <t>Acute Coronary Syndrome (ACS)</t>
  </si>
  <si>
    <t>Needs multiple sources and business rules: 
Component 1 derived from ED attendance.  Needs more detailed business rules.</t>
  </si>
  <si>
    <t>Where medical attention is defined as either at hospital or from a general practitioner.
In the event of stuttering symptoms, ACS symptom onset is the date when symptoms became constant in quality or intensity.  Restrict coding to 7 days prior to current procedure.
ACS symptoms may include: tightness, pressure, heaviness, fullness or squeezing in the chest which may spread to the neck and throat, jaw, shoulders, the back, upper abdomen, either or both arms and even into the wrists and hands, dyspnoea, nausea/vomiting, cold sweat or syncope. Seeking medical attention could include the person presenting to their GP who then refers them to hospital or the person presenting directly to hospital (via ambulance or own form of transport). If the person is already a patient at the hospital for another reason then the time recorded would be when they advised hospital staff of their symptoms.</t>
  </si>
  <si>
    <t>39</t>
  </si>
  <si>
    <t>Cardiobase or WACOR data collection tool.</t>
  </si>
  <si>
    <t>The time at which a person experienced ACS symptoms that prompted them to seek medical attention (on the date outlined in 'Date of ACS symptom onset' in 24 hour clock (HH:MM) format.
If the symptom onset time is not specified in the medical record, it may be recorded as 0700 for morning; 1200 for lunchtime; 1500 for afternoon; 1800 for dinnertime; 2200 for evening and 0300 if awakened from sleep.</t>
  </si>
  <si>
    <t>40</t>
  </si>
  <si>
    <t>41</t>
  </si>
  <si>
    <t>1, Unstable angina | 2, NSTEMI | 3, STEMI</t>
  </si>
  <si>
    <t>Unstable Angina:
Symptoms must include AT LEAST ONE of the following:
1.	Angina that occurred at rest and was prolonged, usually lasting &gt;20 mins; 
2.	New-onset angina of at least CCS class III severity; 
3.	Recent acceleration of angina reflected by an increase in severity of at least 1 CCS class (to at least CCS class III)
Non ST-Elevation Myocardial Infarction (NSTEMI): 
AT LEAST ONE of the following biomarkers for detecting myocardial necrosis MUST be present:
1.	Troponin T or I: Maximal concentration of Troponin T or I greater than the MI diagnostic limit on at least one occasion within 24 hours from the index clinical event; 
2.	CK-MB:
	Maximal value of CK-MB &gt;2x the upper limit of normal (ULN) on one occasion during the first hours after the index clinical event; OR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1.	Either ST segment depression or T wave abnormalities in the ECG; or
2.	Ischaemic symptoms in the presence or absence of chest discomfort. Ischaemic symptoms may include:
	- Unexplained nausea and vomiting; or
	- Persistent shortness of breath secondary to left ventricular failure; or
	- Unexplained weakness, dizziness, light-headedness, or syncope.
ST-Elevation Myocardial Infarction (STEMI):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ECG changes:
1.	ST-segment elevation: New or presumed new ST segment elevation at the J point in two or more contiguous leads with the cut-off points ≥ 0.2mV in leads V1, V2, or V3, or ≥0.1 mV in other leads. 
2.	Development of any Q wave in leads V1 through V3, or the development of a Q-wave ≥ 30ms (0.03s) in leads I, II, aVL, aVF, V4, V5, or V6. (Q wave changes must be present in any two contiguous leads, and be ≥1mm in depth).</t>
  </si>
  <si>
    <t>42</t>
  </si>
  <si>
    <t>Type of ACS</t>
  </si>
  <si>
    <t>E</t>
  </si>
  <si>
    <t>1 = Unstable Angina 
2 = NSTEMI
3 = STEMI</t>
  </si>
  <si>
    <t>Needs 7 sub-fields to be created for NSTEMI.
Needs 3 sub fields for angina.
? Number of additional fields to be created fro STEMI.</t>
  </si>
  <si>
    <t>Was the patient admitted to the PCI hospital following transfer from another acute care facility?</t>
  </si>
  <si>
    <t>43</t>
  </si>
  <si>
    <t>HMDS Derived.</t>
  </si>
  <si>
    <t>When ACS is coded as STEMI and patient was transferred, was the PCI hospital notified via electronic ECG (or equivalent) from paramedic field triage service prior to their arrival.</t>
  </si>
  <si>
    <t>44</t>
  </si>
  <si>
    <t>Pre-hospital notification</t>
  </si>
  <si>
    <t>ACTIVATION_TIME_DT</t>
  </si>
  <si>
    <t>AR</t>
  </si>
  <si>
    <t>Cardiobase or WACOR data collection tool.  
No SJA data yet, needs follow up with SJA to request data or DOH contract team.</t>
  </si>
  <si>
    <t>Where patient 'Type of ACS' coded as 'STEMI', at what date was the first device used?
Indicate the date the first device was used to treat the target lesion. Examples of the first device used include, but are not limited to: balloon; thrombectomy device; atherectomy device or stent.  If the lesion cannot be crossed by the guidewire or device, use the date that the guide catheter was introduced.
Note: This is a process measure, not a clinical outcomes measure and, as such, is not related to the timing of or whether TIMI 3 flow was/was not restored.</t>
  </si>
  <si>
    <t>45</t>
  </si>
  <si>
    <t>Balloon-device date</t>
  </si>
  <si>
    <t>AP</t>
  </si>
  <si>
    <t>Where patient 'Type of ACS' coded as 'STEMI', at what time was the first device used?
Indicate the time the first device was used to treat the target lesion. Examples of the first device used include, but are not limited to: balloon; thrombectomy device; atherectomy device or stent.  If the lesion cannot be crossed by the guidewire or device, use the time that the guide catheter was introduced.
Note: This is a process measure, not a clinical outcomes measure and, as such, is not related to the timing of or whether TIMI 3 flow was/was not restored.</t>
  </si>
  <si>
    <t>46</t>
  </si>
  <si>
    <t>47</t>
  </si>
  <si>
    <t>Symptom onset to reperfusion</t>
  </si>
  <si>
    <t>Business rules</t>
  </si>
  <si>
    <t>48</t>
  </si>
  <si>
    <t>Door to balloon/device time (mins)</t>
  </si>
  <si>
    <t>Where patient 'Type of ACS' coded as 'STEMI', did the patient present to the hospital without an ambulance? 
Indicate if patient presented by their own means - not via ambulance or other emergency vehicle.</t>
  </si>
  <si>
    <t>49</t>
  </si>
  <si>
    <t>Self-presenter</t>
  </si>
  <si>
    <t>EDIS from triage; cardiobase</t>
  </si>
  <si>
    <t>Where patient 'Type of ACS' coded as 'STEMI', what was the date of First Medical Contact?
Indicate the date at which the patient first sought medical attention (either by calling ambulance, attendance at hospital or from a general practitioner) for their ACS symptoms. 
Note: Seeking medical attention could include the person presenting to their GP who then refers them to hospital or the person presenting directly to hospital (via ambulance or own form of transport), or a person calling the ambulance service. If the person is already a patient at the hospital for another reason then the time recorded would be when they advised hospital staff of their symptoms.</t>
  </si>
  <si>
    <t>50</t>
  </si>
  <si>
    <t xml:space="preserve">Multiple sources: EDIS presenting complaint, NACS may indicate where (not necessarily a date).  SJA? Poteintially in future from patietn data collection tool </t>
  </si>
  <si>
    <t>Where patient 'Type of ACS' coded as 'STEMI', what was the time of First Medical Contact?
Indicate the time at which the patient first sought medical attention (either by calling ambulance, attendance at hospital or from a general practitioner) for their ACS symptoms. 
Note: Seeking medical attention could include the person presenting to their GP who then refers them to hospital or the person presenting directly to hospital (via ambulance or own form of transport), or a person calling the ambulance service. If the person is already a patient at the hospital for another reason then the time recorded would be when they advised hospital staff of their symptoms.</t>
  </si>
  <si>
    <t>51</t>
  </si>
  <si>
    <t>52</t>
  </si>
  <si>
    <t>Symptom onset to FMC</t>
  </si>
  <si>
    <t>Business Rule.</t>
  </si>
  <si>
    <t>53</t>
  </si>
  <si>
    <t>FMC to reperfusion (mins)</t>
  </si>
  <si>
    <t>54</t>
  </si>
  <si>
    <t>FMC to door (mins)</t>
  </si>
  <si>
    <t>Where 'Type of ACS' coded as 'STEMI', what was the date of diagnostic ECG?Indicate the date of the diagnostic electrocardiogram (ECG). The ECG recorded that shows evidence of ECG abnormalities consistent with a STEMI or suspected STEMI event.
Note: The diagnostic ECG may have been before admission to this hospital.</t>
  </si>
  <si>
    <t>55</t>
  </si>
  <si>
    <t>STEMI</t>
  </si>
  <si>
    <t>AQ</t>
  </si>
  <si>
    <t>WACOR DD needs to define which one (i.e. the one prior to PCI).   
Cardiobase (and or other systems).  HIH Discharge? Unlikely to include date.</t>
  </si>
  <si>
    <t>56</t>
  </si>
  <si>
    <t>WACOR DD needs to define which one (i.e. the one prior to PCI).   
Cardiobase (and or other systems).  HIH Discharge? Unlikely to include time.</t>
  </si>
  <si>
    <t>57</t>
  </si>
  <si>
    <t>FMC to Diagnostic ECG (mins)</t>
  </si>
  <si>
    <t>Business Rules</t>
  </si>
  <si>
    <t>58</t>
  </si>
  <si>
    <t>Diagnostic ECG to balloon time (mins)</t>
  </si>
  <si>
    <t>59</t>
  </si>
  <si>
    <t>Inpatient at time of ACS</t>
  </si>
  <si>
    <t xml:space="preserve">? Does this mean onset of symptoms that the patinet was an inpatient?  If so, will need a time span from date of admission to date of hospital separation?  </t>
  </si>
  <si>
    <t>1, Primary PCI for STEMI &lt; 12 hrs | 2, PCI for STEMI 12-24hrs | 3, Rescue PCI for STEMI &lt; 24 hr - unstable following lysis | 4, PCI for STEMI &lt; 24 hr - stable following lysis | 5, PCI for STEMI 1-7 days - no prior lysis | 6, PCI for STEMI 1-7 days, stable following lysis | 7, PCI for cardiac arrest/cardiogenic shock | 8, PCI for NSTEMI &lt; 7 days | 9, PCI for unstable angina &lt; 7 days | 10, PCI for recent ACS 7-30 days | 11, Staged PCI | 12, PCI for angina/angina equivalent symptoms | 13, PCI for no angina/angina equivalent symptoms</t>
  </si>
  <si>
    <t>1= Primary PCI for STEMI &lt; 12hours -  Primary PCI for patient with STEMI (or STEMI equivalent) within 12 hours of symptom onset.
2 = PCI for STEMI (12-24 hours) - PCI for patient with STEMI (or STEMI equivalent) between 12-24 hours of symptom onset.
3= Rescue PCI for STEMI (&lt; 24 hours - unstable following lysis) -  Rescue PCI for STEMI (or STEMI equivalent) after a failed full-dose lysis.
4= PCI for STEMI &lt; 24 hours - stable following lysis) - PCI for STEMI (or STEMI equivalent) where the patient is stable after receiving full-dose lysis.
5= PCI for STEMI (1-7 days no prior lysis)
6= PCI for STEMI (1-7 days - following lysis)
7= PCI for cardiac arrest/cardiogenic shock (Not a STEMI) - PCI performed post cardiac arrest or cardiogenic shock but without ECG or biomarker evidence of acute myocardial infarction. Note: This does not include any PCI cases for Myocardial Infarction (MI).
8= PCI for NSTEMI (&lt; 7 days) - Includes patients with NSTEMI who have high risk features for short-term risk of death or nonfatal MI. High risk features includes at least one of the following:
  1. History - accelerating tempo of ischaemic symptoms in preceding 48 hours 
  2. Character of pain - prolonged ongoing (greater than 20 minutes) rest pain 
  3. Clinical findings: Pulmonary oedema, most likely due to ischemia 
  4. New or worsening mitral regurgitation murmur 
  5. S3 or new worsening crackles/crepitations 
  6. Hypotension, bradycardia, tachycardia 
  7. Age greater than 75 years 
  8. ECG: Angina at rest with transient ST-segment changes greater than 0.5 mm 
  9. Bundle-branch block, new or presumed new 
  10. Sustained ventricular tachycardia.
  11.Cardiac markers - NSTEMI patients with elevated cardiac Tn-T, Tn-l, or CK-MB.
9= PCI for unstable angina (&lt; 7 days) -  Includes patients with unstable angina who have high risk features for short-term risk of death or nonfatal MI. High risk features includes at least one of the following:
  1. History - accelerating tempo of ischaemic symptoms in preceding 48 hours 
  2. Character of pain - prolonged ongoing (greater than 20 minutes) rest pain 
  3. Clinical findings: Pulmonary oedema, most likely due to ischemia 
  4. New or worsening mitral regurgitation murmur 
  5. S3 or new worsening crackles/crepitations 
  6. Hypotension, bradycardia, tachycardia 
  7. Age greater than 75 years 
  8. ECG: Angina at rest with transient ST-segment changes greater than 0.5 mm 
  9. Bundle-branch block, new or presumed new 
  10. Sustained ventricular tachycardia.
10= PCI for recent ACS (7-30 days) - Patient diagnosed with ACS symptoms more than 7 days ago (e.g. STEMI, NSTEMI or Unstable Angina) but symptoms have stabilised without repeated or recurrent events. Patient is no longer considered 'acute' at the time of the current PCI if symptom onset was &gt;7 days ago.
11= Staged PCI -  Any subsequent, PLANNED PCI procedure undertaken as part of a multi-vessel intervention strategy. Earlier PCIs could have been in a prior admission or during the current admission and must be within 3 months from the current PCI
12 = PCI for Angina/angina equivalent symptoms
13= PCI for No angina/angina equivalent symptoms</t>
  </si>
  <si>
    <t>60</t>
  </si>
  <si>
    <t>PCI Indication</t>
  </si>
  <si>
    <t>1= Primary PCI for STEMI &lt;12hours
2 = PCI for STEMI (12-24 hours)
3= Rescue PCI for STEMI (&lt;24 hours - unstable following lysis)
4= PCI for STEMI &lt;24 hours - stable following lysis)
5= PCI for STEMI (1-7 days no prior lysis)
6= PCI for STEMI (1-7 days - following lysis)
7= PCI for cardiac arrest/cardiogenic shock (Without evidence of STEMI) 
8= PCI for NSTEMI (&lt;7 days)
9= PCI for unstable angina (&lt;7 days)
10= PCI for recent ACS (7-30 days)
11= Staged PCI
12 = Angina/angina equivalent symptoms
13= No angina/angina equivalent symptoms</t>
  </si>
  <si>
    <t>Needs WACOR DD defined terms for :
STEMI equivalent
lysis
failed lysis
full dose lysis
biomarker evidence
1 is derivable
8 requires 11 subfields for high risk features
8 requires 11 subfields
9 requires 10 subfields</t>
  </si>
  <si>
    <t>1, brachial | 2, radial | 3, femoral</t>
  </si>
  <si>
    <t>Indicate the percutaneous entry location used to provide arterial vascular access for the procedure. 
Note: If crossover occurred, select the percutaneous entry location that successfully facilitated the index PCI procedure.</t>
  </si>
  <si>
    <t>61</t>
  </si>
  <si>
    <t>Approach</t>
  </si>
  <si>
    <t>V</t>
  </si>
  <si>
    <t>1=Brachial
2=Radial
3=Femoral</t>
  </si>
  <si>
    <t>Cardiobase - needs to be mapped (? Done already)
Dictionary to define first attempt?</t>
  </si>
  <si>
    <t>62</t>
  </si>
  <si>
    <t>els</t>
  </si>
  <si>
    <t>Entry location success</t>
  </si>
  <si>
    <t>? Multiples needs clarification.</t>
  </si>
  <si>
    <t>Indicate whether the patient was intubated during the index PCI procedure.</t>
  </si>
  <si>
    <t>63</t>
  </si>
  <si>
    <t>Multiple potential sources: Review HMDS for clinical coding.  Source 2 : cardiobase.</t>
  </si>
  <si>
    <t>Indicate if the patient required mechanical ventricular support prior to or during the index PCI procedure. 
Note: Mechanical ventricular support includes: intra-aortic balloon pump (IABP), cardiopulmonary bypass, left ventricular assist device (LVAD), extracorporeal membrane oxygenation (ECMO), Mechanical chest compression device Lund University Cardiac Arrest System (LUCAS) and/or IMPELLA heart pump.</t>
  </si>
  <si>
    <t>Drugs, Equipment</t>
  </si>
  <si>
    <t>64</t>
  </si>
  <si>
    <t>Ventricular support required</t>
  </si>
  <si>
    <t>IABP</t>
  </si>
  <si>
    <t>AC</t>
  </si>
  <si>
    <t>Cardiobase does not include all mechanical support options i.e.  IABP only.</t>
  </si>
  <si>
    <t>Requires 4 additional columns:
Mechanical ventilation hours in HMDS. Cardiobase.</t>
  </si>
  <si>
    <t>1, Left anterior descending artery (LAD) | 2, Diagonal artery | 3, Left circumflex (LCx) | 4, Left main coronary artery | 5, Posterior descending artery | 6, Right coronary artery | 7, Internal mammary graft | 8, Radial artery graft | 9, Saphenous vein graft | 10, Not stated/inadequately described</t>
  </si>
  <si>
    <t>Indicate the coronary segment that applies for EACH coronary lesion attempted during the current PCI. Every coronary lesion attempted during the current PCI must be recorded separately (add new lesion). Up to 5 lesions per PCI can be recorded.</t>
  </si>
  <si>
    <t>Lesion</t>
  </si>
  <si>
    <t>65</t>
  </si>
  <si>
    <t>lesion1</t>
  </si>
  <si>
    <t>Lesion 1 location</t>
  </si>
  <si>
    <t>Artery Name</t>
  </si>
  <si>
    <t>P</t>
  </si>
  <si>
    <t>Indicate whether the current lesion location has had a pre-existing stent implanted from a prior PCI to the same site OR is within 5mm of the proximal or distal stent edges of a pre-existing stent from a previous PCI.</t>
  </si>
  <si>
    <t>66</t>
  </si>
  <si>
    <t>isr1</t>
  </si>
  <si>
    <t>In-stent resenosis lesion 1</t>
  </si>
  <si>
    <t>Cardiobase does not include  proximity to an existing stent.</t>
  </si>
  <si>
    <t>Indicate whether the current ISR lesion was treated due to the presence of a thrombus in the pre-existing stent OR within 5mm of stent edges.</t>
  </si>
  <si>
    <t>67</t>
  </si>
  <si>
    <t>isrst1</t>
  </si>
  <si>
    <t>Stent thrombosis lesion 1</t>
  </si>
  <si>
    <t>Includes stent thrombosis only</t>
  </si>
  <si>
    <t>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t>
  </si>
  <si>
    <t>68</t>
  </si>
  <si>
    <t>lst1</t>
  </si>
  <si>
    <t>Lesion 1 successfully treated</t>
  </si>
  <si>
    <t>1, Bare metal stent(s) only (BMS) | 2, Drug-eluting stent(s) (DES) | 3, Mixed stent(s) (combined BMS &amp; DES) | 4, Bioresorbable stent(s) (BRS) | 5, Other stents/scaffolds | 6, Plain balloon angioplasty (POBA) | 7, No stent/no balloon</t>
  </si>
  <si>
    <t>Select ONE of the following options:
- Bare metal stents (BMS): Where one or more bare metal coronary stent(s) were implanted in the current lesion (and no other type of stent/scaffold was implanted).
- Drug eluting stents (DES): Where one or more drug eluting coronary stent(s) were implanted in the current lesion (and no other type of stent was implanted).
- Mixed stents (combined BMS &amp; DES): Where at least one BMS and at least one DES were implanted in the current lesion. 
- Bioresorbable stent(s) (BRS):Where one or more bioresorbable coronary stent(s) were implanted in the current lesion (and no other type of stent/scaffold was implanted).
-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
- POBA (Plain Balloon Angioplasty): Where the only treatment for this lesion was balloon inflation to recanalise coronary arteries; this includes both balloons/catheters  coated in a drug (e.g. paclitaxel, etc.) or NOT coated with any drug. 
- No Stent/No Balloon</t>
  </si>
  <si>
    <t>69</t>
  </si>
  <si>
    <t>sit1</t>
  </si>
  <si>
    <t>Type of stent lesion 1</t>
  </si>
  <si>
    <t>Stent Type</t>
  </si>
  <si>
    <t>M</t>
  </si>
  <si>
    <t>70</t>
  </si>
  <si>
    <t>lesion2</t>
  </si>
  <si>
    <t>Lesion 2 location</t>
  </si>
  <si>
    <t>It is not clear how additional lesions are recorded within the angioplasty module, however the cardiac catheter includes an option for dozens of lesions to be recorded.</t>
  </si>
  <si>
    <t>71</t>
  </si>
  <si>
    <t>isr2</t>
  </si>
  <si>
    <t>In-stent restenosis lesion 2</t>
  </si>
  <si>
    <t>72</t>
  </si>
  <si>
    <t>isrst2</t>
  </si>
  <si>
    <t>Stent thrombosis lesion 2</t>
  </si>
  <si>
    <t>73</t>
  </si>
  <si>
    <t>lst2</t>
  </si>
  <si>
    <t>Lesion 2 successfully treated</t>
  </si>
  <si>
    <t>74</t>
  </si>
  <si>
    <t>sit2</t>
  </si>
  <si>
    <t>Type of stent lesion 2</t>
  </si>
  <si>
    <t>75</t>
  </si>
  <si>
    <t>lesion3</t>
  </si>
  <si>
    <t>Lesion 3 location</t>
  </si>
  <si>
    <t>It is not clear how lesions evident of  more than one artery are recorded.</t>
  </si>
  <si>
    <t>76</t>
  </si>
  <si>
    <t>isr3</t>
  </si>
  <si>
    <t>In-stent restenosis lesion 3</t>
  </si>
  <si>
    <t>77</t>
  </si>
  <si>
    <t>isrst3</t>
  </si>
  <si>
    <t>Stent thrombosis lesion 3</t>
  </si>
  <si>
    <t>78</t>
  </si>
  <si>
    <t>lst3</t>
  </si>
  <si>
    <t>Lesion 3 successfully treated</t>
  </si>
  <si>
    <t xml:space="preserve">Primary </t>
  </si>
  <si>
    <t>79</t>
  </si>
  <si>
    <t>sit3</t>
  </si>
  <si>
    <t>Type of stent lesion 3</t>
  </si>
  <si>
    <t>80</t>
  </si>
  <si>
    <t>lesion4</t>
  </si>
  <si>
    <t>Lesion 4 location</t>
  </si>
  <si>
    <t>81</t>
  </si>
  <si>
    <t>isr4</t>
  </si>
  <si>
    <t>In-stent restenosis lesion 4</t>
  </si>
  <si>
    <t>82</t>
  </si>
  <si>
    <t>isrst4</t>
  </si>
  <si>
    <t>Stent thrombosis lesion 4</t>
  </si>
  <si>
    <t>83</t>
  </si>
  <si>
    <t>lst4</t>
  </si>
  <si>
    <t>Lesion 4 successfully treated</t>
  </si>
  <si>
    <t>84</t>
  </si>
  <si>
    <t>sit4</t>
  </si>
  <si>
    <t>Type of stent lesion 4</t>
  </si>
  <si>
    <t>85</t>
  </si>
  <si>
    <t>lesion5</t>
  </si>
  <si>
    <t>Lesion 5 location</t>
  </si>
  <si>
    <t>86</t>
  </si>
  <si>
    <t>isr5</t>
  </si>
  <si>
    <t>In-stent restenosis lesion 5</t>
  </si>
  <si>
    <t>87</t>
  </si>
  <si>
    <t>isrst5</t>
  </si>
  <si>
    <t>Stent thrombosis lesion 5</t>
  </si>
  <si>
    <t>88</t>
  </si>
  <si>
    <t>lst5</t>
  </si>
  <si>
    <t>Lesion 5 successfully treated</t>
  </si>
  <si>
    <t>89</t>
  </si>
  <si>
    <t>sit5</t>
  </si>
  <si>
    <t>Type of stent lesion 5</t>
  </si>
  <si>
    <t>Indicate the total radiation dose (Cumulative Air Kerma, or Reference Air Kerma) recorded to the nearest milligray (mGy). The value recorded should include the total dose for the lab visit. Cumulative air kerma is the total air kerma accrued from the beginning of an examination or procedure and includes all contributions from fluoroscopic and radiographic irradiation.</t>
  </si>
  <si>
    <t>90</t>
  </si>
  <si>
    <t>Total entrace radiation dose (Air Kemma)</t>
  </si>
  <si>
    <t>AI</t>
  </si>
  <si>
    <t>No unit value in Cardiobase  i.e. mGy vs Gy</t>
  </si>
  <si>
    <t>Indicate the total fluoroscopy dose to the nearest integer. The value recorded should include the total dose for the lab visit.</t>
  </si>
  <si>
    <t>91</t>
  </si>
  <si>
    <t>Total exam dose area product (mGy/m2)</t>
  </si>
  <si>
    <t>AJ</t>
  </si>
  <si>
    <t>Should a unit measure be included?</t>
  </si>
  <si>
    <t>Indicate the total fluoroscopy time in mins. Report to the nearest 0.1 min.</t>
  </si>
  <si>
    <t>92</t>
  </si>
  <si>
    <t>Total fluoroscopy time (mins)</t>
  </si>
  <si>
    <t>Procedure Time</t>
  </si>
  <si>
    <t>K</t>
  </si>
  <si>
    <t>Does proc time = fluroscopy time?</t>
  </si>
  <si>
    <t>N.NN</t>
  </si>
  <si>
    <t>93</t>
  </si>
  <si>
    <t>procedure_complete</t>
  </si>
  <si>
    <t>Indicate whether the patient experienced the NEW presence of myocardial infarction (MI) either during the index cardiac catheter lab visit, after the lab visit or any subsequent lab visits, but prior to discharge. 
Supporting definition:
The in-hospital, PCI-related MI MUST be a distinct clinical event that can be identified as a separate event to the index PCI. As such, the in-hospital NEW or recurrent MI will differ among patients presenting with normal cardiac biomarker levels and those patients whose pre-procedure baseline biomarker levels are elevated.
1. Patients with NORMAL baseline biomarker levels, the NEW or recurrent MI MUST include:
- Elevated biomarkers* &gt;5 the upper limit of normal (ULN) ≤48 hours of index PCI
AND AT LEAST ONE of the following: 
- Evolutionary ST segment elevation (≥0.1mV) distinct from the index event
- Development of new Q-waves (≥40ms duration) in 2 or more contiguous ECG leads 
- Ischaemic symptoms (with or without chest discomfort) lasting ≥20mins
- Angiographic evidence flow limiting complications (embolism, persistent slow-flow or no re-flow, etc.)
- Imaging evidence of new loss of myocardium or new regional wall flow abnormality
Note: CABG-related peri-procedural MI (within 48 hours of CABG) requires CK-MB  ≥10x ULN.
2.Patients with ELEVATED baseline cardiac biomarker levels.
If cardiac biomarker levels are still rising (have not peaked) at the time of the index PCI procedure, an in-hospital NEW or recurrent MI CANNOT be diagnosed. For patients whose elevated cardiac biomarker level HAVE PEAKED (no longer rising) by the current PCI procedure time, the in-hospital MI MUST  include: 
- A NEW elevation of biomarkers ≥20% from the pre-procedural cardiac biomarker levels 
AND AT LEAST ONE of the following: 
- Evolutionary ST segment elevation (≥0.1mV) distinct from the index event; 
- Development of new Q-waves (≥40ms duration) in 2 or more contiguous ECG leads;
- Ischaemic symptoms (with or without chest discomfort) lasting &gt;20mins; 
- Angiographic evidence flow limiting complications (embolism, persistent slow-flow or no re-flow, etc.).
- Imaging evidence of new loss of myocardium or new regional wall flow abnormality. 
Note: CABG-related peri-procedural MI (within 48 hours of CABG) requires CK-MB  ≥10x ULN.
* Troponin (T or I) is the preferred cardiac biomarker for defining the presence of MI. In the absence of Troponin, CK-MB is the best alternative (but total CK can be used, where CK-MB and Troponin are both unavailable).</t>
  </si>
  <si>
    <t>NaCs</t>
  </si>
  <si>
    <t>94</t>
  </si>
  <si>
    <t xml:space="preserve">Cardiobase/CCU/Complications also includes the option for entering MI as a complication and includes a dropdown box for MI type (unable to view options). Some basic admission details automatically go into the CCU module. </t>
  </si>
  <si>
    <t>Indicate if the patient underwent a subsequent PCI (distinct from the index PCI) after the cardiac catheter lab visit, but prior to discharge. 
Note: This includes emergent PCI revascularisations and/or planned, staged PCI visits to the cardiac catheter lab during the index admission, but prior to discharge.</t>
  </si>
  <si>
    <t>95</t>
  </si>
  <si>
    <t>Check whether subsequent PCIs are able to be entered into Cardiobase.</t>
  </si>
  <si>
    <t>Indicate whether the subsequent PCI was planned. 
Note: A 'planned in-hospital PCI' is defined as a STAGED or scheduled elective PCI only.   For emergent PCI interventions that were not previously scheduled, code as 'no'.
Note: Any target vessel revascularisation of a successfully treated lesion should be coded as 'unplanned'.  Subsequent revascularisations of a previous unsuccessfully treated lesion is situation dependant .</t>
  </si>
  <si>
    <t>96</t>
  </si>
  <si>
    <t>If subsequent PCIs are entered into Cardiobase, need to check if this info can be recorded. There is a drop down box for Study, but unable to see the options.</t>
  </si>
  <si>
    <t>Indicate whether the target vessel was revascularised during the subsequent in-hospital PCI. 
Note: A PCI TVR is any revascularisation due to restenosis/occlusion within the target coronary artery and/or the same arterial branch that was treated during the index PCI. This includes any percutaneous revascularisation within the same arterial branch treated during the index PCI, regardless of whether the index PCI was successful.</t>
  </si>
  <si>
    <t>97</t>
  </si>
  <si>
    <t>In-hospital target vessel PCI</t>
  </si>
  <si>
    <t>Cardiobase/Angiography?</t>
  </si>
  <si>
    <t>Indicate whether the target LESION was also revascularised during the subsequent in-hospital PCI. 
Note: A target lesion revascularisation (TLR) is any revascularisation of the same LESION treated during the index PCI.  This includes treatment of a restenosis/occlusion within a stent implanted during the index PCI (or within 5-mm of the proximal and distal margins of the stent edges). It also includes attempts to revascularise the target lesion where a stent was not successfully implanted and/or plain old balloon angioplasty (POBA) was employed during the index PCI.</t>
  </si>
  <si>
    <t>98</t>
  </si>
  <si>
    <t>In-hospital target lesion revascularisation</t>
  </si>
  <si>
    <t>Indicate if the patient underwent or was transferred for cardiothoracic surgery (whether or not this actually involved the placing of bypass grafts) either during the cardiac catheter lab visit, after the lab visit, but prior to discharge and/or any subsequent lab visits. 
Note: The surgery should be cardiothoracic (i.e. not related to peripheral vascular complications). The surgical indication may have been, but are not exclusive to: 
-Prompted/indicated by a need to correct an emergency complication of the index PCI (e.g. abrupt vessel closure, cardiac vessel perforation, dissection of a thoracic great vessel, etc.); OR  
-CABG to revascularise the target vessel treated during the index PCI; either during or after the catheter lab visit, but prior to discharge and/or any subsequent lab visits; OR 
-For a patient who underwent a successful PCI (e.g. for an ACS) but required a CABG for anatomical or pre-existing CAD indications (e.g. left-main disease, triple-vessel disease, etc.).
Note:  If the patient was transferred from the index hospital to a tertiary facility for cardiothoracic surgery as part of ongoing treatment related to the index PCI (e.g. emergency CABG) then code as 'yes'.</t>
  </si>
  <si>
    <t>99</t>
  </si>
  <si>
    <t>Cardiobase also includes a Vasc Procedure module Vasc Procedure/Procedure with a type of surgery dropdown box.</t>
  </si>
  <si>
    <t>Indicate whether the cardiothoracic surgery was planned. 
Note: A 'planned cardiothoracic surgery' is defined as a SCHEDULED surgical event only. For emergent surgeries that were not scheduled or planned, code as 'no'.
Note: Any target vessel revascularisation of a successfully treated lesion should be coded as 'unplanned'.  Subsequent revascularisations of a previous unsuccessfully treated lesion is situation dependant.</t>
  </si>
  <si>
    <t>100</t>
  </si>
  <si>
    <t>Indicate whether the surgery involved the placing of coronary artery bypass grafts to revascularise the target vessel that was treated during the index PCI. 
Note: A TVR CABG is a bypass revascularisation due to restenosis/occlusion within the target coronary artery and/or the same arterial branch treated during the index PCI.</t>
  </si>
  <si>
    <t>101</t>
  </si>
  <si>
    <t>Indicate if the patient experienced a stroke or new central neurologic deficit (persisting for &gt; 72 hours) during the cardiac catheter lab visit, after the lab visit, but prior to discharge and/or any subsequent lab visits. 
Note: Stroke is evidenced by persistent loss of neurological function caused by an ischaemic or haemorrhagic event.</t>
  </si>
  <si>
    <t>102</t>
  </si>
  <si>
    <t>This data could be sourced from :
The Stroke Registry (would require custodian approval).
The HMDS data for the separation (subject to the time window constraints, i.e. separation end date &amp; end time being within the period).</t>
  </si>
  <si>
    <t>1, Haemorrhagic | 2, Ischaemic | -1, Unknown</t>
  </si>
  <si>
    <t>Indicate whether the stroke was haemorrhagic or ischaemic. Select ONE of the following options:
- Haemorrhagic: Imaging evidence (MRI or CT), lumbar puncture, neurosurgery or autopsy evidence confirms haemorrhage in the cerebral parenchyma, or subdural/subarachnoid haemorrhage; 
- Ischaemic: In the absence of haemorrhagic evidence, inadequate cerebral blood supply is the suspected cause of stroke.  Cerebrovascular occlusion may be caused by (but is not limited to) thrombus, embolism or vasoconstriction, etc. 
- Unknown: Stroke type could not be conclusively determined.</t>
  </si>
  <si>
    <t>103</t>
  </si>
  <si>
    <t>In hospital complications should be recorded in NaCs, however level of specificity may not be sufficient. HMDS should include specific details. Cardiobase/CCU/Complications includes CVA with drop box, presumably to indicate type.</t>
  </si>
  <si>
    <t>1 = Haemorrhagic
2 = Ischaemic
-1 = Unknown</t>
  </si>
  <si>
    <t>0, Type 0 | 1, Type 1 | 2, Type 2 | 3, Type 3a | 4, Type 3b | 5, Type 3c | 6, Type 4 | 7, Type 5a | 8, Type 5b</t>
  </si>
  <si>
    <t>Type 0 - No bleeding
Type 1 - Bleeding that is not actionable and does not cause the patient to seek treatment
Type 2 - Any clinically overt sign of hemorrhage that "is actionable" and requires diagnostic studies, hospitalization, or treatment by a health care professional
Type 3 - 
  a.       Overt bleeding plus hemoglobin drop of 3 to &lt; 5 g/dL (provided hemoglobin drop is related to bleed); transfusion with overt bleeding
  b.      Overt bleeding plus hemoglobin drop &lt; 5 g/dL (provided hemoglobin drop is related to bleed); cardiac tamponade; bleeding requiring surgical intervention for control; bleeding requiring IV vasoactive agents
  c.       Intracranial hemorrhage confirmed by autopsy, imaging, or lumbar puncture; intraocular bleed compromising vision
Type 4 - CABG-related bleeding within 48 hours
Type 5 - 
  a.       Probable fatal bleeding
  b.      Definite fatal bleeding (overt or autopsy or imaging confirmation)</t>
  </si>
  <si>
    <t>104</t>
  </si>
  <si>
    <t>This refers to a post-procedural bleeding. HMDS could be used, if NaCs  complication info does not provide sufficient detail/</t>
  </si>
  <si>
    <t xml:space="preserve">0 = Type 0
1 = Type 1
2 = Type 2
3 = Type 3a
4 = Type 3b
5 = Type 3c
6 = Type 4
7 = Type 5a
8 = Type </t>
  </si>
  <si>
    <t>HMDS ICD L76. 22  can identify post operative bleeding but not with this level of refinement (i.e. blood loss). Type 4 identifiable.</t>
  </si>
  <si>
    <t>1, Retroperitoneal | 2, Percutaneous entry site | 3, Gastrointestinal tract | 4, Cerebral | 5, Genital/Urinary | 6, Other</t>
  </si>
  <si>
    <t>Indicate the bleeding site from the following:
- Retroperitoneal - Indicate whether retroperitoneal bleeding occurred during or after the cath lab visit and until discharge. 
- Percutaneous entry site - Indicate whether bleeding occurred at the percutaneous entry site during or after the cath lab visit and until discharge.  Bleeding at the percutaneous entry site can be external or a haematoma &gt;10cm for femoral access or &gt;2cm for radial access or &gt;5cm for brachial access. 
- Gastrointestinal tract - Indicate whether gastrointestinal bleeding occurred during or after the cath lab visit and until discharge. 
- Cerebral - Indicate whether cerebral bleeding occurred during or after the cath lab visit and until discharge. 
- Genital/Urinary - Indicate whether genital or urinary bleeding occurred during or after the cath lab visit and until discharge.  
- Other -</t>
  </si>
  <si>
    <t>105</t>
  </si>
  <si>
    <t>1 = Retroperitoneal
2 = Percutaneous entry site
3 = Gastrointestinal tract
4 = Cerebral
5 = Genital/Urinary
6 = Other</t>
  </si>
  <si>
    <t>0, No stent thrombosis | 1, Definite stent thrombosis | 2, Probable stent thrombosis | 3, Silent stent thrombosis</t>
  </si>
  <si>
    <t>Indicate whether a stent thrombosis occurred during hospitalisation, after the index PCI lab visit, but prior to discharge and/or any subsequent lab visits.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Select ONE of the following options that apply:
-No stent thrombosis: Where there are no acute coronary syndrome (ACS) symptoms or death after the index PCI lab visit and/or prior to discharge OR ACS symptoms occur during the defined period, but angiographic evidence does not indicate thrombus or occlusion.
-Definite stent thrombosis: The presence of an ACS with angiographic or autopsy evidence of thrombus or occlusion.
-Probable stent thrombosis: Includes unexplained deaths during the index admission after the procedure or acute myocardial infarction involving the target-vessel territory without angiographic or autopsy confirmation.
-Silent stent thrombosis: The incidental angiographic documentation of stent occlusion in the absence of clinical
signs or symptoms is not considered stent thrombosis.</t>
  </si>
  <si>
    <t>106</t>
  </si>
  <si>
    <t>In-hospital stent thrombosis</t>
  </si>
  <si>
    <t>Cardiobase/Angiography/Lesion includes stent thrombosis</t>
  </si>
  <si>
    <t>0 = No stent thrombosis
1 = Definite stent thrombosis
2 = Probable stent thrombosis
3 = Silent stent thrombos</t>
  </si>
  <si>
    <t>HMDS : ICD T82.867A idetifies stent thrombosis.</t>
  </si>
  <si>
    <t>107</t>
  </si>
  <si>
    <t>post_procedure_complete</t>
  </si>
  <si>
    <t>1, Home | 2, Hospital in the home | 3, Rehab unit/hospital | 4, Local or referring hospital | 5, Tertiary referral centre | 6, Hospital mortality</t>
  </si>
  <si>
    <t>Indicate under what conditions the patient was discharged from the hospital following the index admission. Select one of the following options: 
Note:  Patients who died during their index admission without being discharged from the acute care setting should be coded as hospital mortality.
- Home: Discharged to home, with no planned contact before routine review;
- Hospital in the Home: Discharged to home, with planned visits to home by medical or paramedical staff; 
- Rehabilitation Unit/Hospital: Discharged for inpatient rehabilitation; 
- Local or referring hospital: Discharged to another hospital for continuing care not related to any complications arising from the index PCI;
- Tertiary referral centre: Discharged to another hospital or centre for tertiary care related to a complication arising from the index PCI (e.g.  patient had PCI complications that required advanced medical treatment/investigation that could not be performed by the PCI hospital);
- Hospital Mortality:  Patient died in-hospital during or after the index PCI procedure, but prior to discharge.</t>
  </si>
  <si>
    <t>108</t>
  </si>
  <si>
    <t>ds</t>
  </si>
  <si>
    <t>1 = Home
2 = Hospital in the Home
3 = Rehab Unit/Hospital
4 = Local or Referring Hospital
5 = Tertiary Referral Centre
6 = Hospital Mortality</t>
  </si>
  <si>
    <t>HMDS identifies this.</t>
  </si>
  <si>
    <t>On what date was the patient discharged or date of in hospital mortality?</t>
  </si>
  <si>
    <t>109</t>
  </si>
  <si>
    <t>Date of discharge/mortality</t>
  </si>
  <si>
    <t>HMDS (? Why does this suggest NACS)</t>
  </si>
  <si>
    <t>110</t>
  </si>
  <si>
    <t>Length of stay</t>
  </si>
  <si>
    <t>Needs clarification for separation based length of stay, or hospital based length of stay,</t>
  </si>
  <si>
    <t>0, No | 1, Yes | -1, Unknown</t>
  </si>
  <si>
    <t>Indicate if there was written documentation of a patient referral to an outpatient cardiac rehabilitation program, or a documented reason why referral was not made (by physician, nurse, or other hospital personnel).</t>
  </si>
  <si>
    <t>111</t>
  </si>
  <si>
    <t>Cardiac rehab referral</t>
  </si>
  <si>
    <t>1 = No
2 = Yes
-1 = Unknown</t>
  </si>
  <si>
    <t>Outpatient dataset may assist in identiifcation to OWPL or OPD.  Requires business rules to identify.</t>
  </si>
  <si>
    <t>1, Cardiac | 2, Non-cardiac</t>
  </si>
  <si>
    <t>Indicate the cause of death. Primary cause of death is the first significant abnormal event which ultimately led to death.  Select ONE of the following options: 
- Non-cardiac: The primary cause of death was clearly non-cardiac related AND there is documented evidence of a non-cardiac primary cause of death (e.g. cancer, renal failure, major trauma, etc.).
- Cardiac: The primary cause of death was diagnosed as clearly cardiac-related and includes, but is not exclusive to any of the following circumstances: chronic heart failure; acute coronary syndrome (e.g. STEMI, NSTEMI; recurrent or unstable angina, etc.); arrhythmia; and/or bleeding or other complications following a cardiac procedure.</t>
  </si>
  <si>
    <t>112</t>
  </si>
  <si>
    <t>Primary cause of death</t>
  </si>
  <si>
    <t>This refers to in-hospital deaths</t>
  </si>
  <si>
    <t xml:space="preserve">1 = Cardiac
2 = Non-Cardiac
</t>
  </si>
  <si>
    <t>The Deaths Registry can be used to identify this information with NLP support. Requires test use case.</t>
  </si>
  <si>
    <t>0, No | 1, Yes | 2, Contraindicated | 3, Not collected</t>
  </si>
  <si>
    <t>Indicate if the patient is prescribed and taking aspirin at discharge from the PCI admission. Aspirin agents include: aspirin, astrix, cardiprin, cartia, assasantin, aspro, disprin and solprin.</t>
  </si>
  <si>
    <t>Pharmacy</t>
  </si>
  <si>
    <t>113</t>
  </si>
  <si>
    <t>NaCs provides info on medications on discharge only i.e. new prescriptions and current medication - collection  status not provided</t>
  </si>
  <si>
    <t xml:space="preserve">0 = No
1 = Yes
2 = Contraindicated
3 = Not collected
</t>
  </si>
  <si>
    <t>HIH Results Hub - needs clarification &amp; SME input (SMA)
Ipharmacy may offer a secondary source.</t>
  </si>
  <si>
    <t>Indicate if the patient is prescribed and taking other antiplatelets at discharge from the PCI admission. Antiplatelets agents include: Thienopyridine agents (clopidogrel, ticlopidine, prasugrel), Ticagrelor.</t>
  </si>
  <si>
    <t>114</t>
  </si>
  <si>
    <t>Other anti-platelet prescribed at discharge</t>
  </si>
  <si>
    <t xml:space="preserve">NacCs </t>
  </si>
  <si>
    <t>Indicate if the patient is prescribed and taking a statin at discharge from the PCI admission. Statin agents include: atorvastatin, fluvastatin, pravastatin, rosuvastatin and simvastatin.</t>
  </si>
  <si>
    <t>115</t>
  </si>
  <si>
    <t xml:space="preserve">NaCs </t>
  </si>
  <si>
    <t>Indicate if the patient is prescribed and taking other Lipid Lowering Therapies at discharge from the PCI admission.
Other lipid lowering agents include: ezetimibe and fibrates (gemfibrozil, fenofibrate and clofibrate).</t>
  </si>
  <si>
    <t>116</t>
  </si>
  <si>
    <t>Other lipid lowering therapies provided at discharge</t>
  </si>
  <si>
    <t>117</t>
  </si>
  <si>
    <t>discharge_complete</t>
  </si>
  <si>
    <t>Does this mean is the patient still an inpatient? If so, is it the acute episode of care which is complete or the rehab? Or both.</t>
  </si>
  <si>
    <t>Indicate the date the follow-up was undertaken. All patients must be followed up (or attempted to be followed up) at 30 days post discharge from the PCI admission.</t>
  </si>
  <si>
    <t>118</t>
  </si>
  <si>
    <t>Date of follow-up</t>
  </si>
  <si>
    <t>WACOR data dictionary should clarify this means any of : face to face (e.g. OPD), primary care, community care or telehealth.</t>
  </si>
  <si>
    <t>0, Alive | 1, Deceased | -1, Lost to follow-up</t>
  </si>
  <si>
    <t>119</t>
  </si>
  <si>
    <t xml:space="preserve">0 = Alive
1 = Deceased
-1 = Lost to follow up
</t>
  </si>
  <si>
    <t>The WACOR data dictionary should derive this field from the date of death (i.e. if date of death exists, then patient is decaeased). No brainer.</t>
  </si>
  <si>
    <t>Record the date on which the patient died.</t>
  </si>
  <si>
    <t>120</t>
  </si>
  <si>
    <t>Death registration? WebPAS?</t>
  </si>
  <si>
    <t>Deaths registration from WA Registrar of Deaths.  Note it will not include non-WA residents who are deceased.</t>
  </si>
  <si>
    <t>1, Cardiac | 2, Non-cardiac | 3, Uncertain</t>
  </si>
  <si>
    <t>Primary cause of death is the first significant abnormal event which ultimately led to death.  Select ONE of the following options:
- Non-cardiac: The primary cause of death was clearly non-cardiac related AND there is documented evidence of a non-cardiac primary cause of death (e.g. cancer, renal failure, major trauma, etc.).
- Cardiac: The primary cause of death was diagnosed as clearly cardiac-related and includes, but is not exclusive to any of the following circumstances: chronic heart failure; acute coronary syndrome (e.g. STEMI, NSTEMI; recurrent or unstable angina, etc.); arrhythmia; and/or bleeding or other complications following a cardiac procedure.
- Uncertain: The primary cause of death is not definitively known.</t>
  </si>
  <si>
    <t>121</t>
  </si>
  <si>
    <t xml:space="preserve">0 = Cardiac
1 = Non-cardiac
-1 = Uncertain
</t>
  </si>
  <si>
    <t>Requires linkage and information from the Deaths Registry.
Requires NLP to determine cardiac related conditions.  
Requires more detailed WACOR definition at the state level defining the cardiac cause being present in the CAUSE OF DEATH field and not ANTECEDENT FACTORS.</t>
  </si>
  <si>
    <t>Indicate if the patient experienced a new myocardial infarction (MI) within 30 days from the date of discharge from the index admission. 
The new MI is defined by the following criteria: 
Non ST-Elevation Myocardial Infarction (NSTEMI):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1.       Either ST segment depression or T wave abnormalities in the ECG; or
2.       Ischaemic symptoms in the presence or absence of chest discomfort. Ischaemic symptoms may include:
-  Unexplained nausea and vomiting; or
-  Persistent shortness of breath secondary to left ventricular failure; or
-  Unexplained weakness, dizziness, light-headedness, or syncope
ST-Elevation Myocardial Infarction (STEMI)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ECG changes...
1.      ST-segment elevation: New or presumed new ST segment elevation at the J point in two or more contiguous leads with the cut-off points ≥ 0.2mV in leads V1, V2, or V3, or ≥0.1 mV in other leads. 
2.      Development of any Q wave in leads V1 through V3, or the development of a Q-wave ≥ 30ms (0.03s) in leads I, II, aVL, aVF, V4, V5, or V6. (Q wave changes must be present in any two contiguous leads, and be ≥1mm in depth).</t>
  </si>
  <si>
    <t xml:space="preserve">NaCs? </t>
  </si>
  <si>
    <t>122</t>
  </si>
  <si>
    <t>Outpatient clinic data?</t>
  </si>
  <si>
    <t xml:space="preserve">0 = No
1 = Yes
-1 = Unknown
</t>
  </si>
  <si>
    <t>Requires business rule to identify MI date and measure within 30 days.
Assumes MI event has been captured in a WA Health Information System (e.g. ED, PAS) and/or can be added via the WACOR data collection tool.</t>
  </si>
  <si>
    <t>0, No stent thrombosis | 1, Definite stent thrombosis | 2, Probable stent thrombosis | 3, Silent stent thrombosis | -1, Unknown</t>
  </si>
  <si>
    <t>Indicate whether a stent thrombosis occurred within 30 days from the date of discharge from the current admission.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Select ONE of the following options that apply:
-No stent thrombosis: Where there are no acute coronary syndrome (ACS) symptoms or death after the index PCI lab visit and/or prior to discharge OR ACS symptoms occur during the defined period, but angiographic evidence does not indicate thrombus or occlusion.
-Definite stent thrombosis: The presence of an ACS with angiographic or autopsy evidence of thrombus or occlusion.
-Probable stent thrombosis: Includes unexplained deaths during the index admission after the procedure or acute myocardial infarction involving the target-vessel territory without angiographic or autopsy confirmation.
-Silent stent thrombosis: The incidental angiographic documentation of stent occlusion in the absence of clinical
signs or symptoms is not considered stent thrombosis.
-Unknown:</t>
  </si>
  <si>
    <t>123</t>
  </si>
  <si>
    <t>New-stent thrombosis</t>
  </si>
  <si>
    <t xml:space="preserve">0 = No stent thrombosis
1 = Definite stent thrombosis                       2 = Probable stent thrombosis                       3 = Silent stent thrombosis
-1 = Unknown
</t>
  </si>
  <si>
    <t>124</t>
  </si>
  <si>
    <t>125</t>
  </si>
  <si>
    <t>New stroke type</t>
  </si>
  <si>
    <t xml:space="preserve">1 = Haemorrhagic            2 = Ischaemic
-1 = Unknown
</t>
  </si>
  <si>
    <t>Up to 6 rehospitalisations can be entered.
Indicate whether the patient had a cardiac rehospitalisation, where a cardiac rehospitalisation is defined as an in-patient admission that includes, but is not limited to any of the following circumstances: heart failure; acute coronary syndrome (e.g STEMI, NSTEMI; recurrent or unstable angina); arrhythmia; elective (non emergency) PCI or CAGB etc.
Include rehospitalisations with a primary diagnosis that has the following ICD-10 AM codes:
I00 - I02: Acute rheumatic fever
I05 - I09: Chronic rheumatic heart disease
I10 - I15: Hypertensive diseases
I20 - I25: Ischaemic heart disease
I30 - I52: Other forms of heart disease
I70 - I72: Atherosclerosis, aortic aneurysm and dissection
I74: Arterial embolism and thrombosis
I77.0: Arteriovenous fistula, acquired
R00: Abnormalities of heart beat
R01: Cardiac murmurs and other cardiac sounds
R03: Abnormal blood pressure reading
R07: Pain in throat and chest
All other ICD-10 codes should be classified as non-cardiac</t>
  </si>
  <si>
    <t>126</t>
  </si>
  <si>
    <t>crh30_1</t>
  </si>
  <si>
    <t>Cardiac rehospitalisation 1</t>
  </si>
  <si>
    <t>Indicate the date of cardiac rehospitalisation</t>
  </si>
  <si>
    <t>127</t>
  </si>
  <si>
    <t>Cardiac rehospitalisation date</t>
  </si>
  <si>
    <t>Indicate whether the cardiac rehospitalisation was planned.  Note: A 'planned cardiac rehospitalisation' is defined as an in-patient admission to hospital for a SCHEDULED visit only.  For emergency admissions, code as 'no'.</t>
  </si>
  <si>
    <t>128</t>
  </si>
  <si>
    <t>pc30_1</t>
  </si>
  <si>
    <t>Planned cardiac rehospitalisation 1</t>
  </si>
  <si>
    <t>Indicate whether Percutaneous Coronary Intervention (PCI) was performed during the cardiac rehospitalisation admission</t>
  </si>
  <si>
    <t>129</t>
  </si>
  <si>
    <t>pci30_1</t>
  </si>
  <si>
    <t>PCI rehospitalisation 1</t>
  </si>
  <si>
    <t>Indicate whether the target VESSEL was revascularised during the post-discharge subsequent PCI. 
Note: A PCI TVR is any repeated PERCUTANEOUS revascularisation due to restenosis/occlusion within the target coronary artery and/or the same arterial branch that was treated during the index PCI. 
This includes any percutaneous revascularisation within the same arterial branch treated during the index PCI, regardless of whether the index PCI was successful.</t>
  </si>
  <si>
    <t>130</t>
  </si>
  <si>
    <t>tvr30_1</t>
  </si>
  <si>
    <t>Target vessel revascularisation (PCI) 1</t>
  </si>
  <si>
    <t>Indicate whether the target LESION was revascularised during the post-discharge subsequent PCI. 
Note:  A target lesion revascularisation (TLR) is any repeated PERCUTANEOUS revascularisation of the same LESION treated during the index PCI.  
This includes treatment of a restenosis/occlusion within a stent implanted during the index PCI (or within 5-mm of the proximal and distal margins of the stent edges). It also includes attempts to revascularise the target lesion where a stent was not successfully implanted and/or plain old balloon angioplasty (POBA) was employed during the index PCI.</t>
  </si>
  <si>
    <t>131</t>
  </si>
  <si>
    <t>tlr30_1</t>
  </si>
  <si>
    <t>Target lesion revascularisation (TLR) 1</t>
  </si>
  <si>
    <t>Indicate whether Coronary Bypass Grafting (CABG) was performed during the cardiac rehospitalisation admission.</t>
  </si>
  <si>
    <t>132</t>
  </si>
  <si>
    <t>cab30_1</t>
  </si>
  <si>
    <t>CABG rehospitalisation 1</t>
  </si>
  <si>
    <t>0, No | 1, Yes | -1, Unkown</t>
  </si>
  <si>
    <t>Indicate whether the surgery involved the placing of coronary artery bypass grafts to revascularise the target vessel treated during the index PCI.</t>
  </si>
  <si>
    <t>133</t>
  </si>
  <si>
    <t>tvcab30_1</t>
  </si>
  <si>
    <t>Target vessel CABG 1</t>
  </si>
  <si>
    <t>134</t>
  </si>
  <si>
    <t>Cardiac rehospitalisation 2</t>
  </si>
  <si>
    <t>135</t>
  </si>
  <si>
    <t>Planned cardiac rehospitalisation 2</t>
  </si>
  <si>
    <t>136</t>
  </si>
  <si>
    <t>PCI rehospitalisation 2</t>
  </si>
  <si>
    <t>137</t>
  </si>
  <si>
    <t>Target vessel revascularisation (PCI) 2</t>
  </si>
  <si>
    <t>138</t>
  </si>
  <si>
    <t>Target lesion revascularisation (TLR) 2</t>
  </si>
  <si>
    <t>139</t>
  </si>
  <si>
    <t>CABG rehospitalisation 2</t>
  </si>
  <si>
    <t>140</t>
  </si>
  <si>
    <t>Target vessel CABG 2</t>
  </si>
  <si>
    <t>141</t>
  </si>
  <si>
    <t>Cardiac rehospitalisation 3</t>
  </si>
  <si>
    <t>142</t>
  </si>
  <si>
    <t>Planned cardiac rehospitalisation 3</t>
  </si>
  <si>
    <t>143</t>
  </si>
  <si>
    <t>PCI rehospitalisation 3</t>
  </si>
  <si>
    <t>144</t>
  </si>
  <si>
    <t>Target vessel revascularisation (PCI) 3</t>
  </si>
  <si>
    <t>145</t>
  </si>
  <si>
    <t>Target lesion revascularisation (TLR) 3</t>
  </si>
  <si>
    <t>146</t>
  </si>
  <si>
    <t>CABG rehospitalisation 3</t>
  </si>
  <si>
    <t>147</t>
  </si>
  <si>
    <t>Target vessel CABG 3</t>
  </si>
  <si>
    <t>148</t>
  </si>
  <si>
    <t>Cardiac rehospitalisation 4</t>
  </si>
  <si>
    <t>149</t>
  </si>
  <si>
    <t>Planned cardiac rehospitalisation 4</t>
  </si>
  <si>
    <t>150</t>
  </si>
  <si>
    <t>PCI rehospitalisation 4</t>
  </si>
  <si>
    <t>151</t>
  </si>
  <si>
    <t>Target vessel revascularisation (PCI) 4</t>
  </si>
  <si>
    <t>152</t>
  </si>
  <si>
    <t>Target lesion revascularisation (TLR) 4</t>
  </si>
  <si>
    <t>153</t>
  </si>
  <si>
    <t>CABG rehospitalisation 4</t>
  </si>
  <si>
    <t>154</t>
  </si>
  <si>
    <t>Target vessel CABG 4</t>
  </si>
  <si>
    <t>155</t>
  </si>
  <si>
    <t>Cardiac rehospitalisation 5</t>
  </si>
  <si>
    <t>156</t>
  </si>
  <si>
    <t>Planned cardiac rehospitalisation 5</t>
  </si>
  <si>
    <t>157</t>
  </si>
  <si>
    <t>PCI rehospitalisation 5</t>
  </si>
  <si>
    <t>158</t>
  </si>
  <si>
    <t>Target vessel revascularisation (PCI) 5</t>
  </si>
  <si>
    <t>159</t>
  </si>
  <si>
    <t>Target lesion revascularisation (TLR) 5</t>
  </si>
  <si>
    <t>160</t>
  </si>
  <si>
    <t>CABG rehospitalisation 5</t>
  </si>
  <si>
    <t>161</t>
  </si>
  <si>
    <t>Target vessel CABG 5</t>
  </si>
  <si>
    <t>162</t>
  </si>
  <si>
    <t>day_follow_up_complete</t>
  </si>
  <si>
    <t>Indication - Cardiobase</t>
  </si>
  <si>
    <t>Mapped to NCR Indication</t>
  </si>
  <si>
    <t>NSTEMI</t>
  </si>
  <si>
    <t>Will need to confirm &lt;7 days</t>
  </si>
  <si>
    <t>1, 2, 3, 4, 5 or 6</t>
  </si>
  <si>
    <t>Dependent on timing and lysis</t>
  </si>
  <si>
    <t>Unstable Angina</t>
  </si>
  <si>
    <t>9 or 12</t>
  </si>
  <si>
    <t>Will be dependent on timing</t>
  </si>
  <si>
    <t>Aborted Infarct</t>
  </si>
  <si>
    <t>Acute Closure</t>
  </si>
  <si>
    <t>Acute Coronary Syndrome</t>
  </si>
  <si>
    <t>NCR Indications</t>
  </si>
  <si>
    <t>Acute InStent Thombosis</t>
  </si>
  <si>
    <t xml:space="preserve">1 = Primary PCI for STEMI (or STEMI equivalent) within 12 hours of symptom onset </t>
  </si>
  <si>
    <t>Acute Pulmonary Oedema</t>
  </si>
  <si>
    <t>2 = PCI for STEMI (or STEMI equivalent) between 12-24 hours of symptom onset</t>
  </si>
  <si>
    <t>Aortic Coarctation</t>
  </si>
  <si>
    <t>3 = Rescue PCI for STEMI (or STEMI equivalent) after a failed full-dose lysis</t>
  </si>
  <si>
    <t>Aortic Regurgitation</t>
  </si>
  <si>
    <t xml:space="preserve">4 = PCI for STEMI (or STEMI equivalent) where patient is stable after receiving full-dose lysis </t>
  </si>
  <si>
    <t>Aortic Stenosis</t>
  </si>
  <si>
    <t>5 = PCI for STEMI (1-7 days, no prior lysis)</t>
  </si>
  <si>
    <t>Aortic Valvular Disease.</t>
  </si>
  <si>
    <t>6 = PCI for STEMI (1-7 days, following lysis)</t>
  </si>
  <si>
    <t>Arrhythmia With Elevated Troponin</t>
  </si>
  <si>
    <t>7 - PCI for cardiac arrest/cardiogenic shock (Not a STEMI) but without ECG or biomarker evidence of MI</t>
  </si>
  <si>
    <t>Asymptomatic Since AMI</t>
  </si>
  <si>
    <t xml:space="preserve">8 = PCI for NSTEMI (&lt;7 days) </t>
  </si>
  <si>
    <t>Asystolic Arrest</t>
  </si>
  <si>
    <t xml:space="preserve">9 = PCI for unstable angina (&lt;7 days) </t>
  </si>
  <si>
    <t>Atrial Fibrillation</t>
  </si>
  <si>
    <t xml:space="preserve">10 = PCI for recent ACS (STEMI, NSTEMI or UA) (7-30 days) but symptoms have stabilised without repeated or recurrent events. </t>
  </si>
  <si>
    <t>Atrial Septal Defect</t>
  </si>
  <si>
    <t>11 = Staged PCI. Any subsequent, PLANNED PCI procedure undertaken as part of a multi-vessel intervention strategy. Earlier PCIs could have been in a prior admission or during the current admission and must be within 3 months from the current PCI.</t>
  </si>
  <si>
    <t>Atypical Chest Pain</t>
  </si>
  <si>
    <t>12 = PCI for angina/angina equivalent symptoms</t>
  </si>
  <si>
    <t>Cardiac Arrest</t>
  </si>
  <si>
    <t>Dependent on criteria</t>
  </si>
  <si>
    <t>13 = PCI for no angina/angina equivalent symptoms</t>
  </si>
  <si>
    <t>Cardiogenic Shock</t>
  </si>
  <si>
    <t>Cardiomyopathy</t>
  </si>
  <si>
    <t>Claudication</t>
  </si>
  <si>
    <t>Note: PCI indication reflects why the patient was taken to the cath lab NOT the underlying medical condition</t>
  </si>
  <si>
    <t>Crescendo Angina</t>
  </si>
  <si>
    <t>If a patient does not fit into a specific indication that should be coded as 13 (this includes patients with abnormal stress tests, TAVI workup, arrythmia or syncope etc).</t>
  </si>
  <si>
    <t>Cyanosis</t>
  </si>
  <si>
    <t>All cases, including failed cases need to be included.</t>
  </si>
  <si>
    <t>Di George Syndrome</t>
  </si>
  <si>
    <t>Dissection</t>
  </si>
  <si>
    <t>Dizziness</t>
  </si>
  <si>
    <t>Edge Restenosis</t>
  </si>
  <si>
    <t>Elective PCI</t>
  </si>
  <si>
    <t>Exertional Angina</t>
  </si>
  <si>
    <t>Exertional Dyspnoea</t>
  </si>
  <si>
    <t>Failed Thrombolysis</t>
  </si>
  <si>
    <t>Follow Up Post PTCA</t>
  </si>
  <si>
    <t>Heart Block</t>
  </si>
  <si>
    <t>Heart Failure</t>
  </si>
  <si>
    <t>Hypertension</t>
  </si>
  <si>
    <t>In-Stent Restenosis</t>
  </si>
  <si>
    <t>In-Stent Thrombosis</t>
  </si>
  <si>
    <t>Intractable Angina</t>
  </si>
  <si>
    <t>Ischaemia Related VT</t>
  </si>
  <si>
    <t>Ischaemic Cardiomyopathy</t>
  </si>
  <si>
    <t>Ischaemic Heart Disease</t>
  </si>
  <si>
    <t>Late Presentation MI</t>
  </si>
  <si>
    <t>Late Presentation STEMI</t>
  </si>
  <si>
    <t>Mitral Stenosis</t>
  </si>
  <si>
    <t>Out Of Hospital Arrest</t>
  </si>
  <si>
    <t>Palliative</t>
  </si>
  <si>
    <t>Pancytopaenia</t>
  </si>
  <si>
    <t>Paravalvular Leak</t>
  </si>
  <si>
    <t>Patent Foramen Ovale</t>
  </si>
  <si>
    <t>PDA closure</t>
  </si>
  <si>
    <t>Positive Cardiac CT</t>
  </si>
  <si>
    <t>Positive Exercise Test</t>
  </si>
  <si>
    <t>Positive Fractional Flow Reserve</t>
  </si>
  <si>
    <t>Positive Myocardial Perfusion Scan</t>
  </si>
  <si>
    <t>Positive Stress Echo</t>
  </si>
  <si>
    <t>Positive Thallium Scan</t>
  </si>
  <si>
    <t>Post Abdominal Surgery</t>
  </si>
  <si>
    <t>Post Aborted Infarct</t>
  </si>
  <si>
    <t>Post Amphetamine Use</t>
  </si>
  <si>
    <t>Post CABG</t>
  </si>
  <si>
    <t>Post Cardiac Transplant</t>
  </si>
  <si>
    <t>Post Cardiogenic Shock</t>
  </si>
  <si>
    <t>Post Cryptogenic Thalamic Infarct</t>
  </si>
  <si>
    <t>Post Infarct Angina</t>
  </si>
  <si>
    <t>Post Infarct VSD</t>
  </si>
  <si>
    <t>Post Myocardial Infarction</t>
  </si>
  <si>
    <t>Post Op Infarct</t>
  </si>
  <si>
    <t>Post Thrombolysis</t>
  </si>
  <si>
    <t>3 or 4</t>
  </si>
  <si>
    <t>Dependent on timing and lysis success</t>
  </si>
  <si>
    <t>Post VF Arrest</t>
  </si>
  <si>
    <t>Pre TAVI</t>
  </si>
  <si>
    <t>Pre-Op</t>
  </si>
  <si>
    <t>Prinz-Metal Angina</t>
  </si>
  <si>
    <t>Prognostic</t>
  </si>
  <si>
    <t>Pulmonary Artery Stenosis</t>
  </si>
  <si>
    <t>Pulmonary Embolism</t>
  </si>
  <si>
    <t>Pulmonary Hypertension</t>
  </si>
  <si>
    <t>Pulmonary Oedema</t>
  </si>
  <si>
    <t>Pulmonary Valve Stenosis</t>
  </si>
  <si>
    <t>Rate Related Ischaemia</t>
  </si>
  <si>
    <t>Refractory Angina</t>
  </si>
  <si>
    <t>Rescue Angioplasty</t>
  </si>
  <si>
    <t>Respiratory Arrest</t>
  </si>
  <si>
    <t>Restenosis</t>
  </si>
  <si>
    <t>Reversible Ischaemia</t>
  </si>
  <si>
    <t>Shortness Of Breath</t>
  </si>
  <si>
    <t>Stable Angina</t>
  </si>
  <si>
    <t>Staged Procedure 1</t>
  </si>
  <si>
    <t>Staged Procedure 2</t>
  </si>
  <si>
    <t>Staged procedure 3</t>
  </si>
  <si>
    <t>Stenosed Pulmonary Vein</t>
  </si>
  <si>
    <t>Stenotic Pulmonary Valve</t>
  </si>
  <si>
    <t>Stent Thrombosis</t>
  </si>
  <si>
    <t>Stroke</t>
  </si>
  <si>
    <t>Stuttering Ami</t>
  </si>
  <si>
    <t>Sub-Acute Closure</t>
  </si>
  <si>
    <t>Subclavian Steal Syndrome</t>
  </si>
  <si>
    <t>Subendocardial Infarct</t>
  </si>
  <si>
    <t>Syncope</t>
  </si>
  <si>
    <t>Ventricular Tachycardia</t>
  </si>
  <si>
    <t>VF Arrest</t>
  </si>
  <si>
    <t>Count of Cardiovascular</t>
  </si>
  <si>
    <t>Count of PCI Data Set</t>
  </si>
  <si>
    <t>userdeactivate</t>
  </si>
  <si>
    <t>User Status - Deactivated</t>
  </si>
  <si>
    <t>wa_amb_handover_date</t>
  </si>
  <si>
    <t>Ambulance handover date</t>
  </si>
  <si>
    <t>wa_amb_handover_time</t>
  </si>
  <si>
    <t>Ambulance handover time</t>
  </si>
  <si>
    <t>wa_cardiogenic_shock_hmds</t>
  </si>
  <si>
    <t>wa_cath_arrival_date</t>
  </si>
  <si>
    <t>Cath lab arrival date</t>
  </si>
  <si>
    <t>wa_cath_arrival_time</t>
  </si>
  <si>
    <t xml:space="preserve">Cath lab arrival time </t>
  </si>
  <si>
    <t>wa_dbd</t>
  </si>
  <si>
    <t>WA balloon/device date</t>
  </si>
  <si>
    <t>wa_diabetes_hmds</t>
  </si>
  <si>
    <t>Diabetes (HMDS)</t>
  </si>
  <si>
    <t>wa_ed_arrival_date</t>
  </si>
  <si>
    <t>PCI centre Emergency Department arrival date</t>
  </si>
  <si>
    <t>wa_ed_arrival_time</t>
  </si>
  <si>
    <t>PCI centre Emergency Department arrival time</t>
  </si>
  <si>
    <t>wa_in_hospital-ami</t>
  </si>
  <si>
    <t>In hospital myocardial infarction</t>
  </si>
  <si>
    <t>wa_tbd</t>
  </si>
  <si>
    <t>WA balloon/device time</t>
  </si>
  <si>
    <t>wa_ward_admission_date</t>
  </si>
  <si>
    <t>Ward admission date</t>
  </si>
  <si>
    <t>wa_ward_admission_time</t>
  </si>
  <si>
    <t>Ward admission time</t>
  </si>
  <si>
    <t>adr</t>
  </si>
  <si>
    <t>Adjunctive Device Required</t>
  </si>
  <si>
    <t>adrt_1</t>
  </si>
  <si>
    <t>Adjunctive Device Type</t>
  </si>
  <si>
    <t>adrt_2</t>
  </si>
  <si>
    <t>adrt_3</t>
  </si>
  <si>
    <t>adrt_4</t>
  </si>
  <si>
    <t>adrt_5</t>
  </si>
  <si>
    <t>adrt_6</t>
  </si>
  <si>
    <t>adrt_7</t>
  </si>
  <si>
    <t>adrt_8</t>
  </si>
  <si>
    <t>adrt_9</t>
  </si>
  <si>
    <t>aria</t>
  </si>
  <si>
    <t>Accessibility/Remoteness Index of Australia</t>
  </si>
  <si>
    <t>fut</t>
  </si>
  <si>
    <t>Functional test result</t>
  </si>
  <si>
    <t>gos</t>
  </si>
  <si>
    <t>Grade of Stenossi</t>
  </si>
  <si>
    <t>seifa</t>
  </si>
  <si>
    <t>Socio-Economic Indexes for Areas</t>
  </si>
  <si>
    <t>smk</t>
  </si>
  <si>
    <t>Smoking status</t>
  </si>
  <si>
    <t>vsrt</t>
  </si>
  <si>
    <t>Type of mechanical ventricular support:</t>
  </si>
  <si>
    <t xml:space="preserve">Cardiac Registry of Western Australia (CRoWA) </t>
  </si>
  <si>
    <t>Deployed in:</t>
  </si>
  <si>
    <t>ncr_field</t>
  </si>
  <si>
    <t>wa_definition</t>
  </si>
  <si>
    <t>ncr_question_and_supporting_definition</t>
  </si>
  <si>
    <t>ncr_comments</t>
  </si>
  <si>
    <t>format</t>
  </si>
  <si>
    <t>permitted_values</t>
  </si>
  <si>
    <t>range_(min)</t>
  </si>
  <si>
    <t>range_(max)</t>
  </si>
  <si>
    <t>definition_progress</t>
  </si>
  <si>
    <t>guide_for_use</t>
  </si>
  <si>
    <t>wa_development_comments</t>
  </si>
  <si>
    <t>Query for Cardiologists</t>
  </si>
  <si>
    <t>validations</t>
  </si>
  <si>
    <t>collection_system(s)</t>
  </si>
  <si>
    <t>HIH (Snowflake)</t>
  </si>
  <si>
    <t>Death Registry</t>
  </si>
  <si>
    <t>PCI Redcap</t>
  </si>
  <si>
    <t>collection_method_status</t>
  </si>
  <si>
    <t>meteor_reference</t>
  </si>
  <si>
    <t>wa_health_link</t>
  </si>
  <si>
    <t>date_submitted_ncr</t>
  </si>
  <si>
    <t>who</t>
  </si>
  <si>
    <t>ColumnMerges</t>
  </si>
  <si>
    <t>PCI Data Set</t>
  </si>
  <si>
    <t>Cardiovascular</t>
  </si>
  <si>
    <t>Location</t>
  </si>
  <si>
    <t>How is the column made?</t>
  </si>
  <si>
    <t>NCR Grouping</t>
  </si>
  <si>
    <t>Column meets NCR comments and permitted values</t>
  </si>
  <si>
    <t>definition_progress_lookup</t>
  </si>
  <si>
    <t>Excel: data validation list for collection_method_status</t>
  </si>
  <si>
    <t>Yes</t>
  </si>
  <si>
    <t>Was the patient  suffering from an acute coronary syndrome (ACS) in the 7 day period leading up to and including the index PCI?
ACS encompasses clinical features comprising chest pain or overwhelming shortness of breath, defined by accompanying clinical, ECG and biochemical features. Specifically, ACS refers to unstable angina, non ST-Elevation Myocardial Infarction (NSTEMI) and/or ST-Elevation Myocardial Infarction (STEMI).</t>
  </si>
  <si>
    <t xml:space="preserve">Reject file if NULL from the ncr tab: procedure </t>
  </si>
  <si>
    <t>N</t>
  </si>
  <si>
    <t>0=No 
1=Yes</t>
  </si>
  <si>
    <t>0</t>
  </si>
  <si>
    <t>Where the clinician has documented STEMI, NSTEMI or unstable angina in the clinical record (within either the casenotes, Cardiobase system, webpas or other clinical system the episode is recognised as having the appropriate ACS type based on the documented evidence.)</t>
  </si>
  <si>
    <t>Needs multiple sources and business rules: 
Component 1 from Cardiobase.[Indication] field:
Aborted Infarct; Acute Coronary Syndrome; Acute InStent Thrombosis; Crescendo Angina; In-Stent Thrombosis; Late Presentation MI; Late Presentation STEMI; Post Aborted Infarct; Post Infarct Angina; Post Myocardial Infarction; Post Thrombolysis; Rescue Angioplasty; Stent Thrombosis; Stuttering Ami; Acute myocardial infarction; Angina; Angina - Unstable; Myocardial Infarction &gt; 6hrs; NSTEMI; Past MI; PCI - Primary; PCI - Rescue; Post MI with Thrombolysis; Recent MI (24 hours - 7 days); STEMI; STEMI - Missed; STEMI - Threatened; STEMI - Thrombolysed; Thrombosis - Acute Stent; Unstable Angina
Component 2 from HMDS:
AND/OR any of the following ICD-10 diagnosis codes in HMDS:
I20.0 Unstable angina; I21.0 Acute transmural MI of anterior wall; I21.1 Acute transmural MI of inferior wall; I21.2 Acute transmural MI of other sites; I21.3 Acute transmural MI of unspecified site; I21.4 Acute subendocardial MI; I21.9 Acute myocardial infarction, unspecified; I22.0 Subsequent MI of anterior wall; I22.1 Subsequent MI of inferior wall; I22.8 Subsequent MI of other sites; I22.9 Subsequent MI of unspecified site.
Referenced from:
19 12 12 HMDS request - ACS and PCI counts (3).docx (sharepoint.com);
WA Cardiac Outcomes - 19 11 07 WACCA conversation - ACS codes.msg - All Documents (sharepoint.com);
Indication_acs_acst.xlsx (sharepoint.com)</t>
  </si>
  <si>
    <t>Always</t>
  </si>
  <si>
    <t>70 = data source in production</t>
  </si>
  <si>
    <t>RG/FC</t>
  </si>
  <si>
    <t xml:space="preserve">wa_acs_hmdc
acs
</t>
  </si>
  <si>
    <t>No</t>
  </si>
  <si>
    <t>Lookup table for Cardiobase Indication column, where missing, filled with lookup table for HMDC ICD Codes</t>
  </si>
  <si>
    <t>0  = not defined</t>
  </si>
  <si>
    <t>0 = idea</t>
  </si>
  <si>
    <t>What is the type of ACS?	Unstable Angina 
Symptoms must include AT LEAST ONE of the following:
1.	Angina that occurred at rest and was prolonged, usually lasting &gt;20 mins; 
2.	New-onset angina of at least CCS class III severity; 
3.	Recent acceleration of angina reflected by an increase in severity of at least 1 CCS class (to at least CCS class III)
	Non ST-Elevation Myocardial Infarction (NSTEMI) 
AT LEAST ONE of the following biomarkers for detecting myocardial necrosis MUST be present:
1.	Troponin T or I: Maximal concentration of Troponin T or I greater than the MI diagnostic limit on at least one occasion within 24 hours from the index clinical event; 
2.	CK-MB:
	Maximal value of CK-MB &gt;2x the upper limit of normal (ULN) on one occasion during the first hours after the index clinical event; OR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1.	Either ST segment depression or T wave abnormalities in the ECG; or
2.	Ischaemic symptoms in the presence or absence of chest discomfort. Ischaemic symptoms may include:
	- Unexplained nausea and vomiting; or
	- Persistent shortness of breath secondary to left ventricular failure; or
	- Unexplained weakness, dizziness, light-headedness, or syncope.
	ST-Elevation Myocardial Infarction (STEMI)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ECG changes:
1.	ST-segment elevation: New or presumed new ST segment elevation at the J point in two or more contiguous leads with the cut-off points ≥ 0.2mV in leads V1, V2, or V3, or ≥0.1 mV in other leads. 
2.	Development of any Q wave in leads V1 through V3, or the development of a Q-wave ≥ 30ms (0.03s) in leads I, II, aVL, aVF, V4, V5, or V6. (Q wave changes must be present in any two contiguous leads, and be ≥1mm in depth).</t>
  </si>
  <si>
    <t xml:space="preserve">Reject file if acs=1 and acst is NULL from the ncr tab: procedure </t>
  </si>
  <si>
    <t>1=Unstable Angina 
2=NSTEMI
3=STEMI</t>
  </si>
  <si>
    <t>If individual criteria are needed then ….
Needs 7 sub-fields to be created for NSTEMI.
Needs 3 sub fields for angina.
? Number of additional fields to be created from STEMI.
Challenge for PCI dataset - compatible with NCR definition. Document as caveated - discuss with EK</t>
  </si>
  <si>
    <t>If acs = 1</t>
  </si>
  <si>
    <t xml:space="preserve">Take Cardiobase Indication lookup table. 
Merge with HMDC ICD Codes:
I20.0 = 1 Unstable Angina
I21.0 = 3 STEMI
I21.1 = 3 STEMI
I21.2 = 3 STEMI
I21.3 = 3 STEMI
I21.4 = 2 NSTEMI
</t>
  </si>
  <si>
    <t>20 = definition agreed by wacor project team</t>
  </si>
  <si>
    <t>20= data source confirmed</t>
  </si>
  <si>
    <t xml:space="preserve">Indicate if any adjunctive devices were used during the current PCI procedure </t>
  </si>
  <si>
    <t xml:space="preserve">Adjunctive device types include, but are not limited to:  Intravascular ultrasound, Optical coherence tomography, Thrombus aspiration device, Rotational atherectomy, Pressure Wire/or any other devices used to facilitate balloon inflation or stent implantation during the current PCI.  </t>
  </si>
  <si>
    <t>0=No
1=Yes</t>
  </si>
  <si>
    <t>Field cannot be blank.
Reject file if NULL</t>
  </si>
  <si>
    <t>Take the cardiobase field IVUS_DONE, this is the only adrt value currently found in cardiobase. 
Merge with the PCI Redcap field pci_db.adjunct_used.</t>
  </si>
  <si>
    <t>30 = definition out to consultation with consultation group</t>
  </si>
  <si>
    <t>30 = data source accessed</t>
  </si>
  <si>
    <t>Where adr is yes, please indicate all devices that were used during the current PCI procedure.</t>
  </si>
  <si>
    <t>adrt_1=Intravascular ultrasound</t>
  </si>
  <si>
    <t>If adr = 1</t>
  </si>
  <si>
    <t xml:space="preserve">Field cannot be blank when adr=1.
Reject file where adr=1 and adrt_1 - adrt_9 are all NULL or 0
Reject file where adr=0 and adrt_1 - adrt_9 have a value of 1 </t>
  </si>
  <si>
    <t>Take the cardiobase field IVUS_DONE.
Merge with the PCI Redcap field pci_db.adrt_1</t>
  </si>
  <si>
    <t>40 = definition being revised following feedback from consultation group</t>
  </si>
  <si>
    <t>40 = data source testing</t>
  </si>
  <si>
    <t>adrt_2=Optical coherence tomography</t>
  </si>
  <si>
    <t>Field cannot be blank when adr=1.
Reject file where adr=1 and adrt_1 - adrt_9 are all NULL or 0
Reject file where adr=0 and adrt_1 - adrt_9 have a value of 2</t>
  </si>
  <si>
    <t>Take the PCI Redcap field pci_db.adrt_2</t>
  </si>
  <si>
    <t>50 = definition approved by consultation group</t>
  </si>
  <si>
    <t>50 = data source mapping</t>
  </si>
  <si>
    <t>adrt_3=Thrombus aspiration device</t>
  </si>
  <si>
    <t>Field cannot be blank when adr=1.
Reject file where adr=1 and adrt_1 - adrt_9 are all NULL or 0
Reject file where adr=0 and adrt_1 - adrt_9 have a value of 3</t>
  </si>
  <si>
    <t>Take the PCI Redcap field pci_db.adrt_3</t>
  </si>
  <si>
    <t>60 = definition finalised</t>
  </si>
  <si>
    <t>60 = data source finalised</t>
  </si>
  <si>
    <t>adrt_4=Rotational atherectomy</t>
  </si>
  <si>
    <t>Field cannot be blank when adr=1.
Reject file where adr=1 and adrt_1 - adrt_9 are all NULL or 0
Reject file where adr=0 and adrt_1 - adrt_9 have a value of 4</t>
  </si>
  <si>
    <t>Take the PCI Redcap field pci_db.adrt_4</t>
  </si>
  <si>
    <t>70 = definition sent to PC for scrutiny</t>
  </si>
  <si>
    <t>adrt_5=Orbital atherectomy</t>
  </si>
  <si>
    <t>Field cannot be blank when adr=1.
Reject file where adr=1 and adrt_1 - adrt_9 are all NULL or 0
Reject file where adr=0 and adrt_1 - adrt_9 have a value of 5</t>
  </si>
  <si>
    <t>Take the PCI Redcap field pci_db.adrt_5</t>
  </si>
  <si>
    <t>80 = definition endorsed</t>
  </si>
  <si>
    <t>80 = data source deprecated</t>
  </si>
  <si>
    <t>adrt_6=Pressure wire</t>
  </si>
  <si>
    <t>Field cannot be blank when adr=1.
Reject file where adr=1 and adrt_1 - adrt_9 are all NULL or 0
Reject file where adr=0 and adrt_1 - adrt_9 have a value of 6</t>
  </si>
  <si>
    <t>Take the PCI Redcap field pci_db.adrt_6</t>
  </si>
  <si>
    <t>90 = definition retired / superseded</t>
  </si>
  <si>
    <t>adrt_7=Lithotripsy balloon</t>
  </si>
  <si>
    <t>Field cannot be blank when adr=1.
Reject file where adr=1 and adrt_1 - adrt_9 are all NULL or 0
Reject file where adr=0 and adrt_1 - adrt_9 have a value of 7</t>
  </si>
  <si>
    <t>Take the PCI Redcap field pci_db.adrt_7</t>
  </si>
  <si>
    <t>adrt_8=Cutting balloon</t>
  </si>
  <si>
    <t>Field cannot be blank when adr=1.
Reject file where adr=1 and adrt_1 - adrt_9 are all NULL or 0
Reject file where adr=0 and adrt_1 - adrt_9 have a value of 8</t>
  </si>
  <si>
    <t>Take the PCI Redcap field pci_db.adrt_8</t>
  </si>
  <si>
    <t>adrt_9=Other</t>
  </si>
  <si>
    <t>Field cannot be blank when adr=1.
Reject file where adr=1 and adrt_1 - adrt_9 are all NULL or 0
Reject file where adr=0 and adrt_1 - adrt_9 have a value of 9</t>
  </si>
  <si>
    <t>Take the PCI Redcap field pci_db.adrt_9</t>
  </si>
  <si>
    <t>The patient's age, at the time of the procedure, in years.</t>
  </si>
  <si>
    <t>How old is the patient at the date of procedure?  The age of the patient in integer format.</t>
  </si>
  <si>
    <t xml:space="preserve">Reject file if NULL
Reject if &lt;18   from the ncr tab: admission_preprocedural </t>
  </si>
  <si>
    <t>NN (years)</t>
  </si>
  <si>
    <t>Age at DOP for PCI</t>
  </si>
  <si>
    <t>The age range for the registry is from a minimum of 18 years and older, to a maximum of 110 years.
The patient's age is derived from the age at admission (HMDS) and is adjusted for patients who have a birthday after HMDS.[Admission Date] and before or on the PCI Procedure Date (dop).
This adjustment is defined in WACOR_business_rules.xlsx (sharepoint.com)</t>
  </si>
  <si>
    <t>Business rule.
METEOR ref will require refinement for WACOR.
Minutiae we should clarify with NCR if maximum is &lt;=109.9999 or =110 (i.e. a patient could be 110 years and 364 days).
ETL0701 - ETL0703,
ETL0816,
ETL1104, ETL1114,
ETL1201, ETL1208, ETL1213 -  ETL1216</t>
  </si>
  <si>
    <t/>
  </si>
  <si>
    <t>Take Cardiobase Angioplasty Age field, merge with Cardiobase Risk Score module Age field.
Merge with PCI Redcap Age field</t>
  </si>
  <si>
    <t>Australian Statistical Geography Standard (ASGS) Edition 3</t>
  </si>
  <si>
    <t>1=Major cities
2=Inner Regional
3=Outer Regional
4=Remote
5=Very Remote</t>
  </si>
  <si>
    <t>If Postcode = null</t>
  </si>
  <si>
    <t>Reject file if ARIA is null and pcode is null.</t>
  </si>
  <si>
    <t>Not required as postcode is used</t>
  </si>
  <si>
    <t>BMI stands for Body Mass Index and it is a measure of body fat based on an individual's weight and height. The formula to calculate BMI is:
BMI = weight (kg) / (height (m))^2
In this equation, weight is the person's weight in kilograms, and height is their height in meters. The resulting BMI value can be used to determine whether an individual is underweight, normal weight, overweight, or obese based on established BMI categories.</t>
  </si>
  <si>
    <t xml:space="preserve"> - -</t>
  </si>
  <si>
    <t xml:space="preserve">BMI = WKG/(HTM/100)^2
Derived - no import on this field
from the NCR tab: admission_preprocedural </t>
  </si>
  <si>
    <t>NN.N (kg/m2)</t>
  </si>
  <si>
    <t>Derived variable</t>
  </si>
  <si>
    <t>Take the merged height and weight fields,
weight/((height/100)^2)</t>
  </si>
  <si>
    <t>Where Cardiac Rehospitalisation is coded as 'Yes', was CABG performed during this admission? Indicate whether Coronary Bypass Grafting (CABG) was performed during the cardiac rehospitalisation admission</t>
  </si>
  <si>
    <t xml:space="preserve">Up to 6 rehospitalisations be entered.  
 Fields are coded in data extract as CRH30, CRH30_2, CRH30_3-5..,Reject file if crh30=1 AND cab30 is NULL
Reject file if crh30=0, or -1, or NULL AND cab30 has data from the ncr tab: follow_up </t>
  </si>
  <si>
    <t xml:space="preserve">
0=No
1=Yes
-1=Unknown</t>
  </si>
  <si>
    <t>-1</t>
  </si>
  <si>
    <t>If crh30=1</t>
  </si>
  <si>
    <t>PL</t>
  </si>
  <si>
    <t>wa_CABG30_hmdc</t>
  </si>
  <si>
    <t>From Disease Register HMDC_READM_CARDIAC</t>
  </si>
  <si>
    <t>30 Day Follow up</t>
  </si>
  <si>
    <t xml:space="preserve">Reject file if crh30_2=1 AND cab30_2 is NULL
Reject file if crh30_2=0, or -1, or NULL AND cab30_2 has data from the ncr tab: follow_up </t>
  </si>
  <si>
    <t>wa_CABG30_2_hmdc</t>
  </si>
  <si>
    <t xml:space="preserve">Reject file if crh30_3=1 AND cab30_3 is NULL
Reject file if crh30_3=0, or -1, or NULL AND cab30_3 has data from the ncr tab: follow_up </t>
  </si>
  <si>
    <t>wa_CABG30_3_hmdc</t>
  </si>
  <si>
    <t xml:space="preserve">Reject file if crh30_4=1 AND cab30_4 is NULL
Reject file if crh30_4=0, or -1, or NULL AND cab30_4 has data from the ncr tab: follow_up </t>
  </si>
  <si>
    <t>wa_CABG30_4_hmdc</t>
  </si>
  <si>
    <t xml:space="preserve">Reject file if crh30_5=1 AND cab30_5 is NULL
Reject file if crh30_5=0, or -1, or NULL AND cab30_5 has data from the ncr tab: follow_up </t>
  </si>
  <si>
    <t>wa_CABG30_5_hmdc</t>
  </si>
  <si>
    <t xml:space="preserve">Reject file if crh30_6=1 AND cab30_6 is NULL
Reject file if crh30_6=0, or -1, or NULL AND cab30_6 has data from the ncr tab: follow_up </t>
  </si>
  <si>
    <t>wa_CABG30_6_hmdc</t>
  </si>
  <si>
    <t xml:space="preserve">from the NCR tab: site </t>
  </si>
  <si>
    <t>Not required for upload</t>
  </si>
  <si>
    <t>Was the patient referred to cardiac rehabilitation program? Indicate if there was written documentation of a patient referral to an outpatient cardiac rehabilitation program, or a documented reason why referral was not made (by physician, nurse, or other hospital personnel).</t>
  </si>
  <si>
    <t xml:space="preserve">Reject file if dis=6 and crehab has data
Reject file if dis &lt; 6 crehab is NULL from the ncr tab: discharge </t>
  </si>
  <si>
    <t>0=No
1=Yes
-1 = Unknown</t>
  </si>
  <si>
    <t>Z50.0 Cardiac Rehabilitation
96139-00 exercise therapy, cardiorespiratory/cardiovascular system</t>
  </si>
  <si>
    <t>Outpatient dataset may assist in identification to OWPL or OPD.  Requires business rules to identify.   No mention in the NCR definition for the commencement of early cardiac rehab in an inpatient setting.  Where cardiac rehab occurs in an inpatient setting this can be identified through ICD coding. 
METEOR ref will require refinement for WACOR.</t>
  </si>
  <si>
    <t>If DIS&lt;6</t>
  </si>
  <si>
    <t>HIH NACS Discharge summary where an attendance is recorded for Cardiac Rehab. Does not currently find rehab referral, only attendance.</t>
  </si>
  <si>
    <t>Did the patient have a cardiac rehospitalisation within 30 days? Indicate whether the patient had a cardiac rehospitalisation, where a cardiac rehospitalisation is defined as an in-patient admission that includes, but is not limited to any of the following circumstances: heart failure; acute coronary syndrome (e.g. STEMI, NSTEMI; recurrent or unstable angina); arrhythmia; elective (non emergency) PCI or CABG etc.
Include rehospitalisations with a primary diagnosis that has the following ICD-10 AM codes:
I00 – I02: Acute rheumatic fever
I05 – I09: Chronic rheumatic heart disease
I10 – I15: Hypertensive diseases
I20 – I25: Ischaemic heart disease
I30 – I52: Other forms of heart disease
I70 – I72: Atherosclerosis, aortic aneurysm and dissection
I74: Arterial embolism and thrombosis
I77.0: Arteriovenous fistula, acquired
R00: Abnormalities of heart beat
R01: Cardiac murmurs and other cardiac sounds
R03: Abnormal blood pressure reading
R07: Pain in throat and chest
All other ICD-10 codes should be classified as non-cardiac</t>
  </si>
  <si>
    <t xml:space="preserve">Up to 6 rehospitalisations be entered.  
 Fields are coded in data extract as CRH30, CRH30_2, CRH30_3-5..,Reject file if crh30 is NULL and stat30≥0
Reject file if crh30 contains data and stat30=-1
Reject file if dis=6 and crh30 contains data from the ncr tab: follow_up </t>
  </si>
  <si>
    <t>The WA definition should clarify if the 30 day readmission period should start counting from the date of the end of the separation, the end of the hospital stay or the end of the provider stay (i.e. noting that some patients who are discharged and admitted to a rehab hospital should not appear as a 'rehospitalisation' (noting that these would not typically include the cardiac code in the primary diagnostic position).</t>
  </si>
  <si>
    <t xml:space="preserve"> from the ncr tab: follow_up </t>
  </si>
  <si>
    <t xml:space="preserve">
1=Yes
NULL</t>
  </si>
  <si>
    <t>wa_CRH30_2_hmdc</t>
  </si>
  <si>
    <t>wa_CRH30_3_hmdc</t>
  </si>
  <si>
    <t>wa_CRH30_4_hmdc</t>
  </si>
  <si>
    <t>wa_CRH30_5_hmdc</t>
  </si>
  <si>
    <t>wa_CRH30_6_hmdc</t>
  </si>
  <si>
    <t>What was the Dose Area Product? Indicate the total fluoroscopy dose to the nearest integer. The value recorded should include the total dose for the lab visit.</t>
  </si>
  <si>
    <t xml:space="preserve">Reject file if value entered is &gt;999 from the ncr tab: procedure </t>
  </si>
  <si>
    <t>999</t>
  </si>
  <si>
    <t>NCR 2021 Information Release ( Cardiobase.[TOTAL_DOSE] / 1000 )</t>
  </si>
  <si>
    <t>Take the TOTAL_DOSE /1000 from Cardiobase</t>
  </si>
  <si>
    <t>Was aspirin prescribed at discharge? Indicate if the patient is prescribed and taking aspirin at discharge from the PCI admission.
Aspirin agents include: aspirin, astrix, cardiprin, cartia, assasantin, aspro, disprin and solprin.</t>
  </si>
  <si>
    <t xml:space="preserve">Reject file if dis=6 and dasp has data
Reject file if dis = 1-5 and dasp is NULL from the ncr tab: discharge </t>
  </si>
  <si>
    <t>0=No
1=Yes
2=Contraindicated
3=Not collected</t>
  </si>
  <si>
    <t>In Western Australia we also include "Maxiasprin"</t>
  </si>
  <si>
    <t>HIH (NACS) data will be a suitable source.
Sourced from Cardiovascular_prescribed_medications_targeted_therapies</t>
  </si>
  <si>
    <t>A: Take all medication, if the medication contains "aspirin" then 1 else 0
B: Take all adverse reactions, if the medication contains "aspirin" then 1 else 0
If A = 1 then 1 else if B = 1 then 2 else if A = 0 then 0 else 3
This flags cases where aspirin is used (1), then checks if there is a contraindication (2), then checks if it was not given (0), then returns Not collected (3)</t>
  </si>
  <si>
    <t>Does the patient have a diagnosis of diabetes? Indicate if the patient has been diagnosed with diabetes mellitus regardless of duration of disease and, this includes a medical diagnosis made during the current admission.</t>
  </si>
  <si>
    <t xml:space="preserve">Reject file if NULL from the ncr tab: admission_preprocedural </t>
  </si>
  <si>
    <t>Business rule to take value from whichever is more specific or populated, RiskScore/HMDS/Other
HMDS ICD Codes for Diabetes : E10.XX, E11.XX, E.13.XX and E14.XX where XX corresponds to a comorbidity code (e.g. 10.64 is Type I DM with hypoglycaemia) Please refer to the following link for ICD10AM comorbidity coding in a SQL query: https://github.com/AUS-DOH-Safety-and-Quality/Diabetes/blob/main/Diabetes%20all%20diagnosis%20inpatients.sql</t>
  </si>
  <si>
    <t>wa_diabetes_hmdc
wa_diabetes_cbap
wa_diabetes_merged</t>
  </si>
  <si>
    <t>Cardiovascular Filters</t>
  </si>
  <si>
    <t xml:space="preserve">Take Cardiobase Angioplasty diabetes and merge with HMDC diabetes.
Merge with PCI Redcap Diabetes
</t>
  </si>
  <si>
    <t xml:space="preserve"> -</t>
  </si>
  <si>
    <t xml:space="preserve">If [TBD=&lt;TOP] then DBD=DOP + [1 day]
If [TBD&gt;TOP] then DBD=DOP  from the ncr tab: procedure </t>
  </si>
  <si>
    <t>Cardiobase.[TIME_FIRST_BALLOON_INFLATION_DT] (RPH/FSH only). Derived for SCGH. Not required for export to NCR (derived variable)</t>
  </si>
  <si>
    <t>BW</t>
  </si>
  <si>
    <t xml:space="preserve">Take Cardiobase TIME_FIRST_BALLOON_INFLATION_DT
Merge with PCI Redcap, minimum value from [device_time], [device_time_2], [device_time_3], [device_time_4], [device_time_5]
</t>
  </si>
  <si>
    <t xml:space="preserve">Displayed in minutesDBDT = [TBD-TOA] + [DBD-DOA]  (expressed in minutes) from the ncr tab: procedure </t>
  </si>
  <si>
    <t>MM (mins)</t>
  </si>
  <si>
    <t>Numeric</t>
  </si>
  <si>
    <t>Business rules
BW - this is a derived field for NCR (not populated by WACOR) and may different to local use</t>
  </si>
  <si>
    <t>Date difference in minutes between DOA + TOA and DBD + TBD</t>
  </si>
  <si>
    <t>Where Diabetes is coded 1=Yes, indicate the management type. Indicate the diabetes management type:
- Oral: Patient requires oral hypoglycaemic medication to control their condition
- Insulin: Patient requires insulin to control their condition with or without oral therapy
- Diet: Patient has received dietary advice appropriate to their condition but is not taking medication to lower blood sugar</t>
  </si>
  <si>
    <t xml:space="preserve">Reject file if db=0, and data is in dbm
Reject file if db=1 AND dbm is NULL from the ncr tab: admission_preprocedural </t>
  </si>
  <si>
    <t>1=Oral
2= Insulin
3=Diet</t>
  </si>
  <si>
    <t>HIH Results Hub - needs clarification &amp; SME input (SMA)
Ipharmacy may offer a secondary source.
METEOR ref will require refinement for WACOR.</t>
  </si>
  <si>
    <t>If db =1</t>
  </si>
  <si>
    <t>Take the Diabetes management type from the PCI Recap</t>
  </si>
  <si>
    <t>Where 'Type of ACS' coded as ‘STEMI’, what was the date of diagnostic ECG? Indicate the date of the diagnostic electrocardiogram (ECG). The ECG recorded that shows evidence of ECG abnormalities consistent with a STEMI or suspected STEMI event.
Note: The diagnostic ECG may have been before admission to this hospital.</t>
  </si>
  <si>
    <t xml:space="preserve">
Reject file if acst = 3 and decgd is  NULL from the ncr tab: procedure </t>
  </si>
  <si>
    <t>Cardiobase (and or other systems).  
SJA dataset may contain.
HIH Discharge? Unlikely to include date.</t>
  </si>
  <si>
    <t>If ACST=3</t>
  </si>
  <si>
    <t>FC</t>
  </si>
  <si>
    <t xml:space="preserve">Take Cardiobase FIRST_ECG_TIME_DT
Merge with min_ecg_date from PCI Redcap. Taken from the min datetime of [ecg_date_time], [ecg_date_time_2], [ecg_date_time_3], [ecg_date_time_4], [ecg_date_time_5]
</t>
  </si>
  <si>
    <t>Where LVEF test performed is coded 'yes', on what date was the most recent LVEF test? The date of the MOST RECENT LVEF test.
Note: Where multiple LVEF test results exist within the 6 month period leading up to the index admission or anytime during the index admission but within 30 days post-discharge, record the test result CLOSEST TO THE INDEX PCI date/time.</t>
  </si>
  <si>
    <t xml:space="preserve">
If ACST &lt; &gt; 3 then DEF must be between [6 months prior to DOP] and [DOD+30 days]
If ACST = 3 then DEF must be between DOA and [DOD+30 days]Reject file if eftp=0 and def has data
Reject file if eftp =1 and def is NULL
Reject file if def is &gt;dod+30 days
Reject file if acst=3 AND def &lt;doa
Reject file if acst is NOT =3 and def is &lt;doa-6 months from the ncr tab: admission_preprocedural </t>
  </si>
  <si>
    <t>Need access to Syngo back end SQL.
BW - if Syngo not viable, use Cardiobase RiskScore.[TEST_DATE]. Requires increased use of RiskScore assessment at all sites
Query for cardiology colleagues is, if the test date is present, can it be assumed that the date of ejection fraction measurement is the same?</t>
  </si>
  <si>
    <t>If eftp=1</t>
  </si>
  <si>
    <t>Take the cardiobase risk score module ejection fracture.
Merge with the PCI Redcap def, created from the first date found from [pci_db.date_lv_assessment] [pci_db.lvef_date_stemi] [pci_db.def_acs]  [pci_db.def_elective]  [pci_db.def_other]</t>
  </si>
  <si>
    <t>Where patient 'Type of ACS' coded as ‘STEMI’, what was the date of First Medical Contact? Indicate the date on which the patient first received medical attention (either by ambulance arriving, attendance at hospital or from a general practitioner) for their ACS symptoms. 
Note: Seeking medical attention could include the person presenting to their GP who then refers them to hospital or the person presenting directly to hospital, or the arrival of the ambulance service. If the person is already a patient at the hospital for another reason then the date recorded would be when they advised hospital staff of their symptoms.</t>
  </si>
  <si>
    <t xml:space="preserve">Reject file if acst = 3 and dfmc is  NULL
Reject file if dfmc&gt;dop
Reject file if dfmc&gt;dso+7
Reject file if dfmc&lt;dso
Reject file if dfmc&gt;decgd from the ncr tab: procedure </t>
  </si>
  <si>
    <t xml:space="preserve">Multiple sources: EDIS presenting complaint, NACS may indicate where (not necessarily a date).  SJA? If none of the prior options, potentially in future from patient data collection tool 
Current implementation uses the lowest value of  cardiobase SJA delivery time, referring hospital time, EDDC arrival time, Cardiobase ED arrival time, first ECG time, fall backs of HMDC admission time, and Test Date </t>
  </si>
  <si>
    <t>Take Cardiobase minimum date from [TIME_ARRIVAL_SJA],
[TIME_ARRIVAL_REF_HOSP_DT],
[ARRIVAL_DATETIME_EDDC],
[TIME_OF_ARRIVAL_ED],
[TRIAGE_DATETIME_EDDC],
[TRIAGE_TIME_DT],
[FIRST_ECG_TIME_DT],
[admission_datetime_hmdc],
Date.ToText([TEST_DATE]) &amp; " 00:00:00"
Merge with PCI Redcap first date from [pci_db.fmc_date_time] [pci_db.fmc_date_time_2] [pci_db.fmc_date_time_3]</t>
  </si>
  <si>
    <t>This is the census date 30 days after discharge, used to ascertain the patient's living or deceased status, it does not always indicate a follow up appointment took place on that date.</t>
  </si>
  <si>
    <t xml:space="preserve">On what date was the follow-up undertaken? All patients must be followed up (or attempted to be followed up) at 30 days post discharge from the PCI admission. Indicate the date the follow-up was undertaken. </t>
  </si>
  <si>
    <t xml:space="preserve">Reject file if dfu30 is NULL AND dis=1-5
Reject file if dis=6 and dfu30 contains data
Reject file if dfu30 &lt;dod from the ncr tab: follow_up </t>
  </si>
  <si>
    <t>WACOR data dictionary should clarify this means any of : face to face (e.g. OPD), primary care, community care or telehealth.
Cardiologist/NCR question, does follow up refer to medically led, nurse led, allied-health, or other?</t>
  </si>
  <si>
    <t>Take the cardiobase dod + 30, merge with PCI Redcap dfu30</t>
  </si>
  <si>
    <t>Under what conditions was the patient discharged from the hospital? Indicate under what conditions the patient was discharged from the hospital following the index admission. Select one of the following options: 
Note:  Patients who died during their index admission without being discharged from the acute care setting should be coded as hospital mortality.
- Home: Discharged to home, with no planned contact before routine review;
- Hospital in the Home: Discharged to home, with planned visits to home by medical or paramedical staff; 
- Rehabilitation Unit/Hospital: Discharged for inpatient rehabilitation; 
- Local or referring hospital: Discharged to another hospital for continuing care not related to any complications arising from the index PCI;
- Tertiary referral centre: Discharged to another hospital or centre for tertiary care related to a complication arising from the index PCI (e.g.  patient had PCI complications that required advanced medical treatment/investigation that could not be performed by the PCI hospital);
- Hospital Mortality:  Patient died in-hospital during or after the index PCI procedure, but prior to discharge.</t>
  </si>
  <si>
    <t xml:space="preserve">Reject file if ihbl&gt;6 and dis=1-5
Reject file if dis = NULL from the ncr tab: discharge </t>
  </si>
  <si>
    <t>1=Home 
2=Hospital in the Home
3=Rehab Unit/Hospital 
4=Local or referring hospital
5=Tertiary Referral Centre
6=Hospital Mortality</t>
  </si>
  <si>
    <r>
      <rPr>
        <sz val="11"/>
        <color rgb="FF000000"/>
        <rFont val="Arial"/>
        <family val="2"/>
      </rPr>
      <t xml:space="preserve">HMDC. [Mode of Separation] and HMDC. [Care Type]
To identify where patients are transferred for rehab, we need to identify the following episode of care being a rehab episode.
</t>
    </r>
    <r>
      <rPr>
        <b/>
        <sz val="11"/>
        <color rgb="FF000000"/>
        <rFont val="Arial"/>
        <family val="2"/>
      </rPr>
      <t>Care Type</t>
    </r>
    <r>
      <rPr>
        <sz val="11"/>
        <color rgb="FF000000"/>
        <rFont val="Arial"/>
        <family val="2"/>
      </rPr>
      <t xml:space="preserve"> in HMDC will identify if the episode of care at the transferred hospital is for Rehabilitation i.e. a value of 22 in Care Type = Rehabilitation Care (Subacute). 
</t>
    </r>
    <r>
      <rPr>
        <b/>
        <sz val="11"/>
        <color rgb="FF000000"/>
        <rFont val="Arial"/>
        <family val="2"/>
      </rPr>
      <t>Mode of Separation</t>
    </r>
    <r>
      <rPr>
        <sz val="11"/>
        <color rgb="FF000000"/>
        <rFont val="Arial"/>
        <family val="2"/>
      </rPr>
      <t xml:space="preserve"> combined with </t>
    </r>
    <r>
      <rPr>
        <b/>
        <sz val="11"/>
        <color rgb="FF000000"/>
        <rFont val="Arial"/>
        <family val="2"/>
      </rPr>
      <t>Discharged to</t>
    </r>
    <r>
      <rPr>
        <sz val="11"/>
        <color rgb="FF000000"/>
        <rFont val="Arial"/>
        <family val="2"/>
      </rPr>
      <t xml:space="preserve"> field (4 digit establishment number) will only identify the type and actual hospital the patient transferred to i.e. Acute Hospital, 0106 (FSH) not whether episode was for Rehab. 
PCI Redcap only lists the options of Discharged home, Discharged to rehab /hospital and In-hospital Death
</t>
    </r>
  </si>
  <si>
    <t>Discuss</t>
  </si>
  <si>
    <t>wa_dis_hmdc</t>
  </si>
  <si>
    <r>
      <rPr>
        <b/>
        <sz val="11"/>
        <color rgb="FF000000"/>
        <rFont val="Arial"/>
        <family val="2"/>
      </rPr>
      <t xml:space="preserve">HMDC | NCR Mapping
</t>
    </r>
    <r>
      <rPr>
        <i/>
        <sz val="11"/>
        <color rgb="FF000000"/>
        <rFont val="Arial"/>
        <family val="2"/>
      </rPr>
      <t xml:space="preserve">From HMDC Mode_of_separation 
</t>
    </r>
    <r>
      <rPr>
        <sz val="11"/>
        <color rgb="FF000000"/>
        <rFont val="Arial"/>
        <family val="2"/>
      </rPr>
      <t xml:space="preserve">8 Deceased | 6 Hospital Mortality
9 Home | 1 Home
</t>
    </r>
    <r>
      <rPr>
        <i/>
        <sz val="11"/>
        <color rgb="FF000000"/>
        <rFont val="Arial"/>
        <family val="2"/>
      </rPr>
      <t xml:space="preserve">From HMDC Care_type of next admission
</t>
    </r>
    <r>
      <rPr>
        <sz val="11"/>
        <color rgb="FF000000"/>
        <rFont val="Arial"/>
        <family val="2"/>
      </rPr>
      <t xml:space="preserve">22 Rehab Centre | 3 Rehab hospital
21 Acute care AND establishment_code IN (0101, 0105, 0106) | 5 Tertiary Referral Centre
21 Acute care AND establishment_code NOT IN (0101, 0105, 0106) | 4 Local / Referring hospital
23-32 Other care types | 4
</t>
    </r>
    <r>
      <rPr>
        <i/>
        <sz val="11"/>
        <color rgb="FF000000"/>
        <rFont val="Arial"/>
        <family val="2"/>
      </rPr>
      <t>From HMDC</t>
    </r>
    <r>
      <rPr>
        <sz val="11"/>
        <color rgb="FF000000"/>
        <rFont val="Arial"/>
        <family val="2"/>
      </rPr>
      <t xml:space="preserve"> </t>
    </r>
    <r>
      <rPr>
        <i/>
        <sz val="11"/>
        <color rgb="FF000000"/>
        <rFont val="Arial"/>
        <family val="2"/>
      </rPr>
      <t xml:space="preserve">days_of_hospital_in_the_home_care
</t>
    </r>
    <r>
      <rPr>
        <sz val="11"/>
        <color rgb="FF000000"/>
        <rFont val="Arial"/>
        <family val="2"/>
      </rPr>
      <t xml:space="preserve"> 2 Hospital in the Home, also days &gt; 0  
Merge with PCI Redcap dis</t>
    </r>
  </si>
  <si>
    <t>This is the date of out-of-hospital death.   For patients who die whilst they are staying in hospital, the date of date is recorded as the date of discharge.</t>
  </si>
  <si>
    <t>Where the Follow-up status is coded as 'Deceased', what was the date of death? Record the date on which the patient died.</t>
  </si>
  <si>
    <t xml:space="preserve">DMORT30 must be ≥ DODReject file if dmort30 &lt;dod
Reject file if stat30=1 and dmort 30 is NULL
Reject file if stat30=0 and dmort 30 contains data
Reject file if dis=6 and dmort30 contains data from the ncr tab: follow_up </t>
  </si>
  <si>
    <t xml:space="preserve">Deaths registration from WA Registrar of Deaths.  Note it will not include non-WA residents who are deceased.
METEOR ref will require refinement for WACOR.
</t>
  </si>
  <si>
    <t>If STAT30=1</t>
  </si>
  <si>
    <t>wa_date_death_dreg</t>
  </si>
  <si>
    <t>Take Disease Register DR_Death merged with PCI Redcap dmort30</t>
  </si>
  <si>
    <t>On what date did the patient arrive at the PCI hospital? 
Date the patient was admitted or transferred to the PCI hospital.</t>
  </si>
  <si>
    <t xml:space="preserve">This field is required for creating an NCR record.
Reject file if NULL
Reject file if doa, toa, dop, top and patientID are all the same across multiple entries from the ncr tab: admission_preprocedural </t>
  </si>
  <si>
    <t>This field refers to date of arrival at the PCI hospital, which is not always the same as the date of admission.</t>
  </si>
  <si>
    <t>hmds - needs clarification with webpas team on direct admissions to cath lab, or business rule to take date &amp; time of arrival at cath lab as this field. Would need from Cardiobase - needs discussion with vendor/CardioBase leads.
ETL0701 - ETL0703,
ETL0813,
ETL1102, ETL1111
ETL1206</t>
  </si>
  <si>
    <t xml:space="preserve">Choose the first non-null value and then take the date period from:
TIME_ARRIVAL_SJA
ARRIVAL_DATETIME_EDDC
TRIAGE_DATETIME_EDDC
TIME_OF_ARRIVAL_ED
TRIAGE_TIME_DT
admission_datetime_hmdc
TIME_ON_TABLE_DT
TIME_FIRST_BALLOON_INFLATION_DT
Else use TEST_DATE + "00:00:00"
</t>
  </si>
  <si>
    <t>Were other antiplatelets (excluding aspirin) prescribed at discharge? Indicate if the patient is prescribed and taking other antiplatelets at discharge from the PCI admission.
Antiplatelets agents include: Thienopyridine agents (clopidogrel, ticlopidine, prasugrel), Ticagrelor.</t>
  </si>
  <si>
    <t xml:space="preserve">Reject file if dis=6 and doap has data
Reject file if dis = 1-5 and doap is NULL from the ncr tab: discharge </t>
  </si>
  <si>
    <t>HIH Results Hub - needs clarification &amp; SME input (SMA)
Ipharmacy may offer a secondary source.
Sourced from Cardiovascular_prescribed_medications_targeted_therapies</t>
  </si>
  <si>
    <t>A: Take all medication, if the medication contains "clopidogrel", "ticlopidine", "prasugrel" or "ticagrelor" then 1 else 0
B: Take all adverse reactions, if the medication contains "clopidogrel", "ticlopidine", "prasugrel" or "ticagrelor" then 1 else 0
If A = 1 then 1 else if B = 1 then 2 else if A = 0 then 0 else 3
This flags cases where Other Anti platelets are used (1), then checks if there is a contraindication (2), then checks if it was not given (0), then returns Not collected (3)</t>
  </si>
  <si>
    <t>On what date was the patient discharged or date of in hospital mortality? Indicate the date the patient was discharged from the PCI hospital admission (or the date of death where the patient died during the index admission). Note: For a patient who dies in-hospital without being discharged from the acute care setting the discharge and death date are the same.</t>
  </si>
  <si>
    <t xml:space="preserve">DOD must be ≥ DOPReject file if dod &lt; dop
Reject file if dod = NULL from the ncr tab: discharge </t>
  </si>
  <si>
    <r>
      <t xml:space="preserve">This data element only describes those patients who die in hospital.
The date of death is recorded on the hospital administrative system as the end of their episode of care.  This is derived from the national data element </t>
    </r>
    <r>
      <rPr>
        <i/>
        <sz val="11"/>
        <color theme="1"/>
        <rFont val="Arial"/>
        <family val="2"/>
      </rPr>
      <t>mode of separation</t>
    </r>
    <r>
      <rPr>
        <sz val="11"/>
        <color theme="1"/>
        <rFont val="Arial"/>
        <family val="2"/>
      </rPr>
      <t xml:space="preserve">.  </t>
    </r>
  </si>
  <si>
    <t>HMDS 
HMDC.[separation_date] in conjunction with HMDC.[mode_of_separation]?</t>
  </si>
  <si>
    <t xml:space="preserve">
                                                                                                                                                                                                                                                                The date of death is recorded on The hospital administrative system as The end of their episode of care.  This is derived from The national data element mode of separation.</t>
  </si>
  <si>
    <t>RG</t>
  </si>
  <si>
    <t>wa_dod_hmdc</t>
  </si>
  <si>
    <t>From HMDC Separation_date</t>
  </si>
  <si>
    <t>Were other Lipid Lowering Therapies (excluding statins) prescribed at discharge? Indicate if the patient is prescribed and taking other Lipid Lowering Therapies at discharge from the PCI admission.
Other lipid lowering agents include: ezetimibe and fibrates (gemfibrozil, fenofibrate and clofibrate).</t>
  </si>
  <si>
    <t xml:space="preserve">Reject file if dis=6 and doll has data
Reject file if dis = 1-5 and doll is NULL from the ncr tab: discharge </t>
  </si>
  <si>
    <t>HIH Results Hub - needs clarification &amp; SME input (SMA)
Ipharmacy may offer a secondary source.
Sourced from Cardiovascular_prescribed_medications_targeted_therapies
Needs further work</t>
  </si>
  <si>
    <t>Take all medication, if the medication contains "statin", "ezemtimibe", gemfibrozil", fenofibrate" or "clofibrate" then 1 else 0</t>
  </si>
  <si>
    <t>On what date was the PCI performed? Date on which the patient crossed the threshold of entry into the cardiac catheter laboratory for the current PCI in DD/MM/YYYY format. 
Note: Where multiple procedures occur during the index hospitalisation, a separate  entry must be recorded for every relevant procedure.</t>
  </si>
  <si>
    <t xml:space="preserve">This field is required for creating an NCR record.
Reject file if DOP is &gt; date of file import
Reject file if dop is NULL
Reject file if DOP is &lt;DOA
Reject file if doa, toa, dop, top and patientID are all the same across multiple entries within this import from the ncr tab: admission_preprocedural </t>
  </si>
  <si>
    <t>Where a Procedure Start date is available in Cardiobase, this is used as the PCI Procedure Date. If a Procedure Start date is not available in Cardiobase, the relevant matched HMDS.[Date of Procedure] is used.</t>
  </si>
  <si>
    <t>Cardiobase - needs validation &amp; engagement with vendor.   This should be the same as the Cath Lab Arrival Date (once accurate data source established)</t>
  </si>
  <si>
    <t xml:space="preserve">Cardiobase Procedure Start date portion. If Procedure Start is missing then TEST_DATE
</t>
  </si>
  <si>
    <t>If Previous CABG is coded 1=Yes, on what date? The date on which patient had their most recent CABG in DD/ MM /YYYY format. Note: If only the year is known or estimated, this will suffice, enter as 01/01/YYYY.</t>
  </si>
  <si>
    <t xml:space="preserve">DPCABG must be ≤DOPReject file if DPCABG is &gt;DOP
Reject file if pcabg =0 AND dpcabg has data
Reject file if pcabg = 1 AND dpcabg is NULL from the NCR tab: admission_preprocedural </t>
  </si>
  <si>
    <t>This definition is for patients who have had a previous procedure at hospitals within Western Australia only.   
For patients who have had procedures outside of the state, this may be recorded on the catheterisation laboratory system, however this may not be captured in all cases.</t>
  </si>
  <si>
    <t>Derivable if pt had procedure within WA, HMDS
See above ICD-10 procedure code list for CABG
Implemented in ETL0705</t>
  </si>
  <si>
    <t>If pcabg =1</t>
  </si>
  <si>
    <t>wa_date_p_cabg_hmdc
wa_date_PriorCABG_cbap
wa_date_p_cabg_merged</t>
  </si>
  <si>
    <t>?</t>
  </si>
  <si>
    <t>HMDC_CABG - https://hsswa.australia-east.azure.snowflakecomputing.com/console#/internal/worksheet</t>
  </si>
  <si>
    <t>From the source of wa_p_cabg_merged
Either HMDC or CBAP
Take the associated prior CABG date
If both true take cardiobase entry</t>
  </si>
  <si>
    <t>Yes, rows present with p_cabg flag yes with null value</t>
  </si>
  <si>
    <t>If Previous PCI is coded 1=Yes, on what date? The date on which patient had their most recent PCI in DD/ MM /YYYY format. Note: If only the year is known or estimated, this will suffice, enter as 01/01/YYYY.</t>
  </si>
  <si>
    <t xml:space="preserve">DPPCI must be ≤DOPReject file if dppci &gt; DOP
Reject file if ppci =0 and dppci has data
Reject file if ppci = 1 AND dppci is NULL from the ncr tab: admission_preprocedural </t>
  </si>
  <si>
    <t>Derivable if pt had procedure within WA, HMDS
Cardiobase Prior PTCA Date</t>
  </si>
  <si>
    <t>If ppci=1</t>
  </si>
  <si>
    <t>wa_date_p_pci_hmdc
wa_date_PriorPCI_cbap
wa_p_pci_merged</t>
  </si>
  <si>
    <t>HMDC_PCI - https://hsswa.australia-east.azure.snowflakecomputing.com/console#/internal/worksheet</t>
  </si>
  <si>
    <t>From the Disease Register HMDC_PCI
https://github.com/AUS-DOH-Safety-and-Quality/Disease-Register</t>
  </si>
  <si>
    <t>Yes, rows present with p_pci flag yes with null value</t>
  </si>
  <si>
    <t>Where item Acute coronary syndrome (ACS) was coded ‘yes’, on what date did the ACS symptoms start that prompted them to seek medical treatment? Where medical attention is defined as either at hospital or from a general practitioner.
In the event of stuttering symptoms, ACS symptom onset is the date when symptoms became constant in quality or intensity.  Restrict coding to 7 days prior to current procedure.
ACS symptoms may include: tightness, pressure, heaviness, fullness or squeezing in the chest which may spread to the neck and throat, jaw, shoulders, the back, upper abdomen, either or both arms and even into the wrists and hands, dyspnoea, nausea/vomiting, cold sweat or syncope. Seeking medical attention could include the person presenting to their GP who then refers them to hospital or the person presenting directly to hospital (via ambulance or own form of transport). If the person is already a patient at the hospital for another reason then the time recorded would be when they advised hospital staff of their symptoms.</t>
  </si>
  <si>
    <t xml:space="preserve">DSO must be ≤DOP AND &gt;[DOP-7 days]Reject file if dso is &lt; dop-7
Reject file if dso is &gt; dop
Reject file if acs=1 and dso is NULL from the ncr tab: procedure </t>
  </si>
  <si>
    <t>[DOP]-7 days</t>
  </si>
  <si>
    <t>DOP</t>
  </si>
  <si>
    <t>If acs=1</t>
  </si>
  <si>
    <t>Was a statin prescribed at discharge? Indicate if the patient is prescribed and taking a statin at discharge from the PCI admission.
Statin agents include: atorvastatin, fluvastatin, pravastatin, rosuvastatin and simvastatin.</t>
  </si>
  <si>
    <t xml:space="preserve">Reject file if dis=6 and dstp has data
Reject file if dis = 1-5 and dstp is NULL from the ncr tab: discharge </t>
  </si>
  <si>
    <t>Take all medication, if the medication contains "statin", then 1 else 0
Special exclusion of "nystatin" and "cilastatin"</t>
  </si>
  <si>
    <t xml:space="preserve">ecgdb = [tecgd-TBD] + [decgd-DBD]  (expressed in minutes)Derived variable from the ncr tab: procedure </t>
  </si>
  <si>
    <t>Example : This describes if the hospital site has an Emergency Department, as defined in the WA Health Clinical Services Framework.</t>
  </si>
  <si>
    <t xml:space="preserve">This is part of each hospital's set up for the National Cardiac Registry.  </t>
  </si>
  <si>
    <t>Only required once in the NCR set up for each hospital.</t>
  </si>
  <si>
    <t>None</t>
  </si>
  <si>
    <t>Manual</t>
  </si>
  <si>
    <t>Where LVEF test performed is coded 'yes', what was the digitally derived EF test result? Only answer digitally derived or estimated not both. Record the digitally derived EF result (where the EF test results is a computed, digital EF percentage). 
Note: The patient’s digitally derived EF result should ONLY be expressed as a whole number (between 10 and 80) expressed as a percentage of blood emptied from the left ventricle at the end of contraction.</t>
  </si>
  <si>
    <t xml:space="preserve">If value entered into EFES, disable EF (cannot be both)Reject file if eftp=0 and ef has data
Reject file if ef has data &amp; efes has data
Reject file if eftp =1 and both efes and ef are NULL from the ncr tab: admission_preprocedural </t>
  </si>
  <si>
    <t>NN</t>
  </si>
  <si>
    <t>Enter a percentage in the range of 01 - 99. If a percentage range was reported, report the lowest number of the range BELOW (i.e.50-55%, is reported as 50%).</t>
  </si>
  <si>
    <t>01</t>
  </si>
  <si>
    <t>Cardiobase Risk Score Module records this as a 2 digit value.
AND HIH results hub.   The HIH approach needs wacor clarification on WHEN the result (assume linked to EFTP date?)
Cardiobase RiskScore for RPH ONLY.
? Nick Lan&amp; Girish following up on data source.  Michael at RPH, no response from lady at FSH?</t>
  </si>
  <si>
    <t>If efpt is 1 and efes is NULL</t>
  </si>
  <si>
    <t>RiskScore for RPH and FSH</t>
  </si>
  <si>
    <t>Where LVEF test performed is coded 'yes', what was the estimated EF test result? Only answer digitally derived or estimated not both. The patient’s ejection fraction is the amount of blood emptied from the left ventricle at the end of contraction. EF is estimated where the test itself has not computed a digital EF percentage to express ventricular function. For Estimated EF, select ONE of the following:
1=Normal function (&gt;50%)
2= Mild dysfunction/impairment (45-49%)
3=Moderate dysfunction/impairment (35% -44%)
4=Severe dysfunction/impairment (&lt;35%)</t>
  </si>
  <si>
    <t xml:space="preserve">If value entered into EF, disable EFES (cannot be both)Reject file if eftp=0 and efes has data
Reject file if ef has data &amp; efes has data
Reject file if eftp =1 and both efes and ef are NULL from the ncr tab: admission_preprocedural </t>
  </si>
  <si>
    <t xml:space="preserve">
1=Normal function (&gt;50%)
2= Mild dysfunction/impairment (45-49%)
3=Moderate dysfunction/impairment (35% -44%)
4=Severe dysfunction/impairment (&lt;35%)</t>
  </si>
  <si>
    <t>If eftp =1 and ef is NULL</t>
  </si>
  <si>
    <t>Take the value of EF from riskscore module for FSH/RPH and convert to groups.
Rename groups for LV Function for SCGH</t>
  </si>
  <si>
    <t>Where LVEF test performed is coded 'yes', what was the most recent LVEF test type? Select ONE of the following:  
- Echocardiography
- Angiography
- Gated cardiac blood pool scan
- Magnetic resonance imaging (MRI)
- Myocardial perfusion scan
- Not stated/inadequately described</t>
  </si>
  <si>
    <t xml:space="preserve">Reject file if eftp=0 and eft has data
Reject file if eftp =1 and eft is NULL from the ncr tab: admission_preprocedural </t>
  </si>
  <si>
    <t>1= Echocardiography 
2=Angiography
3=Gated cardiac blood pool scan
4=Magnetic resonance imaging (MRI)
5=Myocardial perfusion scan
6=Not stated/inadequately described</t>
  </si>
  <si>
    <t>This data does not readily appear in the cardiobase dataset, and so 6 'inadequately described' is suggested to allow the record to be uploaded.</t>
  </si>
  <si>
    <t>For STEMI patients was a LVEF test performed during the index admission or up to 30 days post-discharge, and for other patients was a LVEF test performed within 6 months prior or up to 30 days  post-discharge? For all patients (excluding STEMIs – see note below) indicate whether the patient’s ventricular ejection fraction (EF) was measured (or estimated) within 6 months prior to the current procedure up to four weeks post-discharge. This includes the period leading up to and including the cardiac catheter lab visit, after the lab visit and up to 30 days after the patient was discharged. If multiple test results are available during this period, select the test result closest to the date/time of the index PCI. 
Note: For STEMI patients a LVEF test must have been recorded DURING the index admission or up to 30 days post-discharge for this item to be coded ‘yes’.  For these patients, where no LVEF test was performed DURING THE INDEX ADMISSION, code “no”.</t>
  </si>
  <si>
    <t>The EF is recorded for some patients in the cardiobase risk score module.  
Two possible additional sources, explore syngo access, and HIH results hub.  eftp_derived_source</t>
  </si>
  <si>
    <t>Take the test date associated with the cardiobase risk score module, if multiple take the closest to the date of procedure.</t>
  </si>
  <si>
    <t>An overall measure of kidney function, the glomerular filtration rate measures how well kidneys filter the wastes from the blood. It is calculated using age, weight (in kg) and ast pre-procedure creatinine.</t>
  </si>
  <si>
    <t xml:space="preserve">EGFR = (140 – AGE) x WKG x Constant / PCR (in umol/L)
[Constant = 1.23 for men and Constant=1.04 for women]Derived - no import on this field from the ncr tab: admission_preprocedural </t>
  </si>
  <si>
    <t>NNN.NN</t>
  </si>
  <si>
    <t>Numeric (3.2)</t>
  </si>
  <si>
    <t>Field is available in the risk score module for cardiobase (egfr)
Cardiobase RiskScore for RPH ONLY</t>
  </si>
  <si>
    <t>RiskScore for RPH</t>
  </si>
  <si>
    <t>What was the hospital system calculated EGFR? Where a hospital system calculates an egfr this can be included here as per the hospital's definition.</t>
  </si>
  <si>
    <t xml:space="preserve">Nil required from the ncr tab: admission_preprocedural </t>
  </si>
  <si>
    <t>1.00</t>
  </si>
  <si>
    <t>999.00</t>
  </si>
  <si>
    <t>HIH Results Hub - needs clarification &amp; SME input (SMA)
Cardiobase RiskScore for RPH ONLY</t>
  </si>
  <si>
    <t>Optional</t>
  </si>
  <si>
    <t xml:space="preserve">Generated when a new Event is created.  Generate a new eventid when a new row is accepted from the ncr tab: admission_preprocedural </t>
  </si>
  <si>
    <t>System generated</t>
  </si>
  <si>
    <t xml:space="preserve">FMCTD= [toa-tfmc] + [doa-dfmc]Derived variable from the ncr tab: procedure </t>
  </si>
  <si>
    <t xml:space="preserve">FMCTECG= [tecgd-tfmc] + [decgd-dfmc]  (expressed in minutes)Derived variable from the ncr tab: procedure </t>
  </si>
  <si>
    <t xml:space="preserve">FMCTR= [tbd-tfmc] + [dbd-dfmc]Derived variable from the ncr tab: procedure </t>
  </si>
  <si>
    <t>Indicate the result of the functional test performed prior to the current PCI.</t>
  </si>
  <si>
    <t xml:space="preserve">Positive functional test = suggestion of ischaemia or abnormality
Negative function test = No suggestion of ischaemia or abnormality
Functional test equivocal = Results were uninterpretable and/or cannot be determined if positive or negative.
Functional tests can comprise of: Exercise stress test, stress echocardiogram (exercise or pharmacological stress), nuclear stress test (exercise or pharmacological stress), CT scan or FFR. The test could be performed at this admission (but prior to the current PCI), or it could be a test that resulted in the admission. </t>
  </si>
  <si>
    <t>1=Positive functional test
2=Negative functional test
3=Functional test equivocal
4=Functional test not done
5=Functional test results not available</t>
  </si>
  <si>
    <r>
      <rPr>
        <sz val="11"/>
        <color rgb="FF000000"/>
        <rFont val="Arial"/>
        <family val="2"/>
      </rPr>
      <t xml:space="preserve">If PCI = 11 , 12 or 13
</t>
    </r>
    <r>
      <rPr>
        <b/>
        <sz val="11"/>
        <color rgb="FF000000"/>
        <rFont val="Arial"/>
        <family val="2"/>
      </rPr>
      <t>11= Staged PCI
12 = Angina/angina equivalent symptoms
13= No angina/angina equivalent symptoms</t>
    </r>
  </si>
  <si>
    <t xml:space="preserve">Field cannot be blank when PCI indication is angina equivalent/no equivalent.
Reject file if PCI = 11, 12 or 13 and field is NULL.
</t>
  </si>
  <si>
    <t>Grade of Stenosis</t>
  </si>
  <si>
    <t>Indicate the grade of stenosis for the lesion treated.</t>
  </si>
  <si>
    <t>Where the indication for the current PCI is: Staged, Angina/angina equivalent symptoms or No Angina/angina equivalent, please records the grade of stenosis for the lesion treated.</t>
  </si>
  <si>
    <t>1= High Grade Stenosis &gt;70%
2=Medium Grade Stenosis (50-70%)
3=Low Grade Stenosis (&lt;50%)</t>
  </si>
  <si>
    <t>If PCI = 11 , 12 or 13</t>
  </si>
  <si>
    <t>This field is required for creating an NCR record.</t>
  </si>
  <si>
    <t>How tall is the patient in cm? Height in centimetres in bare or stockinged feet.  Note: Can be self-reported, estimated or measured.</t>
  </si>
  <si>
    <t xml:space="preserve">from the NCR tab: admission_preprocedural </t>
  </si>
  <si>
    <t>Numeric (3)</t>
  </si>
  <si>
    <t>METEOR ref will require refinement for WA PCI Dataset.</t>
  </si>
  <si>
    <t>Did the bleeding occur during the admission? Indicate if the patient experienced a NEW bleeding event either during this cardiac catheter lab visit, after this lab visit but prior to any subsequent lab visits and prior to discharge.
BARC:
Type 0 - No bleeding
Type 1 - Bleeding that is not actionable and does not cause the patient to seek treatment
Type 2 - Any clinically overt sign of haemorrhage that “is actionable” and requires diagnostic studies, hospitalization, or treatment by a health care professional
Type 3 - 
  a.       Overt bleeding plus haemoglobin drop of 3 to &lt; 5 g/dL (provided haemoglobin drop is related to bleed); transfusion with overt bleeding
  b.      Overt bleeding plus haemoglobin drop &lt; 5 g/dL (provided haemoglobin drop is related to bleed); cardiac tamponade; bleeding requiring surgical intervention for control; bleeding requiring IV vasoactive agents
  c.       Intracranial haemorrhage confirmed by autopsy, imaging, or lumbar puncture; intraocular bleed compromising vision
Type 4 - CABG-related bleeding within 48 hours
Type 5 - 
  a.     Probable fatal bleeding
  b.     Definite fatal bleeding (overt or autopsy or imaging confirmation)</t>
  </si>
  <si>
    <t xml:space="preserve">Reject file if NULL
Reject file if ihbl=6 and ihcab=0
Reject file if ihbl&gt;6 and dis&lt;6 from the ncr tab: post_procedural </t>
  </si>
  <si>
    <t>0= Type 0
1= Type 1
2=Type 2
3=Type 3a
4=Type 3b
5=Type 3c
6=Type 4
7=Type 5a
8=Type 5b</t>
  </si>
  <si>
    <t>HMDS ICD L76. 22  can identify post operative bleeding but not with this level of refinement (i.e. blood loss). Type 4 identifiable.
Whilst the NCR submission criteria states that this will be rejected if null, our 2021 data was accepted with no values (i.e. null)
Bloods dataset may be available from OCMO (Brad Webster is a contact).</t>
  </si>
  <si>
    <t>BW/EK</t>
  </si>
  <si>
    <t>Where in-hospital bleeding was coded 'Type 1, 2, 3a, 3b, 3c, 4, 5a, or 5b', specify the site. Indicate the bleeding site from the following:
- Retroperitoneal - Indicate whether retroperitoneal bleeding occurred during or after the cath lab visit and until discharge. 
- Percutaneous entry site - Indicate whether bleeding occurred at the percutaneous entry site during or after the cath lab visit and until discharge.  Bleeding at the percutaneous entry site can be external or a haematoma &gt;10cm for femoral access or &gt;2cm for radial access or &gt;5cm for brachial access. 
- Gastrointestinal tract - Indicate whether gastrointestinal bleeding occurred during or after the cath lab visit and until discharge. 
- Cerebral - Indicate whether cerebral bleeding occurred during or after the cath lab visit and until discharge. 
- Genital/Urinary - Indicate whether genital or urinary bleeding occurred during or after the cath lab visit and until discharge.  
- Other –</t>
  </si>
  <si>
    <t xml:space="preserve">Reject file if ihbl = 0 and ihblsite has data
Reject file if ihbl &gt;=1 and ihblsite is NULL from the ncr tab: post_procedural </t>
  </si>
  <si>
    <t>1= Retroperitoneal
2=Percutaneous entry site
3=Gastrointestinal tract
4=Cerebral
5=Genital/Urinary
6=Other</t>
  </si>
  <si>
    <t>NACS?</t>
  </si>
  <si>
    <t>If IHBL is &gt;= 1</t>
  </si>
  <si>
    <t>Did the patient undergo or was transferred for cardiothoracic surgery prior to discharge? Indicate if the patient underwent or was transferred for cardiothoracic surgery (whether or not this actually involved the placing of bypass grafts) either during the cardiac catheter lab visit, after the lab visit, but prior to discharge and/or any subsequent lab visits.    Note: The surgery should be cardiothoracic (i.e. not related to peripheral vascular complications). The surgical indication may have been, but are not exclusive to: 
-Prompted/indicated by a need to correct an emergency complication of the index PCI (e.g. abrupt vessel closure, cardiac vessel perforation, dissection of a thoracic great vessel, etc.); OR  
-CABG to revascularise the target vessel treated during the index PCI; either during or after the catheter lab visit, but prior to discharge and/or any subsequent lab visits; OR 
-For a patient who underwent a successful PCI (e.g. for an ACS) but required a CABG for anatomical or pre-existing CAD indications (e.g. left-main disease, triple-vessel disease, etc.).
Note:  If the patient was transferred from the index hospital to a tertiary facility for cardiothoracic surgery as part of ongoing treatment related to the index PCI (e.g. emergency CABG) then code as ‘yes’.</t>
  </si>
  <si>
    <t xml:space="preserve">Reject file if NULL from the ncr tab: post_procedural </t>
  </si>
  <si>
    <t>Surgical intervention data can be derived from a) HMDS for the date or procedure (but lacks time).  This example will not capture all cases.  B) Theatre Management System (requires new data access request) to capture - will capture date and time and allow same-day PCI &amp; CABG to be identified.  
Other surgical procedures require ICD code list to be clarified.
This is recorded on the post-procedural tab in NCR, and therefore considered part of the same hospital stay. 
WA definition should clarify that the NCR's inaccurate 'prior to discharge' definition - as this is confusing. Suggest splitting into two data elements (a) was the patient transferred for cardiac surgery and (b) did the patient undergo cardiac surgery? (Needs consultation on wording and branching logic for disambiguation).</t>
  </si>
  <si>
    <t>l</t>
  </si>
  <si>
    <t>HMDS for myocardial infarction (with condition onset flag = 1).  Condition onset flag indicates that the MI took place after admission.
Needs further investigation.</t>
  </si>
  <si>
    <t>Where item In-hospital cardiothoracic surgery was coded ‘yes’, was the cardiothoracic surgery was planned? Indicate whether the cardiothoracic surgery was planned. 
Note: A ‘planned cardiothoracic surgery’ is defined as a SCHEDULED surgical event only. For emergent surgeries that were not scheduled or planned, code as ‘no’.
Note: Any target vessel revascularisation of a successfully treated lesion should be coded as ‘unplanned’.  Subsequent revascularisations of a previous unsuccessfully treated lesion is situation dependant Please contact NCR project team if unsure.</t>
  </si>
  <si>
    <t xml:space="preserve">Reject file if ihcab=0 and ihpcab has data
Reject file if ihcab=1 and ihpcab is NULL from the ncr tab: post_procedural </t>
  </si>
  <si>
    <t>The term SCHEDULED highlights that the NCR may have a specific term in mind and requires clarification.  The term planned/scheduled may refer to elective, or being scheduled as late as the day before. 
This should be clarified with the NCR for disambiguation.  
May require TMS linkage.</t>
  </si>
  <si>
    <t>If ihcab=1</t>
  </si>
  <si>
    <t>Did the patient undergo a subsequent PCI during the same admission? Indicate if the patient underwent a subsequent PCI (distinct from the index PCI) after the cardiac catheter lab visit, but prior to discharge. 
Note: This includes emergent PCI revascularisations and/or planned, staged PCI visits to the cardiac catheter lab during the index admission, but prior to discharge.</t>
  </si>
  <si>
    <t>This can be derived from the dataset using the Cardiobase date &amp; time of procedure within the admission.  Developing this measure will require an sequenced index of PCIs within each admission.   Note an be identified through multiple file numbers with a single admission date.  Agree best way forward is to index each separate file number (note file numbers are sequential).
Dependent on accurate identification of discharge / separation</t>
  </si>
  <si>
    <t>wa_IHPCI_hmdc</t>
  </si>
  <si>
    <t>Where item Subsequent PCI was coded ‘yes’, was the subsequent PCI planned? Indicate whether the subsequent PCI was planned. 
Note: A ‘planned in-hospital PCI’ is defined as a STAGED or scheduled elective PCI only.   For emergent PCI interventions that were not previously scheduled, code as ‘no’.
Note: Any target vessel revascularisation of a successfully treated lesion should be coded as ‘unplanned’.  Subsequent revascularisations of a previous unsuccessfully treated lesion is situation dependant .</t>
  </si>
  <si>
    <t xml:space="preserve">Reject file if ihpci=0 and ihpcip has data
Reject file if ihpci=1 and ihpcip is NULL from the ncr tab: post_procedural </t>
  </si>
  <si>
    <t>HMDS elective vs non -elective.
Cardiobase staged procedure flag, also see indication for PCI definition.
Dependent on consistent use of Cardiobase/[PCI Indication] field and/or HMDS elective/non-elective
Low confidence in consistent use of PCI Indication field - examples for Staged Procedure (1, 2, 3)</t>
  </si>
  <si>
    <t>If IHPCI=1</t>
  </si>
  <si>
    <t>wa_IHPCIP_hmdc</t>
  </si>
  <si>
    <t xml:space="preserve">From the Disease Register HMDC_PCI
https://github.com/AUS-DOH-Safety-and-Quality/Disease-Register
HMDC Admission status 3 or 4 Elective waitlist / not waitlist
</t>
  </si>
  <si>
    <t>Did a stent thrombosis occur during the admission? Indicate whether a stent thrombosis occurred during hospitalisation, after the index PCI lab visit, but prior to discharge and/or any subsequent lab visits.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Select ONE of the following options that apply:
-No stent thrombosis: Where there are no acute coronary syndrome (ACS) symptoms or death after the index PCI lab visit and/or prior to discharge OR ACS symptoms occur during the defined period, but angiographic evidence does not indicate thrombus or occlusion.
-Definite stent thrombosis: The presence of an ACS with angiographic or autopsy evidence of thrombus or occlusion.
-Probable stent thrombosis: Includes unexplained deaths during the index admission after the procedure or acute myocardial infarction involving the target-vessel territory without angiographic or autopsy confirmation.
-Silent stent thrombosis: The incidental angiographic documentation of stent occlusion in the absence of clinical
signs or symptoms is not considered stent thrombosis.</t>
  </si>
  <si>
    <t>0=No stent thrombosis
1=Definite stent thrombosis
2=Probable stent thrombosis
3=Silent stent thrombosis</t>
  </si>
  <si>
    <t xml:space="preserve">HMDS : ICD T82.867A identifies stent thrombosis (but does not specify the lesion site).
Cardiobase completion may be low. </t>
  </si>
  <si>
    <t>Did the patient experience a stroke while an in-patient? Indicate if the patient experienced a stroke or new central neurologic deficit (persisting for &gt; 72 hours) during the cardiac catheter lab visit, after the lab visit, but prior to discharge and/or any subsequent lab visits. 
Note: Stroke is evidenced by persistent loss of neurological function caused by an ischaemic or haemorrhagic event.</t>
  </si>
  <si>
    <t>This data could be sourced from :
The Stroke Registry (would require custodian approval).
The HMDS data for the separation (subject to the time window constraints, i.e. separation end date &amp; end time being within the period).
Relevant ICD codes to define Stroke are:
- Ischaemic stroke is I63.0, I63.1, I63.2, I63.3, I63.4, I63.5, I63.6, I63.8, I63.9
- Haemorrhagic Stroke is I61.0, I61.1, I61.2, I61.2, I61.3, I61.4, I61.5, I61.6, I61.8, I61.9, I62.9
- Unknown stroke is I64
Notable exclusions are G45 for Transient ischaemic attack, I62.0 and I62.1 for nontraumatic subdural/extradural haemorrhage, S06.5 and S06.6 for traumatic subdural/subarachnoid haemorrhage.
Use the Disease Register table "HMDC_IH_STROKE", match by EVENT_ID and pull out the "C_IN_HOSPITAL_STROKE" column.</t>
  </si>
  <si>
    <t>HMDC SOURCE_OF_REFERRAL_LOCATION = 4 then 1 else 0</t>
  </si>
  <si>
    <t>Where In-hospital stroke was coded 'yes', specify the type of stroke. Indicate whether the stroke was haemorrhagic or ischaemic. Select ONE of the following options:
- Haemorrhagic: Imaging evidence (MRI or CT), lumbar puncture, neurosurgery or autopsy evidence confirms haemorrhage in the cerebral parenchyma, or subdural/subarachnoid haemorrhage; 
- Ischaemic: In the absence of haemorrhagic evidence, inadequate cerebral blood supply is the suspected cause of stroke.  Cerebrovascular occlusion may be caused by (but is not limited to) thrombus, embolism or vasoconstriction, etc. 
- Unknown: Stroke type could not be conclusively determined.</t>
  </si>
  <si>
    <t xml:space="preserve">Reject file if ihstr=0 and Ihstrt has data
Reject file if ihstr=1 and ihstrt is NULL from the ncr tab: post_procedural </t>
  </si>
  <si>
    <t>1=Haemorrhagic
2=Ischaemic
-1=Unknown</t>
  </si>
  <si>
    <t>If there are multiple strokes that occur in-hospital, this extracts the type that is assigned to the highest ICD priority.</t>
  </si>
  <si>
    <t>This data could be sourced from :
The Stroke Registry (would require custodian approval).
The HMDS data for the separation, i.e. where the patient had a stroke and the condition onset flag (COF) was set to 1, indicating that the stroke occurred in hospital.   The coding specifies the type of stroke in line with the ICD coding.
(subject to the time window constraints, i.e. separation end date &amp; end time being within the period).
Use the Disease Register table "HMDC_IH_STROKE", match by EVENT_ID and pull out the "C_STROKE_TYPE" column.</t>
  </si>
  <si>
    <t>If IHSTR=1</t>
  </si>
  <si>
    <t>Where patient 'Type of ACS' coded as ‘STEMI’, was the patient transferred from another acute care facility?  Indicate if the patient was admitted to the PCI hospital following transfer from another acute care facility.</t>
  </si>
  <si>
    <t xml:space="preserve">Reject file if acst=3 and iht is NULL from the ncr tab: procedure </t>
  </si>
  <si>
    <t>HMDS identified as 'source of referral' for admission (4) Acute Hospital .  A second field 'Admitted from' which identifies the referring site can be used.  
A further source, from Cardiobase's angioplasty module can be used.  
Dependent on accurately identifying ACST as STEMI</t>
  </si>
  <si>
    <t>wa_iht_hmdc</t>
  </si>
  <si>
    <t>From HMDC, if source_of_referral_location is 4, acute hospital, wa_iht_hmdc is 1 else 0
If ACST = 3, take the value in wa_iht_hmdc else blank
Only columns with ACST = 3 are filled</t>
  </si>
  <si>
    <t>Where item In-hospital TVR was coded ‘yes’, was the target lesion also revascularised? Indicate whether the target LESION was also revascularised during the subsequent in-hospital PCI. 
Note: A target lesion revascularisation (TLR) is any revascularisation of the same LESION treated during the index PCI.  This includes treatment of a restenosis/occlusion within a stent implanted during the index PCI (or within 5-mm of the proximal and distal margins of the stent edges). It also includes attempts to revascularise the target lesion where a stent was not successfully implanted and/or plain old balloon angioplasty (POBA) was employed during the index PCI.</t>
  </si>
  <si>
    <t xml:space="preserve">Reject file if ihtvr=0 and ihtlr has data
Reject file if ihtvr=1 and ihtlr is NULL from the ncr tab: post_procedural </t>
  </si>
  <si>
    <t>TMS Data?
Query to cardiologists: if the first attempt to review the lesion was diagnostic only or aborted, or partially successful, should the registry treat any subsequent treatment as revascularisation  ?</t>
  </si>
  <si>
    <t>If IHTVR=1</t>
  </si>
  <si>
    <t>Where In-hospital cardiothoracic surgery was coded ‘yes’, did the surgery involve the placing of coronary artery bypass grafts to revascularise the target vessel? Indicate whether the surgery involved the placing of coronary artery bypass grafts to revascularise the target vessel that was treated during the index PCI. 
Note: A TVR CABG is a bypass revascularisation due to restenosis/occlusion within the target coronary artery and/or the same arterial branch treated during the index PCI.</t>
  </si>
  <si>
    <t xml:space="preserve">Reject file if ihcab=0 and ihtvcab has data
Reject file if ihcab=1 and ihtvcab is NULL from the ncr tab: post_procedural </t>
  </si>
  <si>
    <t>The data source which identifies the CABG would need to identify the lesion site which was treated also to be able to identify.  This will require data exploration from TMS is this is to be taken forward electronically, or identified via manual audit and/or review.  Questions to ask CT surgeons- which systems capture the vessels which are treated?</t>
  </si>
  <si>
    <t>Where item Subsequent PCI was coded ‘yes’, was the target vessel revascularised? \Indicate whether the target vessel was revascularised during the subsequent in-hospital PCI. 
Note: A PCI TVR is any revascularisation due to restenosis/occlusion within the target coronary artery and/or the same arterial branch that was treated during the index PCI. This includes any percutaneous revascularisation within the same arterial branch treated during the index PCI, regardless of whether the index PCI was successful.</t>
  </si>
  <si>
    <t xml:space="preserve">Reject file if ihpci=0 and intvr has data
Reject file if ihpci =1 and ihtvr is NULL from the ncr tab: post_procedural </t>
  </si>
  <si>
    <t>requires foreign key for [patient+file_number+lesion_site]  (file_number indicates the procedure)
Question for cardiologists: - where the first attempt at revascularisation fails, is this the desired intent (see lesion_success field in cardiobase)</t>
  </si>
  <si>
    <t xml:space="preserve">Reject file if inds is NULL from the ncr tab: patient </t>
  </si>
  <si>
    <t>0=Neither
1=Aboriginal
2=Torres Strait Islander
3=Both Aboriginal and Torres Strait Islander
-1=Unknown</t>
  </si>
  <si>
    <t>hmds (mapped already in business rules). 
METEOR ref will require refinement for WACOR.</t>
  </si>
  <si>
    <t xml:space="preserve">INP=0 if [ACS=1] &amp; [DSO &amp; TSO] &lt; [DOA &amp; TOA] 
INP=1 if [ACS=1] &amp; [DSO &amp; TSO] ≥ [DOA &amp; TOA] 
INP is null if ACS=0Derived variable from the ncr tab: procedure </t>
  </si>
  <si>
    <t xml:space="preserve">Derived. Means onset of symptoms that the patient was an inpatient.  As such need a time span from date of admission to date of hospital separation?  
</t>
  </si>
  <si>
    <t xml:space="preserve">LOS=[DOD-DOA] Derived - no import on this field.  from the ncr tab: discharge </t>
  </si>
  <si>
    <t>Number of days</t>
  </si>
  <si>
    <t>Needs clarification for separation based length of stay, or hospital based length of stay.  Note that the national definitions here artificially set same day stays as 1 day (not zero).
Not required for export. However, dependent on accurate identification of DOD</t>
  </si>
  <si>
    <t>wa_los_hmdc</t>
  </si>
  <si>
    <t>From HMDC Length_of_stay</t>
  </si>
  <si>
    <t>Does the current lesion location have a pre-existing stent implanted from a prior PCI to the same site? Indicate whether the current lesion location has had a pre-existing stent implanted from a prior PCI to the same site OR is within 5mm of the proximal or distal stent edges of a pre-existing stent from a previous PCI.</t>
  </si>
  <si>
    <t xml:space="preserve">Up to 5 lesions can be entered. Fields coded in data extract as LR1_LESION, LR2_LESION …  LR5_LESION.Reject file if NULL
Reject file if PPCI =0 AND lr1_isr=1 from the ncr tab: procedure </t>
  </si>
  <si>
    <t>Take the Cardiobase STENT_RESTENOSIS
Merge with PCI Redcap</t>
  </si>
  <si>
    <t>Was the current lesion treated due to the presence of a thrombus in a pre-existing stent? Indicate whether the current lesion was treated due to the presence of a thrombus in the pre-existing stent OR within 5mm of stent edges.</t>
  </si>
  <si>
    <t xml:space="preserve">Up to 5 lesions can be entered. Fields coded in data extract as LR1_LESION, LR2_LESION …  LR5_LESION.Reject file if NULL
Reject file if PPCI=0 AND lr1_isrst=1 from the ncr tab: procedure </t>
  </si>
  <si>
    <t>This may be identifiable from HMDS coding, T82.868A (not lesion specific).</t>
  </si>
  <si>
    <t>Take the Cardiobase STENT_THROMBOSIS
Merge with PCI Redcap</t>
  </si>
  <si>
    <t>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
1 = Left anterior descending artery (LAD) 
2 = Diaganol artery 
3 = Left circumflex (LCx) 
4 = Left main coronary artery
5 = Posterior descending artery
6 = Right coronary artery 
7 = Internal mammary graft 
8 = Radial artery graft 
9 = Saphenous vein graft 
10 = Not stated/inadequately described</t>
  </si>
  <si>
    <t xml:space="preserve">Up to 5 lesions can be entered. Fields are coded in data extract as LR1_LESION, LR2_LESION …  LR5_LESION.Reject file if NULL from the ncr tab: procedure </t>
  </si>
  <si>
    <t>1 = Left anterior descending artery (LAD)
2 = Diaganol artery
3 = Left circumflex (LCx)
4 = Left main coronary artery
5 = Posterior descending artery
6 = Right coronary artery 
7 = Internal mammary graft
8 = Radial artery graft
9 = Saphenous vein graft
10 = Not stated/inadequately described</t>
  </si>
  <si>
    <t>NCR 2021 Information Release - Cardiobase.[Lesion Site]</t>
  </si>
  <si>
    <t>Was the lesion successfully treated? Indicate whether the lesion was successfully treated. 
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t>
  </si>
  <si>
    <t xml:space="preserve">Up to 5 lesions can be entered. Fields coded in data extract as LR1_LESION, LR2_LESION …  LR5_LESION.Reject file if NULL from the ncr tab: procedure </t>
  </si>
  <si>
    <t>The cardiobase angioplasty lesion extract contains this column (Lesion Success).  Values are not yet mapped (?).   May not be suitable as not fully reconciled to NCR definition.
The cardiobase extract has two fields : PERCENTAGE_PRE_STENOSIS, PERCENTAGE_POST_STENOSIS (moderately populated (Sep 22).  Needs end user validation.
TIMI Flow (referred to in the definition as part 2 of the criterion is also in the cardiobase angioplasty lesion extract in the column TIMI_FLOW and TIMI_FLOW_PRE</t>
  </si>
  <si>
    <t>10 = potential data source identified</t>
  </si>
  <si>
    <t>Take the Cardiobase Lesion Success
Merge with PCI Redcap</t>
  </si>
  <si>
    <t>What type of stent/balloon was used? Select ONE of the following options:
- Bare metal stents (BMS): Where one or more bare metal coronary stent(s) were implanted in the current lesion (and no other type of stent/scaffold was implanted).
- Drug eluting stents (DES): Where one or more drug eluting coronary stent(s) were implanted in the current lesion (and no other type of stent was implanted).
- Mixed stents (combined BMS &amp; DES): Where at least one BMS and at least one DES were implanted in the current lesion. 
- Bioresorbable stent(s) (BRS):Where one or more bioresorbable coronary stent(s) were implanted in the current lesion (and no other type of stent/scaffold was implanted).
-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
- POBA (Plain Balloon Angioplasty): Where the only treatment for this lesion was balloon inflation to recanalise coronary arteries; this includes both balloons/catheters  coated in a drug (e.g. paclitaxel, etc.) or NOT coated with any drug. 
- No Stent/No Balloon</t>
  </si>
  <si>
    <t>1=Bare metal stent(s) only (BMS)
2=Drug-eluting stent(s) (DES)
3=Mixed stent(s) (combined BMS &amp; DES)
4=Bioresorbable stent(s) (BRS)
5=Other stents/scaffolds 
6 = POBA (Plain Balloon Angioplasty)
7= No Stent / No Balloon
8=Drug-eluting Balloon</t>
  </si>
  <si>
    <t>Cardiobase.[Stents Deployed]? Mapping review requires one confirmation</t>
  </si>
  <si>
    <t>Take the Cardiobase Stents Deployed
Merge with PCI Redcap</t>
  </si>
  <si>
    <t xml:space="preserve">Up to 5 lesions can be entered. Fields coded in data extract as LR1_LESION, LR2_LESION …  LR5_LESION.Reject file if NULL and lr2_lesion has data
Reject file if PPCI =0 AND lr2_isr=1
Reject file if lr2_isr has data and lr2_lesion=Null from the ncr tab: procedure </t>
  </si>
  <si>
    <t xml:space="preserve">Up to 5 lesions can be entered. Fields coded in data extract as LR1_LESION, LR2_LESION …  LR5_LESION.Reject file if NULL and lr2_lesion has data
Reject file if PPCI=0 AND lr2_isrst=1 from the ncr tab: procedure </t>
  </si>
  <si>
    <t xml:space="preserve">Up to 5 lesions can be entered. Fields are coded in data extract as LR1_LESION, LR2_LESION …  LR5_LESION. from the ncr tab: procedure </t>
  </si>
  <si>
    <t>1 = Left anterior descending artery (LAD)
2 = Diaganol artery
3 = Left circumflex (LCx)
4 = Left main coronary artery
5 = Posterior descending artery
6 = Right coronary artery 
7 = Internal mammary graft
8 = Radial artery graft
9 = Saphenous vein graft
10 = Not stated/inadequately described
NULL</t>
  </si>
  <si>
    <t>Refer lr1_lesion</t>
  </si>
  <si>
    <t>Was the lesion successfully treated? Indicate whether the lesion was successfully treated. 
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t>
  </si>
  <si>
    <t xml:space="preserve">Up to 5 lesions can be entered. Fields coded in data extract as LR1_LESION, LR2_LESION …  LR5_LESION.Reject file if NULL and lr2_lesion has data from the ncr tab: procedure </t>
  </si>
  <si>
    <t>Refer lr1_sit</t>
  </si>
  <si>
    <t xml:space="preserve">Up to 5 lesions can be entered. Fields coded in data extract as LR1_LESION, LR2_LESION …  LR5_LESION.Reject file if NULL and lr3_lesion has data
Reject file if PPCI =0 AND lr3_isr=1
Reject file if lr3_isr has data and lr3_lesion=Null from the ncr tab: procedure </t>
  </si>
  <si>
    <t xml:space="preserve">Up to 5 lesions can be entered. Fields coded in data extract as LR1_LESION, LR2_LESION …  LR5_LESION.Reject file if NULL and lr3_lesion has data
Reject file if PPCI=0 AND lr3_isrst=1 from the ncr tab: procedure </t>
  </si>
  <si>
    <t xml:space="preserve">Up to 5 lesions can be entered. Fields coded in data extract as LR1_LESION, LR2_LESION …  LR5_LESION.Reject file if NULL and lr3_lesion has data from the ncr tab: procedure </t>
  </si>
  <si>
    <t xml:space="preserve">Up to 5 lesions can be entered. Fields coded in data extract as LR1_LESION, LR2_LESION …  LR5_LESION.Reject file if NULL and lr4_lesion has data
Reject file if PPCI =0 AND lr4_isr=1
Reject file if lr4_isr has data and lr4_lesion=Null from the ncr tab: procedure </t>
  </si>
  <si>
    <t xml:space="preserve">Up to 5 lesions can be entered. Fields coded in data extract as LR1_LESION, LR2_LESION …  LR5_LESION.Reject file if NULL and lr4_lesion has data
Reject file if PPCI=0 AND lr4_isrst=1 from the ncr tab: procedure </t>
  </si>
  <si>
    <t xml:space="preserve">Up to 5 lesions can be entered. Fields coded in data extract as LR1_LESION, LR2_LESION …  LR5_LESION.Reject file if NULL and lr4_lesion has data from the ncr tab: procedure </t>
  </si>
  <si>
    <t xml:space="preserve">Up to 5 lesions can be entered. Fields coded in data extract as LR1_LESION, LR2_LESION …  LR5_LESION.Reject file if NULL and lr5_lesion has data
Reject file if PPCI =0 AND lr5_isr=1
Reject file if lr5_isr has data and lr5_lesion=Null from the ncr tab: procedure </t>
  </si>
  <si>
    <t xml:space="preserve">Up to 5 lesions can be entered. Fields coded in data extract as LR1_LESION, LR2_LESION …  LR5_LESION.Reject file if NULL and lr5_lesion has data
Reject file if PPCI=0 AND lr4_isrst=1 from the ncr tab: procedure </t>
  </si>
  <si>
    <t xml:space="preserve">Up to 5 lesions can be entered. Fields coded in data extract as LR1_LESION, LR2_LESION …  LR5_LESION.Reject file if NULL and lr5_lesion has data from the ncr tab: procedure </t>
  </si>
  <si>
    <t>Did the patient experience a myocardial infarction during the 30-day follow-up period? Indicate if the patient experienced a new myocardial infarction (MI) within 30 days from the date of discharge from the index admission. 
The new MI is defined by the following criteria: 
Non ST-Elevation Myocardial Infarction (NSTEMI):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1.       Either ST segment depression or T wave abnormalities in the ECG; or
2.       Ischaemic symptoms in the presence or absence of chest discomfort. Ischaemic symptoms may include:
-  Unexplained nausea and vomiting; or
-  Persistent shortness of breath secondary to left ventricular failure; or
-  Unexplained weakness, dizziness, light-headedness, or syncope
ST-Elevation Myocardial Infarction (STEMI)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ECG changes…
1.      ST-segment elevation: New or presumed new ST segment elevation at the J point in two or more contiguous leads with the cut-off points ≥ 0.2mV in leads V1, V2, or V3, or ≥0.1 mV in other leads. 
2.      Development of any Q wave in leads V1 through V3, or the development of a Q-wave ≥ 30ms (0.03s) in leads I, II, aVL, aVF, V4, V5, or V6. (Q wave changes must be present in any two contiguous leads, and be ≥1mm in depth).</t>
  </si>
  <si>
    <t xml:space="preserve">Reject file if NULL and STAT30≥0
Reject file if stat30=-1 and mi30 contains data
Reject file if dis=6 and mi30 contains data from the ncr tab: follow_up </t>
  </si>
  <si>
    <t>0=No
1=Yes
-1=Unknown</t>
  </si>
  <si>
    <t>Requires business rule to identify MI date and measure within 30 days.
Assumes MI event has been captured in a WA Health Information System (e.g. ED, PAS) and/or can be added via the WACOR data collection tool.
ED Dataset includes primary cause for attendance at ED and captures MI.  
Potential future source of information from SJA for ambulance patients.
Deaths registry can identify patients who die at home from an MI.
Above assumptions would enable reporting "1" (yes) or "-1" (unknown) only
Need to clarify NCR reasoning behind yes/no/unknown</t>
  </si>
  <si>
    <t>If STAT30≥0</t>
  </si>
  <si>
    <t>wa_MI30_hmdc
wa_MI30_eddc</t>
  </si>
  <si>
    <t>From Disease Register ALL_MI30
Merge with Redcap</t>
  </si>
  <si>
    <t>Where the Follow-up status is coded as 'Deceased', what was the cause of death? Primary cause of death is the first significant abnormal event which ultimately led to death.  Select ONE of the following options:
- Non-cardiac: The primary cause of death was clearly non-cardiac related AND there is documented evidence of a non-cardiac primary cause of death (e.g. cancer, renal failure, major trauma, etc.).
- Cardiac: The primary cause of death was diagnosed as clearly cardiac-related and includes, but is not exclusive to any of the following circumstances: chronic heart failure; acute coronary syndrome (e.g. STEMI, NSTEMI; recurrent or unstable angina, etc.); arrhythmia; and/or bleeding or other complications following a cardiac procedure.
- Uncertain: The primary cause of death is not definitively known.
Related to mortc. Requires parent/child relationship with stat30, dmort30</t>
  </si>
  <si>
    <t xml:space="preserve">Reject file if stat30=0 or -1 AND  mort30r contains data
Reject file if stat30=1 and mort30r is NULL from the ncr tab: follow_up </t>
  </si>
  <si>
    <t>1=Cardiac
2=Non-cardiac
3=Uncertain</t>
  </si>
  <si>
    <t>Where Discharge status is coded “Hospital Mortality” Indicate the cause of death. Primary cause of death is the first significant abnormal event which ultimately led to death.  Select ONE of the following options: 
- Non-cardiac: The primary cause of death was clearly non-cardiac related AND there is documented evidence of a non-cardiac primary cause of death (e.g. cancer, renal failure, major trauma, etc.).
- Cardiac: The primary cause of death was diagnosed as clearly cardiac-related and includes, but is not exclusive to any of the following circumstances: chronic heart failure; acute coronary syndrome (e.g. STEMI, NSTEMI; recurrent or unstable angina, etc.); arrhythmia; and/or bleeding or other complications following a cardiac procedure.</t>
  </si>
  <si>
    <t xml:space="preserve">Reject file if dis &lt; 6 and mortc has data
Reject file if dis=6 and mortc is NULL from the ncr tab: discharge </t>
  </si>
  <si>
    <t>1=Cardiac
2=Non-cardiac</t>
  </si>
  <si>
    <t>The Deaths Registry can be used to identify this information with NLP support. Requires test use case, clinical validation. Death registry also has a flag if the death occurred in-hospital.
The Australian Bureau of Statistics classifies deaths using a standardised nomenclature and cause identification methodology which has been validated. [Access to this classification is currently underway]
The IRIS system is used to classify the cause of death.
Cardiac death is determined through the Death Registration's cause of death text field, where the presence of the following terms determine a cardiac related death:
cardiac, cardio, coronary, heart, pericardial, pericardium, myocardial, ventricular (but not interventricular).
Use the Disease Register table "ALL_IH_DEATH", match by EVENT_ID and pull the "CARDIAC_IH_DEATH" column.</t>
  </si>
  <si>
    <t>If DIS=6</t>
  </si>
  <si>
    <t>PL/EK/BW</t>
  </si>
  <si>
    <t xml:space="preserve">from the NCR tab: patient </t>
  </si>
  <si>
    <t>System generate unique ID number = site state code + site public/private code + PatientID</t>
  </si>
  <si>
    <t>Derived from site state + po</t>
  </si>
  <si>
    <t>Nxxxxxxx</t>
  </si>
  <si>
    <t>Is the last pre-procedure creatinine not available? If creatinine results not available leave the above blank and note 1=Yes here.</t>
  </si>
  <si>
    <t xml:space="preserve">pcr must be empty Reject file if there is a value in pcr and npcr=1
Reject file if both pcr AND npcr are NULL from the ncr tab: admission_preprocedural </t>
  </si>
  <si>
    <t> 1=Yes not available</t>
  </si>
  <si>
    <t>If pcr is NULL</t>
  </si>
  <si>
    <t>Invert Cardiobase Risk Score pcr value
Only includes RPH/FSH</t>
  </si>
  <si>
    <t>Did the patient experience a stroke during the 30-day follow-up period? Indicate if the patient experienced a stroke or new central neurologic deficit (persisting for &gt; 72 hours) during the cardiac catheter lab visit, after the lab visit, but prior to discharge and/or any subsequent lab visits. 
Note: Stroke is evidenced by persistent loss of neurological function caused by an ischaemic or haemorrhagic event.</t>
  </si>
  <si>
    <t xml:space="preserve">Reject file if NULL and STAT30≥0
Reject file if stat30=-1 and nstr contains data
Reject file if dis=6 and nstr contains data from the ncr tab: follow_up </t>
  </si>
  <si>
    <t>HMDS source identification through haem or isch stroke with Condition Onset Flag set to 1 during the same hospital stay where length of stay is under 30 days.  The definition for stroke should refer to ICD10.   The definition of stroke lasting over 72 hours is challenging for measuring patients who may die within 72 hours, although they have a stroke.   The window of measurement for this indicator is within 30 days.   Subsequent ED attendances, admissions within 30 days where the attendance or admission is classified as an isch or haem stroke should be included.  The definition of haem or isch stroke should align to the national clinical care standards recommended coding for those types of strokes as defined here: https://meteor.aihw.gov.au/content/719072.
Requires both EDDC and HMDC to determine a new stroke within 30 days.
Use the Disease Register table "ALL_STROKE30", match by EVENT_ID and pull out the "STROKE30_HMDC" and "STROKE30_EDDC" columns.</t>
  </si>
  <si>
    <t>Where new stroke was coded 'yes', specify the type of stroke. Indicate whether the stroke was haemorrhagic or ischaemic. Select ONE of the following options:
- Haemorrhagic: Imaging evidence (MRI or CT), lumbar puncture, neurosurgery or autopsy evidence confirms haemorrhage in the cerebral parenchyma, or subdural/subarachnoid haemorrhage; 
- Ischaemic: In the absence of haemorrhagic evidence, inadequate cerebral blood supply is the suspected cause of stroke.  Cerebrovascular occlusion may be caused by (but is not limited to) thrombus, embolism or vasoconstriction, etc. 
- Unknown: Stroke type could not be conclusively determined.</t>
  </si>
  <si>
    <t xml:space="preserve">Reject file if nstr=1 and nstrt is NULL
Reject file if nstr = 0 or -1 and nstrt contains data from the ncr tab: follow_up </t>
  </si>
  <si>
    <t>See notes for nstr &amp; see descriptors and notes from ICD classification manual https://meteor.aihw.gov.au/content/719072
Use the Disease Register table "ALL_STROKE30", match by EVENT_ID and pull out the "STROKE_TYPE_HMDC" and "STROKE_TYPE_EDDC" columns. If both exist, choose the one which has the earlier date of "STROKE30_DATE_HMDC" and "STROKE30_DATE_EDDC"</t>
  </si>
  <si>
    <t>If NSTR=1</t>
  </si>
  <si>
    <t>Is the time of symptom onset not available? Where time of symptom onset is not available, specify here. Only applicable if time is missing.</t>
  </si>
  <si>
    <t xml:space="preserve">
Reject file if tso has data and ntso =1 from the ncr tab: procedure </t>
  </si>
  <si>
    <t xml:space="preserve">
1=Yes</t>
  </si>
  <si>
    <t>Has the patient had an Out-of-hospital cardiac arrest? Indicate if the patient has experienced an out of hospital cardiac arrest (i.e. the lack of effective cardiac output) including if the person was under cardiac arrest at the time of presentation to the hospital. </t>
  </si>
  <si>
    <t xml:space="preserve">Reject file if OCA is NULL from the ncr tab: admission_preprocedural </t>
  </si>
  <si>
    <t xml:space="preserve">This field is required for creating an NCR record.
State generated, must be unique to each patient Reject file if patientid is NULL from the ncr tab: patient </t>
  </si>
  <si>
    <t>Where Cardiac rehospitalisation is coded as 'Yes', was the hospitalisation planned? Indicate whether the cardiac rehospitalisation was planned.  Note: A 'planned cardiac rehospitalisation' is defined as an in-patient admission to hospital for a SCHEDULED visit only.  For emergency admissions, code as 'no'.</t>
  </si>
  <si>
    <t xml:space="preserve">Up to 6 rehospitalisations be entered.  
 Fields are coded in data extract as CRH30, CRH30_2, CRH30_3-5..,Reject file if  crh30=1 AND pc30 is NULL
Reject file if crh30=0 and pc30 has data from the ncr tab: follow_up </t>
  </si>
  <si>
    <t>The admission_status field from HMDS indicates 3 - elective wait list and 4 - elective non-waitlist should be included.</t>
  </si>
  <si>
    <t>wa_PC30_hmdc</t>
  </si>
  <si>
    <t xml:space="preserve">Reject file if  crh30_2=1 AND pc30_2 is NULL
Reject file if crh30_2=NULL and pc30_2 has data from the ncr tab: follow_up </t>
  </si>
  <si>
    <t>wa_PC30_2_hmdc</t>
  </si>
  <si>
    <t xml:space="preserve">Reject file if  crh30_3=1 AND pc30_3 is NULL
Reject file if crh30_3=NULL and pc30_3 has data from the ncr tab: follow_up </t>
  </si>
  <si>
    <t>wa_PC30_3_hmdc</t>
  </si>
  <si>
    <t xml:space="preserve">Reject file if  crh30_4=1 AND pc30_4 is NULL
Reject file if crh30_4=NULL and pc30_4 has data from the ncr tab: follow_up </t>
  </si>
  <si>
    <t>wa_PC30_4_hmdc</t>
  </si>
  <si>
    <t xml:space="preserve">Reject file if  crh30_5=1 AND pc30_5 is NULL
Reject file if crh30_5=NULL and pc30_5 has data from the ncr tab: follow_up </t>
  </si>
  <si>
    <t>wa_PC30_5_hmdc</t>
  </si>
  <si>
    <t xml:space="preserve">Reject file if  crh30_6=1 AND pc30_6 is NULL
Reject file if crh30_6=NULL and pc30_6 has data from the ncr tab: follow_up </t>
  </si>
  <si>
    <t>wa_PC30_6_hmdc</t>
  </si>
  <si>
    <t>Has the patient previously undergone a CABG? Indicate if the patient has undergone a previous Coronary Artery Bypass (CABG) surgery prior to the current PCI procedure.</t>
  </si>
  <si>
    <t xml:space="preserve">Reject file if NULL from the NCR tab: admission_preprocedural </t>
  </si>
  <si>
    <t>Derivable with history from HMDS, and/or NACS, and/or Cardiobase - needs additional variables to be added to explain why this field is set to  TRUE and originating data source.
Definition requires caveat - may be limited to WA procedures only
ICD-10 CABG procedure codes:
38500-05 [679] CABG 1 comp graft
38503-05 [679] CABG &gt;= 2 comp grafts
38497-00 [672] CABG 1 saph vein graft
38497-01 [672] CABG 2 saph vein grafts
38497-02 [672] CABG 3 saph vein grafts
38497-03 [672] CABG 4 &gt;saph vein grafts
38497-04 [673] CABG - 1 other vein graft
38497-05 [673] CABG - 2 other vein grafts
38497-06 [673] CABG - 3 other vein grafts
38497-07 [673] CABG - 4&gt; other vein grafts
38500-00 [674] CABG 1 LIMA graft
38503-00 [674] CABG- 2 or &gt; LIMA grafts
38500-01 [675] CABG- 1 RIMA graft
38503-01 [675] CABG-2 or &gt; RIMA grafts
38500-02 [676] CABG-1 radial artery graft
38503-02 [676] CABG-2 or &gt; radi art grafts
38500-03 [677] CABG- 1epigast artery graft
38503-03 [677] CABG - 2 or &gt;     "         "
38500-04 [678] CABG - 1 other artery graft
38503-04 [678] CABG - 2or&gt; other art graft
90201-00[679] CABG 1 other graft NEC
90201-01 [679] CABG 2 other grafts NEC
90201-02 [679] CABG 3 other grafts NEC
90201-03 679] CABG 4&gt; other grafts NEC
38637-00 [680] Reoperation for reconstruction of coronary arteries.
Implemented in ETL0705</t>
  </si>
  <si>
    <t>wa_p_cabg_hmdc
wa_PriorCABG_cbap
wa_p_cabg_merged</t>
  </si>
  <si>
    <t xml:space="preserve">Merged result from HMDC and Cardiobase Angioplasty
</t>
  </si>
  <si>
    <t>What was the reason for the current PCI?1= Primary PCI for STEMI &lt;12hours -  Primary PCI for patient with STEMI (or STEMI equivalent) within 12 hours of symptom onset.
2 = PCI for STEMI (12-24 hours) - PCI for patient with STEMI (or STEMI equivalent) between 12-24 hours of symptom onset.
3= Rescue PCI for STEMI (&lt;24 hours - unstable following lysis) -  Rescue PCI for STEMI (or STEMI equivalent) after a failed full-dose lysis.
4= PCI for STEMI &lt;24 hours - stable following lysis) - PCI for STEMI (or STEMI equivalent) where the patient is stable after receiving full-dose lysis.
5= PCI for STEMI (1-7 days no prior lysis)
6= PCI for STEMI (1-7 days - following lysis)
7= PCI for cardiac arrest/cardiogenic shock (Not a STEMI) - PCI performed post cardiac arrest or cardiogenic shock but without ECG or biomarker evidence of acute myocardial infarction. Note: This does not include any PCI cases for Myocardial Infarction (MI).
8= PCI for NSTEMI (&lt;7 days) - Includes patients with NSTEMI who have high risk features for short-term risk of death or nonfatal MI. High risk features includes at least one of the following:
  1. History - accelerating tempo of ischaemic symptoms in preceding 48 hours 
  2. Character of pain - prolonged ongoing (greater than 20 minutes) rest pain 
  3. Clinical findings: Pulmonary oedema, most likely due to ischemia 
  4. New or worsening mitral regurgitation murmur 
  5. S3 or new worsening crackles/crepitations 
  6. Hypotension, bradycardia, tachycardia 
  7. Age greater than 75 years 
  8. ECG: Angina at rest with transient ST-segment changes greater than 0.5 mm 
  9. Bundle-branch block, new or presumed new 
  10. Sustained ventricular tachycardia.
  11.Cardiac markers - NSTEMI patients with elevated cardiac Tn-T, Tn-l, or CK-MB.
9= PCI for unstable angina (&lt;7 days) -  Includes patients with unstable angina who have high risk features for short-term risk of death or nonfatal MI. High risk features includes at least one of the following:
  1. History - accelerating tempo of ischaemic symptoms in preceding 48 hours 
  2. Character of pain - prolonged ongoing (greater than 20 minutes) rest pain 
  3. Clinical findings: Pulmonary oedema, most likely due to ischemia 
  4. New or worsening mitral regurgitation murmur 
  5. S3 or new worsening crackles/crepitations 
  6. Hypotension, bradycardia, tachycardia 
  7. Age greater than 75 years 
  8. ECG: Angina at rest with transient ST-segment changes greater than 0.5 mm 
  9. Bundle-branch block, new or presumed new 
  10. Sustained ventricular tachycardia.
10= PCI for recent ACS (7-30 days) - Patient diagnosed with ACS symptoms more than 7 days ago (e.g. STEMI, NSTEMI or Unstable Angina) but symptoms have stabilised without repeated or recurrent events. Patient is no longer considered ‘acute’ at the time of the current PCI if symptom onset was &gt;7 days ago.
11= Staged PCI -  Any subsequent, PLANNED PCI procedure undertaken as part of a multi-vessel intervention strategy. Earlier PCIs could have been in a prior admission or during the current admission and must be within 3 months from the current PCI
12 = PCI for Angina/angina equivalent symptoms
13= PCI for No angina/angina equivalent symptoms</t>
  </si>
  <si>
    <t xml:space="preserve">Reject file if ACS = 0 AND PCI = 1, 2, 3, 4, 5 or 6.
Reject file if ACST=3 AND PCI = 7, 8, 9, 10, 11, 12 or 13.
Reject file if ACST = 2 AND PCI does not =8
Reject file is ACST=1 AND PCI does not =9
Reject file if NULL from the ncr tab: procedure </t>
  </si>
  <si>
    <t>1= Primary PCI for STEMI &lt;12hours
2 = PCI for STEMI (12-24 hours)
3= Rescue PCI for STEMI (&lt;24 hours - unstable following lysis)
4= PCI for STEMI &lt;24 hours - stable following lysis)
5= PCI for STEMI (1-7 days no prior lysis)
6= PCI for STEMI (1-7 days -  following lysis)
7= PCI for cardiac arrest/cardiogenic shock (Without evidence of STEMI) 
8= PCI for NSTEMI (&lt;7 days)
9= PCI for unstable angina (&lt;7 days)
10= PCI for recent ACS (7-30 days)
11= Staged PCI
12 = Angina/angina equivalent symptoms
13= No angina/angina equivalent symptoms</t>
  </si>
  <si>
    <t>Yes, needs early discsussion with interventionalists and possible request change to Cardiobase.  What are the cardiobase options?</t>
  </si>
  <si>
    <t>Requires clinician input and standardised data entry</t>
  </si>
  <si>
    <t>Where Cardiac Rehospitalisation is coded as 'Yes', was PCI performed during this admission? Indicate whether Percutaneous Coronary Intervention (PCI) was performed during the cardiac rehospitalisation admission</t>
  </si>
  <si>
    <t xml:space="preserve">Up to 6 rehospitalisations be entered.  
 Fields are coded in data extract as CRH30, CRH30_2, CRH30_3-5..,Reject file if  crh30=1 AND pci30 is NULL
Reject file if crh30=0 and pci30 has data from the ncr tab: follow_up </t>
  </si>
  <si>
    <t>HMDC (PCI ACHI codes)?Subsequent Cardiobase records?</t>
  </si>
  <si>
    <t>wa_PCI30_hmdc</t>
  </si>
  <si>
    <t xml:space="preserve">Reject file if  crh30_2=1 AND pci30_2 is NULL
Reject file if crh30_2=NULL and pci30_2 has data from the ncr tab: follow_up </t>
  </si>
  <si>
    <t>wa_PCI30_2_hmdc</t>
  </si>
  <si>
    <t xml:space="preserve">Reject file if  crh30_3=1 AND pci30_3 is NULL
Reject file if crh30_3=NULL and pci30_3 has data from the ncr tab: follow_up </t>
  </si>
  <si>
    <t>wa_PCI30_3_hmdc</t>
  </si>
  <si>
    <t xml:space="preserve">Reject file if  crh30_4=1 AND pci30_4 is NULL
Reject file if crh30_4=NULL and pci30_4 has data from the ncr tab: follow_up </t>
  </si>
  <si>
    <t>wa_PCI30_4_hmdc</t>
  </si>
  <si>
    <t xml:space="preserve">Reject file if  crh30_5=1 AND pci30_5 is NULL
Reject file if crh30_5=NULL and pci30_5 has data from the ncr tab: follow_up </t>
  </si>
  <si>
    <t>wa_PCI30_5_hmdc</t>
  </si>
  <si>
    <t xml:space="preserve">Reject file if  crh30_6=1 AND pci30_6 is NULL
Reject file if crh30_6=NULL and pci30_6 has data from the ncr tab: follow_up </t>
  </si>
  <si>
    <t>wa_PCI30_6_hmdc</t>
  </si>
  <si>
    <t>Whats was the patients postcode at the time of admission?</t>
  </si>
  <si>
    <t>Numeric [4]</t>
  </si>
  <si>
    <t>Field cannot be blank when ARIA and SEIFA are null.</t>
  </si>
  <si>
    <t>Reject file when NULL if seifa and aria are also NULL.</t>
  </si>
  <si>
    <t>What was the last pre-procedure creatinine? Record the last serum creatinine levels recorded within 60 days prior to the current PCI (in μmol/L). Note: To convert from mmol/L to μmol/L multiply by 1000 or move decimal point 3 spaces to the right.</t>
  </si>
  <si>
    <t xml:space="preserve">npcr must be empty Reject file if npcr=1 and pcr have data
Reject file if both pcr AND ncpr are NULL from the ncr tab: admission_preprocedural </t>
  </si>
  <si>
    <t>2000</t>
  </si>
  <si>
    <t>If npcr is NULL</t>
  </si>
  <si>
    <t>Cardiobase Risk Score
Only includes RPH/FSH</t>
  </si>
  <si>
    <t>Which entry location was used to provide access for the procedure? Indicate the percutaneous entry location used to provide arterial vascular access for the procedure.  Note: If crossover occurred, select the percutaneous entry location that successfully facilitated the index PCI procedure.</t>
  </si>
  <si>
    <t>Where patient 'Type of ACS' coded as ‘STEMI’, Indicate if the PCI hospital was notified via electronic ECG transmission (or equivalent) from a paramedic field triage service prior to their arrival at the PCI hospital.   Indicate if the PCI hospital was notified via electronic ECG transmission (or equivalent) from a paramedic field triage service prior to their arrival at the PCI hospital</t>
  </si>
  <si>
    <t xml:space="preserve">Reject file if acst=3 and phn is NULL from the ncr tab: procedure </t>
  </si>
  <si>
    <t>Cardiobase (identified) or WACOR data collection tool.  
Cardiobase field maps exactly to NCR variable (0 no, 1  Yes)
No SJA data yet, needs follow up with SJA to request data or DOH contract team.</t>
  </si>
  <si>
    <t>Was the patient intubated before the PCI procedure commenced? Indicate if the patient was intubated prior to the PCI procedure. Note: intubation during the procedure should be coded under "Procedural intubation required: pintr"</t>
  </si>
  <si>
    <t xml:space="preserve">Reject file if pint is NULL from the ncr tab: admission_preprocedural </t>
  </si>
  <si>
    <t>Cardiobase. Not available</t>
  </si>
  <si>
    <t>Was the patient intubated during the procedure? Indicate whether the patient was intubated during the index PCI procedure.</t>
  </si>
  <si>
    <t>Multiple potential sources: Review HMDS for clinical coding.  Source 2 : cardiobase.
BW - JC suggested following ACHI codes from HMDC:
22007-00 – endotrachial intubation, single lumen
22007-01 – management of endotrachial intubation, single lumen
22008-00 - endotracheal intubation, double lumen
22008-01 - management of endotracheal intubation, double lumen
90179-00 - endotracheal intubation, single lumen
90179-01 - endotracheal intubation, double lumen
90179-02 – nasopharyngeal intubation
90179-03 - management endotracheal intubation, single lumen
90179-04 - management endotracheal intubation, double lumen
90179-05 – management of nasopharyngeal intubation
92035-00 - other intubation of respiratory tract
92035-01 – management of other intubation of respiratory tract</t>
  </si>
  <si>
    <t>Who was the interventional cardiologist responsible the for the PCI? The unique code of the cardiologist/clinician who is ultimately responsible for the PCI as allocated by the State Registry.</t>
  </si>
  <si>
    <t xml:space="preserve">Alpha is for state e.g. NSW N213366, VIC V1236999 from the ncr tab: admission_preprocedural </t>
  </si>
  <si>
    <t>free text</t>
  </si>
  <si>
    <t>WA PCI Dataset  (formerly WACOR) generated, needs independent lookup table linked to practitioner.  Needs separate table.</t>
  </si>
  <si>
    <t>Has the patient had a prior PCI? Indicate if patient has had a prior Percutaneous Transluminal Coronary Angioplasty, Coronary Atherectomy, and/or coronary stent done at any time prior to the current PCI procedure. 
Note: This may include a PCI performed during the current admission.</t>
  </si>
  <si>
    <t>Cardiobase Prior PTCA</t>
  </si>
  <si>
    <t>wa_p_pci_hmdc
wa_PriorPCI_cbap
wa_p_pci_merged</t>
  </si>
  <si>
    <t>From the Disease Register HMDC_PCI
https://github.com/AUS-DOH-Safety-and-Quality/Disease-Register
Merged with Prior PTCA from cardiobase</t>
  </si>
  <si>
    <t>1=Public
2=Private</t>
  </si>
  <si>
    <t>Does the patient have a history of PVD with intervention? Note: only respond to PVD1 or PVD2Indicate if the patient displays evidence of either chronic or acute PVD. The presence of PVD must be demonstrated by vascular reconstruction or amputation for arterial insufficiency, bypass surgery or percutaneous intervention.
Note: This definition of PVD must be accompanied with intervention such as reconstruction, amputation, surgery or percutaneous intervention.  Includes the aorta, extremities and carotid vessels. If no intervention select the broader option of PVD 2.</t>
  </si>
  <si>
    <t xml:space="preserve">Can only have data in pvd1 OR pvd2 not both Reject file if PVD1 and PVD2 both have data
Reject file if PVD1 and PVD2 are both NULL from the ncr tab: admission_preprocedural </t>
  </si>
  <si>
    <t>Derivable with history from HMDS, and/or NACS, and/or Cardiobase - needs additional variables to be added to explain why this field is set to  TRUE and originating data source.
METEOR ref will require refinement for WACOR.
Refer to PCI procedure list, CABG procedure list.
Question for cardiologist colleagues, include TAVI, (? any revascularisation), amputation.
ICD-10 Codes PVD: I73, I73.8, I73.9, I70.2x
ICD-10 Codes for procedure: 
PCI procedure list, CABG procedure list plus 38640-00 [664] - Reoperation for other cardiac procedure, not elsewhere classified, 35202-00 [763] - Reoperation of arteries or veins, not elsewhere classified
Implemented in ETL0704
Requires vascular clinician review - PARK for now as not required for QI</t>
  </si>
  <si>
    <t>If pvd2 is NULL</t>
  </si>
  <si>
    <t>Does the patient have a history of PVD with or without intervention?  Note: only respond to PVD1 or PVD2Indicate if the patient has a current or previous history of peripheral vascular disease (includes subclavian, iliac, femoral, and upper- and lower-extremity vessels; excludes renal, coronary, cerebral, and mesenteric vessels and aneurysms). This can include: Claudication on exertion, Amputation for arterial vascular insufficiency, Vascular reconstruction, bypass surgery, or percutaneous revascularization in the arteries of the extremities, Positive non-invasive test (e.g., ankle brachial index &lt;= 0.9, ultrasound, MR or CT imaging of &gt;50% diameter stenosis in any peripheral artery (i.e., subclavian, femoral, iliac) or angiographic imaging)</t>
  </si>
  <si>
    <t xml:space="preserve">Can only have data in pvd1 OR pvd2 not both Reject file if PVD1 and PVD2 both have data
Reject file if PVD1 and PVD2 are both NULL  from the ncr tab: admission_preprocedural </t>
  </si>
  <si>
    <r>
      <rPr>
        <sz val="11"/>
        <color rgb="FF000000"/>
        <rFont val="Arial"/>
        <family val="2"/>
      </rPr>
      <t xml:space="preserve">Derivable with history from HMDS, and/or NACS, and/or Cardiobase - needs additional variables to be added to explain why this field is set to  TRUE and originating data source.
ICD-10 Codes PVD: I73, I73.8, I73.9, I70.2x, </t>
    </r>
    <r>
      <rPr>
        <b/>
        <sz val="11"/>
        <color rgb="FF000000"/>
        <rFont val="Arial"/>
        <family val="2"/>
      </rPr>
      <t xml:space="preserve">T81.x, T82.x, T82.8x, T82.9
</t>
    </r>
    <r>
      <rPr>
        <sz val="11"/>
        <color rgb="FF000000"/>
        <rFont val="Arial"/>
        <family val="2"/>
      </rPr>
      <t xml:space="preserve">
Implemented in ETL0704
Requires vascular clinician review - PARK for now as not required for QI</t>
    </r>
  </si>
  <si>
    <t>If pvd1 is NULL</t>
  </si>
  <si>
    <t>Cardiovascular Disease Type - "Peripheral arterial disease"?
HMDC_PVD - https://hsswa.australia-east.azure.snowflakecomputing.com/console#/internal/worksheet</t>
  </si>
  <si>
    <t>Cardiobase Risk Score Module
Only RPH / FSH values</t>
  </si>
  <si>
    <t>Where cardiac rehospitalisation is coded as 'Yes', on what date was the rehospitalisation? Indicate the date of cardiac rehospitalisation</t>
  </si>
  <si>
    <t xml:space="preserve">Up to 6 rehospitalisations be entered.  
 Fields are coded in data extract as CRH30, CRH30_2, CRH30_3-5..,Reject file if rhdte &gt;dod + 30
Reject file if rhdte &lt;dod
Reject file if crh30 =1 and rhdte is NULL
Reject file if crh30=0 and rhdte has data from the ncr tab: follow_up </t>
  </si>
  <si>
    <t>The date of rehospitalisation - admission date assuming ED attendances are excluded.  (The WACOR registry should query with the NCR to see if there is a reason the NCR avoids the term readmission).</t>
  </si>
  <si>
    <t>wa_RHDTE30_hmdc</t>
  </si>
  <si>
    <t xml:space="preserve">Reject file if rhdte_2 &gt;dod + 30
Reject file if rhdte_2 &lt;dod
Reject file if crh30_2 =1 and rhdte_2 is NULL
Reject file if crh30_2=NULL and rhdte_2 has data from the ncr tab: follow_up </t>
  </si>
  <si>
    <t>wa_RHDTE30_2_hmdc</t>
  </si>
  <si>
    <t xml:space="preserve">Reject file if rhdte_3 &gt;dod + 30
Reject file if rhdte_3 &lt;dod
Reject file if crh30_3 =1 and rhdte_3 is NULL
Reject file if crh30_3=NULL and rhdte_3 has data from the ncr tab: follow_up </t>
  </si>
  <si>
    <t>wa_RHDTE30_3_hmdc</t>
  </si>
  <si>
    <t xml:space="preserve">Reject file if rhdte_4 &gt;dod + 30
Reject file if rhdte_4 &lt;dod
Reject file if crh30_4 =1 and rhdte_4 is NULL
Reject file if crh30_4=NULL and rhdte_4 has data from the ncr tab: follow_up </t>
  </si>
  <si>
    <t>wa_RHDTE30_4_hmdc</t>
  </si>
  <si>
    <t xml:space="preserve">Reject file if rhdte_5 &gt;dod + 30
Reject file if rhdte_5 &lt;dod
Reject file if crh30_5 =1 and rhdte_5 is NULL
Reject file if crh30_5=NULL and rhdte_5 has data from the ncr tab: follow_up </t>
  </si>
  <si>
    <t>wa_RHDTE30_5_hmdc</t>
  </si>
  <si>
    <t xml:space="preserve">Reject file if rhdte_6 &gt;dod + 30
Reject file if rhdte_6 &lt;dod
Reject file if crh30_6 =1 and rhdte_6 is NULL
Reject file if crh30_6=NULL and rhdte_6 has data from the ncr tab: follow_up </t>
  </si>
  <si>
    <t>wa_RHDTE30_6_hmdc</t>
  </si>
  <si>
    <t>Index of Relative Socio-economic Disadvantage</t>
  </si>
  <si>
    <t>1=Most Disadvantaged
2
3
4
5
6
7
8
9
10=Least Disadvantaged</t>
  </si>
  <si>
    <t>Reject file if SEIFA is null and pcode is null.</t>
  </si>
  <si>
    <t xml:space="preserve">Reject file if sex is NULL from the ncr tab: patient </t>
  </si>
  <si>
    <t>1=Male
2=Female</t>
  </si>
  <si>
    <t>Hmds (mapped already in business rules).  In WA (September 2022) the HMDS definitions for sex are being consulted upon to reflect sex and gender expression.  The consultation is expected to result in changes to the recording of sex in WA Health's core datasets.    
NCR to be advised of the expected changes, and concurrent national definitional changes.
METEOR ref will require refinement for WACOR.</t>
  </si>
  <si>
    <t>Was the patient in cardiogenic shock at the time of index PCI? Indicate if the patient was in cardiogenic shock at the time of index PCI. 
There may be some minor variation in the way participating registries define this item.
Cardiogenic supporting definition:
Transient episodes of hypotension reversed with IV fluid or atropine do not constitute cardiogenic shock. Cardiogenic shock is coded as ‘yes’ if all of the following apply: 1. Sustained (&gt;30 minutes) episode of systolic blood pressure &lt;90 mm Hg (or vasopressors required to maintain BP &gt;90 mm Hg); AND 2. Evidence of elevated filling pressures (e.g. pulmonary congestion on examination or chest radiograph); AND 3. Evidence of end organ hypoperfusion (e.g. urine output 30mL/hour; or cold/diaphoretic extremities; or altered mental status, etc.).</t>
  </si>
  <si>
    <t xml:space="preserve">Reject file if shock is NULL from the ncr tab: admission_preprocedural </t>
  </si>
  <si>
    <t>Cardiobase (see field 'Indication' where the value is cardiogenic shock).  HMDS or HIH (ICD R57.0 symptom)</t>
  </si>
  <si>
    <t>wa_cardiogenic_shock_hmdc</t>
  </si>
  <si>
    <t>Cardiovascular Disease Type - "Hypotension and shock"</t>
  </si>
  <si>
    <t>From the SQL Query HMDC_Cardiogenic_Shock
https://github.com/AUS-DOH-Safety-and-Quality/Snowflake-SQL/tree/main/PCI</t>
  </si>
  <si>
    <t>Reject file for inactive sites</t>
  </si>
  <si>
    <t>Hospital is allocated in NCR if no longer active</t>
  </si>
  <si>
    <t>History confirming any form of tobacco used in the past. This includes manufactured (packet) cigarettes, roll-your-own cigarettes, cigars and pipes.</t>
  </si>
  <si>
    <t>0=Never Smoked
1=Previously smoked - more than one month prior to this admission.
2=Currently smoking - within 1 month of this admission</t>
  </si>
  <si>
    <t xml:space="preserve">SOFMC= [tfmc-tso] + [dfmc-dso]Derived variable from the ncr tab: procedure </t>
  </si>
  <si>
    <t xml:space="preserve">sor = [tbd-tso] + [dbd-dso]  (expressed in minutes) from the ncr tab: procedure </t>
  </si>
  <si>
    <t>Where patient 'Type of ACS' coded as ‘STEMI’, did the patient present to the hospital without an ambulance? Indicate if the patient presented to hospital by way of their own means e.g. not in an ambulance or other emergency vehicle.</t>
  </si>
  <si>
    <t xml:space="preserve">Reject file if acst=3 and spr is NULL from the ncr tab: procedure </t>
  </si>
  <si>
    <t>Identifiable from the EDDC dataset and HMDS (from source of referral-location = home)</t>
  </si>
  <si>
    <t>wa_spr_hmdc,
wa_spr_eddc</t>
  </si>
  <si>
    <t>From the Disease Register HMDC_SPR
https://github.com/AUS-DOH-Safety-and-Quality/Disease-Register
Merged EDDC and HMDC data to make wa_spr_merged
If ACST = 3 take the value in wa_spr_merged else blank
Only columns with ACST = 3 are filled</t>
  </si>
  <si>
    <t>Did a stent thrombosis occur during the 30-day follow-up period? Indicate whether a stent thrombosis occurred within 30 days from the date of discharge from the current admission.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Select ONE of the following options that apply:
-No stent thrombosis: Where there are no acute coronary syndrome (ACS) symptoms or death after the index PCI lab visit and/or prior to discharge OR ACS symptoms occur during the defined period, but angiographic evidence does not indicate thrombus or occlusion.
-Definite stent thrombosis: The presence of an ACS with angiographic or autopsy evidence of thrombus or occlusion.
-Probable stent thrombosis: Includes unexplained deaths during the index admission after the procedure or acute myocardial infarction involving the target-vessel territory without angiographic or autopsy confirmation.
-Silent stent thrombosis: The incidental angiographic documentation of stent occlusion in the absence of clinical
signs or symptoms is not considered stent thrombosis.
-Unknown</t>
  </si>
  <si>
    <t xml:space="preserve">Reject file if NULL and STAT30≥0
Reject file if stat30=-1 and st30 contains data
Reject file if dis=6 and st30 contains data from the ncr tab: follow_up </t>
  </si>
  <si>
    <t xml:space="preserve">
0=No stent thrombosis 
1=Definite stent thrombosis  
2=Probable stent thrombosis
3=Silent stent thrombosis
-1 =Unknown</t>
  </si>
  <si>
    <t>Refers to post-discharge thrombosis, cardiobase may not record the date of thrombosis, therefore hard to identify.
Requires business rule to identify patients who are treated for PCI where the indication for PCI is stent thrombosis (identifies partial cohort for this group of patients)
ICD code for stent thrombosis to help to identify. T82.2
ED Dataset
NACS
BW - T82.2 refers to "Mechanical complication of coronary artery bypass graft and biological heart valve graft"</t>
  </si>
  <si>
    <t>Was the patient alive or dead at follow-up? Indicate whether the patient was alive or dead at 30 days after discharge from the index admission.</t>
  </si>
  <si>
    <t xml:space="preserve">Reject file if stat30 is NULL AND dis=1-5
Reject file if dis=6 and stat30 contains data from the ncr tab: follow_up </t>
  </si>
  <si>
    <t>0 = Alive
1 = Deceased
-1 = Lost to follow-up</t>
  </si>
  <si>
    <t>The WACOR data dictionary should derive this field from the date of death (i.e. if date of death exists, then patient is deceased).</t>
  </si>
  <si>
    <t>If dis=1-5</t>
  </si>
  <si>
    <t xml:space="preserve">Merge with Death Registry to find the date if death, if the patient has died &gt; 30 days then 0 else if the patient has no death record 1
</t>
  </si>
  <si>
    <t>For NCR users this describes the state which the user represents.</t>
  </si>
  <si>
    <t xml:space="preserve">NCR staff to have access to all, some s/t registries will manage contributions for other s/ts (e.g. VIC for TAS) from the ncr tab: user </t>
  </si>
  <si>
    <t>Check all that apply:
ACT
NSW
NT
QLD
SA
TAS
VIC
WA</t>
  </si>
  <si>
    <t>What was the total radiation dose? Indicate the total radiation dose (Cumulative Air Kerma, or Reference Air Kerma) recorded to the nearest milligray (mGy). The value recorded should include the total dose for the lab visit. Cumulative air kerma is the total air kerma accrued from the
beginning of an examination or procedure and includes all contributions from fluoroscopic and radiographic irradiation.</t>
  </si>
  <si>
    <t>NNNNN</t>
  </si>
  <si>
    <t>99999</t>
  </si>
  <si>
    <t>Where patient 'Type of ACS' coded as ‘STEMI’, at what time was the first device used? Indicate the time the first device was used to treat the target lesion. Examples of the first device used include, but are not limited to: balloon; thrombectomy device; atherectomy device or stent.  If the lesion cannot be crossed by the guidewire or device, use the time that the guide catheter was introduced.
Note: This is a process measure, not a clinical outcomes measure and, as such, is not related to the timing of or whether TIMI 3 flow was/was not restored.</t>
  </si>
  <si>
    <t xml:space="preserve">24 hour clock format only Reject file if acst=3 and tbd is NULL  from the ncr tab: procedure </t>
  </si>
  <si>
    <t>00:00</t>
  </si>
  <si>
    <t>23:59</t>
  </si>
  <si>
    <t>Cardiobase.[TIME_FIRST_BALLOON_INFLATION_DT]</t>
  </si>
  <si>
    <t>Cardiobase TIME_FIRST_BALLOON_INFLATION_DT</t>
  </si>
  <si>
    <t>Where 'Type of ACS' coded as ‘STEMI’, what was the time of diagnostic ECG? Indicate the time of the diagnostic electrocardiogram (ECG). The ECG recorded that shows evidence of ECG abnormalities consistent with a STEMI or suspected STEMI event.
Note: The diagnostic ECG may have been before admission to this hospital.</t>
  </si>
  <si>
    <t xml:space="preserve">Reject file if acst = 3 and tecgd is  NULL
Reject file when tecgd&gt;tbd and decgd=dop from the ncr tab: procedure </t>
  </si>
  <si>
    <t>Cardiobase FIRST_ECG_TIME_DT</t>
  </si>
  <si>
    <t>Where 'Type of ACS' coded as ‘STEMI’, what was the time of First Medical Contact? Indicate the time at which the patient first received medical attention (either by ambulance arriving, attendance at hospital or from a general practitioner) for their ACS symptoms.
Note: Seeking medical attention could include the person presenting to their GP who then refers them to hospital or the person presenting directly to hospital, or the arrival of the ambulance service. If the person is already a patient at the hospital for another reason then the time recorded would be when they advised hospital staff of their symptoms.</t>
  </si>
  <si>
    <t xml:space="preserve">Reject file if acst = 3 and tfmc is  NULL
Reject file when tfmc&gt;tbd and dfmc=dop
Reject file when tfmc&lt;tso and dfmc=dso from the ncr tab: procedure </t>
  </si>
  <si>
    <t xml:space="preserve">Multiple sources: EDIS presenting complaint, NACS may indicate where (not necessarily a date).  SJA? If none of the prior options, potentially in future from patient data collection tool </t>
  </si>
  <si>
    <t>What was the total fluoroscopy time? Indicate the total fluoroscopy time in mins. Report to the nearest 0.1 min</t>
  </si>
  <si>
    <t xml:space="preserve">Reject file if value entered if &gt;300 from the ncr tab: procedure </t>
  </si>
  <si>
    <t>0.1</t>
  </si>
  <si>
    <t>300.0</t>
  </si>
  <si>
    <t>NCR 2021 Information Release ( Cardiobase.[Procedure Time] )</t>
  </si>
  <si>
    <t xml:space="preserve">? if cabg classed as revascularisation
</t>
  </si>
  <si>
    <t>Where PCI rehospitalisation  is coded as 'Yes', was the target LESION revascularised during the post-discharge subsequent PCI? Indicate whether the target LESION was revascularised during the post-discharge subsequent PCI. 
Note:  A target lesion revascularisation (TLR) is any repeated PERCUTANEOUS revascularisation of the same LESION treated during the index PCI.  
This includes treatment of a restenosis/occlusion within a stent implanted during the index PCI (or within 5-mm of the proximal and distal margins of the stent edges). It also includes attempts to revascularise the target lesion where a stent was not successfully implanted and/or plain old balloon angioplasty (POBA) was employed during the index PCI.</t>
  </si>
  <si>
    <t xml:space="preserve">Up to 6 rehospitalisations be entered.  
 Fields are coded in data extract as CRH30, CRH30_2, CRH30_3-5..,Reject file if tvr30 =0 or -1 and tlr30 has data
Reject file if tvr30=1 and tlr30 is NULL from the ncr tab: follow_up </t>
  </si>
  <si>
    <t xml:space="preserve">The underlying cardiobase data extract includes individual vessel identifier and lesion identification.  This patient-procedure-lesion identifier should be created.  If the same patient-procedure-lesion identifier is found within subsequent admissions it should be given a subsequent sequence identifier (i.e. -1, -2). </t>
  </si>
  <si>
    <t>If tvr30=1</t>
  </si>
  <si>
    <t xml:space="preserve">For patients arriving by ambulance, the date the patient was handed over to the receiving care professional. 
This may be blank for patients not arriving by ambulance.
</t>
  </si>
  <si>
    <t>This definition is not in the NCR data dictionary.</t>
  </si>
  <si>
    <t xml:space="preserve"> </t>
  </si>
  <si>
    <t>10 = definition drafted</t>
  </si>
  <si>
    <t>Data is entered for patients arriving by ambulance. Includes non-emergency patient transport vehicles.  Handover is the date and time when the hospital's clinical staff take clinical responsibility for the patient.  This is the time the Ambulance Crew are no longer clinically responsible for the patient and are free to return to the Ambulance.
Handover may be provided to clinicians (including a nurse or doctor) when the patient is transferred to the cath lab, emergency department,  hospital bed, care area or waiting room.   Paramedics may need to retrieve some ambulance equipment prior to completion of handover.   Ambulance handover is recorded as the actual date that has been confirmed by the ambulance paramedics.  Ambulance handover time does not include: Paramedics watching how a patient is managed in the hospital subsequent to 
handover, cleaning of equipment and re-stocking of ambulance vehicle.</t>
  </si>
  <si>
    <t>NOTE: needs confirmation with SJA (i.e. the field we are calling time of arrival is the only one available, but suspect it is arrival at the hospital, not the time that the patient was handed over.  So, for example for patients who are in an ambulance on the ramp outside the hospital, they may 'arrive' but not be transferred to the care of the hospital yet.   The intent of the time of arrival (toa) is to measure the time the patient arrived at the hospital for care, not the time th ambulance pulled up outside.
Definition originally sourced from :
Victoria : https://www.vgls.vic.gov.au/client/en_AU/search/asset/1299812/0 
NHS England: https://view.officeapps.live.com/op/view.aspx?src=https%3A%2F%2Fwww.england.nhs.uk%2Fwp-content%2Fuploads%2F2017%2F04%2Femergency-ambulance-specification.xlsx&amp;wdOrigin=BROWSELINK
NHS Wales :http://www.datadictionary.wales.nhs.uk/index.html#!WordDocuments/clinicalhandovertime.htm</t>
  </si>
  <si>
    <t>No.  
Should we make this columns options 'Required for WA', 'Required for NCR' etc…?</t>
  </si>
  <si>
    <t>wa_amb_handover_date must be the same day or earlier than the dop (PCI date of procedure).</t>
  </si>
  <si>
    <t xml:space="preserve">For patients arriving by ambulance, the time the patient was handed over to the receiving care professional. 
This may be blank for patients not arriving by ambulance.
</t>
  </si>
  <si>
    <t>Definition originally sourced from :
Victoria : https://www.vgls.vic.gov.au/client/en_AU/search/asset/1299812/0 
NHS England: https://view.officeapps.live.com/op/view.aspx?src=https%3A%2F%2Fwww.england.nhs.uk%2Fwp-content%2Fuploads%2F2017%2F04%2Femergency-ambulance-specification.xlsx&amp;wdOrigin=BROWSELINK
NHS Wales :http://www.datadictionary.wales.nhs.uk/index.html#!WordDocuments/clinicalhandovertime.htm</t>
  </si>
  <si>
    <t>A derived identifier from clinically coded data.</t>
  </si>
  <si>
    <t>1 or 0</t>
  </si>
  <si>
    <t>This derives its meaning from the World Health Organisation's Classification of Diseases (ICD-10-AM).  The description has been entered into the casenotes as a confirmed diagnosis and coded by trained staff.</t>
  </si>
  <si>
    <t>A related definition can be found in the Acute Coronary Syndrome event type codes: https://meteor.aihw.gov.au/content/338254</t>
  </si>
  <si>
    <t xml:space="preserve">Date of patient arrival in the hospital Cath Lab for the procedure. </t>
  </si>
  <si>
    <t>N/A</t>
  </si>
  <si>
    <t>1 = definition drafted</t>
  </si>
  <si>
    <t>TBA</t>
  </si>
  <si>
    <t xml:space="preserve">No currently captured in Cardiobase.  Investigate Syngo as source. </t>
  </si>
  <si>
    <t xml:space="preserve">Nil </t>
  </si>
  <si>
    <t xml:space="preserve">Time the patient arrived in the hospital Cath Lab for the procedure. ? Is this the same as triage_time_DT collected in Cardiobase? </t>
  </si>
  <si>
    <t xml:space="preserve">Believe this is captured in Syngo not in Cardiobase.   Investigating interface to retrieve this date/time. </t>
  </si>
  <si>
    <t xml:space="preserve">Reject file if tvr30_2 =0 or -1 and tlr30_2 has data
Reject file if tvr30_2=1 and tlr30_2 is NULL from the ncr tab: follow_up </t>
  </si>
  <si>
    <t xml:space="preserve">Reject file if tvr30_3 =0 or -1 and tlr30_3 has data
Reject file if tvr30_3=1 and tlr30_3 is NULL from the ncr tab: follow_up </t>
  </si>
  <si>
    <t>This is the date the balloon or device was inflated.</t>
  </si>
  <si>
    <t>This data element splits the balloon or device date time into a single piece of information (date).  This makes daily reporting easier.</t>
  </si>
  <si>
    <t>The date the patient was admitted to the emergency department in the hospital the treating cath lab is located in</t>
  </si>
  <si>
    <t>NOTE: TIME_OF ARRIVAL_ED currently not used in Cardiobase.  Investigate EDIS as data source Presentation DateTime (YYY-MM-DD HH:MM:SS) may be suitable. It is derived from the earlier of Arrival DateTime and Triage DateTime in EDIS</t>
  </si>
  <si>
    <t>Must be same day or before dop (date of procedure)</t>
  </si>
  <si>
    <t>Data-Dictionary-Emergency-Department.docx (live.com)</t>
  </si>
  <si>
    <t>The time the patient was admitted to the emergency department in the hospital the treating cath lab is located in</t>
  </si>
  <si>
    <t xml:space="preserve">Reject file if tvr30_4 =0 or -1 and tlr30_4 has data
Reject file if tvr30_4=1 and tlr30_4 is NULL from the ncr tab: follow_up </t>
  </si>
  <si>
    <t xml:space="preserve">Reject file if tvr30_5 =0 or -1 and tlr30_5 has data
Reject file if tvr30_5=1 and tlr30_5 is NULL from the ncr tab: follow_up </t>
  </si>
  <si>
    <t>The time the balloon or device was inflated, in 24h format.</t>
  </si>
  <si>
    <t>This data element splits the balloon or device date time into a single piece of information (time).  This makes hourly reporting easier.</t>
  </si>
  <si>
    <t xml:space="preserve">Reject file if pci30_6 =0 or -1 and tlr30_6 has data
Reject file if pci30_6=1 and tlr30_6 is NULL from the ncr tab: follow_up </t>
  </si>
  <si>
    <t xml:space="preserve">Derived field from the earliest of: 
i) ambulance handover time
ii) emergency department arrival time (Emergency Department dataset : arrival_datetime) 
iii) ward admission time
iv) cath lab arrival time
</t>
  </si>
  <si>
    <t>At what time did the patient arrive at the PCI hospital? Indicate the time the patient arrived at the PCI hospital. 
Note: This is the time that the patient arrived at the PCI hospital and when they were triaged (entered into the hospital administrative system).</t>
  </si>
  <si>
    <t xml:space="preserve">This field is required for creating an NCR record.
Reject file if  NULL
Reject file if doa, toa, dop, top and patientID are all the same across multiple entries within this import
 from the ncr tab: admission_preprocedural </t>
  </si>
  <si>
    <t>EDDC DD</t>
  </si>
  <si>
    <t>This data element is derived from the earliest available time which is recorded for the patient's attendance at a hospital.  This is taken from the data elements shown in the wa_definition column.</t>
  </si>
  <si>
    <t>hmds - needs clarification with webpas team on direct admissions to cath lab, or business rule to take date &amp; time of arrival at cath lab as this field. Would need from Cardiobase - needs discussion with vendor/CardioBase leads.
ETL0701 - ETL0703,
ETL0814,
ETL1112
ETL1207</t>
  </si>
  <si>
    <t>Choose the first non-null value and then take the time period from:
TIME_ARRIVAL_SJA
ARRIVAL_DATETIME_EDDC 
TRIAGE_DATETIME_EDDC
TIME_OF_ARRIVAL_ED
TRIAGE_TIME_DT
admission_datetime_hmdc
TIME_ON_TABLE_DT
TIME_FIRST_BALLOON_INFLATION_DT
Else use TEST_DATE + "00:00:00"</t>
  </si>
  <si>
    <t>The date the patient was admitted into a ward or other patient unit (e.g. ED Short Stay Unit).
This will be blank if the patient was not admitted into a ward.</t>
  </si>
  <si>
    <t>Webpas, HMDS, EDCC</t>
  </si>
  <si>
    <t>At what time was the PCI performed? The time the patient crossed the threshold of entry into the catheter laboratory for the current PCI.</t>
  </si>
  <si>
    <t xml:space="preserve">This field is required for creating an NCR record.
Reject file if dop=doa and top &lt; toa
Reject file if top is NULL
Reject file if doa, toa, dop, top and patientID are all the same across multiple entries within this import from the ncr tab: admission_preprocedural </t>
  </si>
  <si>
    <t>Cardiobase - needs validation &amp; engagement with vendor.  Should this be the same as the Cath Lab Arrival Time or should it be when the procedure actually commences?</t>
  </si>
  <si>
    <t>The time the patient was admitted into a ward or other patient unit (e.g. ED Short Stay Unit).
This will be blank if the patient was not admitted into a ward.</t>
  </si>
  <si>
    <t>Webpas user guide / hmds data dictionary</t>
  </si>
  <si>
    <t xml:space="preserve">No </t>
  </si>
  <si>
    <t>A derived attribute from clinically coded data, referring to patients who have a diabetes code attached to the hospital stay.</t>
  </si>
  <si>
    <t>Not applicable, State derived clinical attribute.</t>
  </si>
  <si>
    <t>Not applicable.</t>
  </si>
  <si>
    <t>NA</t>
  </si>
  <si>
    <t>1 or null</t>
  </si>
  <si>
    <t>null</t>
  </si>
  <si>
    <t xml:space="preserve">This derives its meaning from the World Health Organisation's Classification of Diseases (ICD-10-AM).  The description has been entered into the casenotes as a confirmed diagnosis and coded by trained staff.   The codes used are E10, E11, E12, E13, E14 and Z86.3.   </t>
  </si>
  <si>
    <t>The current iteration of this looks at the current episode of care only.</t>
  </si>
  <si>
    <t>A derived attribute from clinically coded data, referring to patients who have an MI attached to this hospital stay.</t>
  </si>
  <si>
    <t>Where item Acute coronary syndrome (ACS) was coded ‘yes’, at what time did the ACS symptoms start that prompted them to seek medical treatment? The time at which a person experienced ACS symptoms that prompted them to seek medical attention (on the date outlined in 'Date of ACS symptom onset' in 24 hour clock (HH:MM) format.
If the symptom onset time is not specified in the medical record, it may be recorded as 0700 for morning; 1200 for lunchtime; 1500 for afternoon; 1800 for dinnertime; 2200 for evening and 0300 if awakened from sleep</t>
  </si>
  <si>
    <t xml:space="preserve">There must be data in tso OR ntso Reject file if acs=1 and tso AND ntso is NULL
Reject file if tso has data and ntso =1 from the ncr tab: procedure </t>
  </si>
  <si>
    <t>Where CABG rehospitalisation  is coded as 'Yes', did the surgery involved the placing of coronary artery bypass grafts to revascularise the target vessel treated during the index Indicate whether the surgery involved the placing of coronary artery bypass grafts to revascularise the target vessel treated during the index PCI</t>
  </si>
  <si>
    <t xml:space="preserve">Up to 6 rehospitalisations be entered.  
 Fields are coded in data extract as CRH30, CRH30_2, CRH30_3-5..,Reject file if cab30 =0, or -1, or NULL and tvcab30 has data
Reject file if cab30=1 and tvcab30 is NULL from the ncr tab: follow_up </t>
  </si>
  <si>
    <t>We need to talk to some cardiothoracic surgeons.
Possibly available from a Cardiothoracic surgical system?</t>
  </si>
  <si>
    <t>If cab30=1</t>
  </si>
  <si>
    <t xml:space="preserve">Reject file if cab30_2 =0, or -1, or NULL and tvcab30_2 has data
Reject file if cab30_2=1 and tvcab30_2 is NULL from the ncr tab: follow_up </t>
  </si>
  <si>
    <t xml:space="preserve">Reject file if cab30_3 =0, or -1, or NULL and tvcab30_3 has data
Reject file if cab30_3=1 and tvcab30_3 is NULL from the ncr tab: follow_up </t>
  </si>
  <si>
    <t xml:space="preserve">Reject file if cab30_4 =0, or -1, or NULL and tvcab30_4 has data
Reject file if cab30_4=1 and tvcab30_4 is NULL from the ncr tab: follow_up </t>
  </si>
  <si>
    <t xml:space="preserve">Reject file if cab30_5 =0, or -1, or NULL and tvcab30_5 has data
Reject file if cab30_5=1 and tvcab30_5 is NULL from the ncr tab: follow_up </t>
  </si>
  <si>
    <t xml:space="preserve">Reject file if cab30_6 =0, or -1, or NULL and tvcab30_6 has data
Reject file if cab30_6=1 and tvcab30_6 is NULL from the ncr tab: follow_up </t>
  </si>
  <si>
    <t>Where PCI rehospitalisation  is coded as 'Yes', was the target VESSEL revascularised during the post-discharge subsequent PCI? Indicate whether the target VESSEL was revascularised during the post-discharge subsequent PCI. 
Note: A PCI TVR is any repeated PERCUTANEOUS revascularisation due to restenosis/occlusion within the target coronary artery and/or the same arterial branch that was treated during the index PCI. 
This includes any percutaneous revascularisation within the same arterial branch treated during the index PCI, regardless of whether the index PCI was successful.</t>
  </si>
  <si>
    <t xml:space="preserve">Up to 6 rehospitalisations be entered.  
 Fields are coded in data extract as CRH30, CRH30_2, CRH30_3-5..,Reject file if pci30 =0 or -1 and tvr30 has data
Reject file if pci30=1 and tvr30 is NULL from the ncr tab: follow_up </t>
  </si>
  <si>
    <t xml:space="preserve">The underlying cardiobase data extract includes individual vessel identifier and lesion identification.  This patient-procedure-vessel identifier should be created.  If the same patient-procedure-vessel identifier is found within subsequent admissions it should be given a subsequent sequence identifier (i.e. -1, -2). </t>
  </si>
  <si>
    <t>If pci30=1</t>
  </si>
  <si>
    <t xml:space="preserve">Reject file if pci30_2 =0 or -1 and tvr30_2 has data
Reject file if pci30_2=1 and tvr30_2 is NULL from the ncr tab: follow_up </t>
  </si>
  <si>
    <t xml:space="preserve">Reject file if pci30_3 =0 or -1 and tvr30_3 has data
Reject file if pci30_3=1 and tvr30_3 is NULL from the ncr tab: follow_up </t>
  </si>
  <si>
    <t xml:space="preserve">Reject file if pci30_4 =0 or -1 and tvr30_4 has data
Reject file if pci30_4=1 and tvr30_4 is NULL from the ncr tab: follow_up </t>
  </si>
  <si>
    <t xml:space="preserve">Reject file if pci30_5 =0 or -1 and tvr30_5 has data
Reject file if pci30_5=1 and tvr30_5 is NULL from the ncr tab: follow_up </t>
  </si>
  <si>
    <t xml:space="preserve">Reject file if pci30_6 =0 or -1 and tvr30_6 has data
Reject file if pci30_6=1 and tvr30_6 is NULL from the ncr tab: follow_up </t>
  </si>
  <si>
    <t>To be derived and live, based on tertiles High, Medium and Low</t>
  </si>
  <si>
    <t>Was ventricular support required during the procedure? Indicate if the patient required mechanical ventricular support prior to or during the index PCI procedure. 
Note: Mechanical ventricular support includes: intra-aortic balloon pump (IABP), cardiopulmonary bypass, left ventricular assist device (LVAD), extracorporeal membrane oxygenation (ECMO), mechanical chest compression device (e.g. Lund University Cardiac Arrest System - LUCAS) and/or catheter based cardiac assist device (e.g. IMPELLA heart pump).</t>
  </si>
  <si>
    <t xml:space="preserve">Reject file if NULL  from the ncr tab: procedure </t>
  </si>
  <si>
    <t>May require 4 additional columns for clarity :
Mechanical ventilation hours in HMDS. Cardiobase.
Cardiobase.[IABP] (checkbox)
Note: ECMO dataset is held by ANZICS, and this may be a useful data source to assit populating this field.</t>
  </si>
  <si>
    <t>Indicate the type of mechanical ventricular support used prior to or during the current PCI procedure.</t>
  </si>
  <si>
    <t>1=Intra-aortic balloon pump (IABP)
2=Extracorporeal membrane oxygenation (ECMO)
3=Left ventricular assist device (LVAD)
4=Impella</t>
  </si>
  <si>
    <t>vsr = 1</t>
  </si>
  <si>
    <t>Field cannot be blank when vsr=1.
Reject file if vsr=1 and vsrt is NULL</t>
  </si>
  <si>
    <t>How much does the patient weigh in kg?  Weight in kilograms in light clothing. Note: Can be self-reported, estimated or measured.</t>
  </si>
  <si>
    <t>NCR Indicator #</t>
  </si>
  <si>
    <t>PCI Clinical Quality Indicators as set by the NCR</t>
  </si>
  <si>
    <t>Description</t>
  </si>
  <si>
    <t>Rationale</t>
  </si>
  <si>
    <t>WA Rationale</t>
  </si>
  <si>
    <t>Numerator</t>
  </si>
  <si>
    <t>Denominator</t>
  </si>
  <si>
    <t>Method of Calculation</t>
  </si>
  <si>
    <t>Exclusions</t>
  </si>
  <si>
    <t>Sources of Data</t>
  </si>
  <si>
    <t xml:space="preserve">Data items required for indicator </t>
  </si>
  <si>
    <t>Data items currently collected &amp; source</t>
  </si>
  <si>
    <t xml:space="preserve">NCR Variables not yet collected </t>
  </si>
  <si>
    <t>Data items requiring definition/clarification as appropriate data items for indicator</t>
  </si>
  <si>
    <t>Data items not currently collected /on NCR data item list -  may be  required for indicator</t>
  </si>
  <si>
    <t xml:space="preserve">Queries </t>
  </si>
  <si>
    <t xml:space="preserve">Additional information/comments </t>
  </si>
  <si>
    <t>NCR1</t>
  </si>
  <si>
    <t xml:space="preserve">Time from diagnostic ECG to PCI mediated reperfusion. </t>
  </si>
  <si>
    <t xml:space="preserve">For STEMI patients, the time from diagnostic ECG to first  balloon  inflation or (where guidewire or device prevented from crossing by lesion) the time the guide catheter was introduced. </t>
  </si>
  <si>
    <r>
      <t>The aim of reperfusion is the timely restoration of coronary flow.  Primary PCI is preferred for reperfusion therapy in patients with STEMI if it can be performed within 90 minutes of first medical contact (diagnosis)</t>
    </r>
    <r>
      <rPr>
        <vertAlign val="superscript"/>
        <sz val="10"/>
        <color rgb="FF000000"/>
        <rFont val="Arial"/>
        <family val="2"/>
      </rPr>
      <t>2</t>
    </r>
    <r>
      <rPr>
        <sz val="10"/>
        <color rgb="FF000000"/>
        <rFont val="Arial"/>
        <family val="2"/>
      </rPr>
      <t xml:space="preserve">. </t>
    </r>
  </si>
  <si>
    <t>The rationale for measuring this indicator is based on the principle of "time is muscle," which refers to the fact that the longer it takes to restore blood flow to the heart during a heart attack, the more damage is done to the heart muscle.
In cases of STEMI, rapid restoration of blood flow is crucial to limit the size of the infarcted area and prevent further damage to the heart. Guidelines recommend that patients with STEMI undergo PCI within 90 minutes of their first medical contact, or within 120 minutes if they need to be transferred to a PCI-capable hospital. Measuring the time from diagnostic ECG to PCI-mediated reperfusion allows hospitals to evaluate how quickly they are able to provide this life-saving treatment to their patients and identify areas for improvement in their processes of care</t>
  </si>
  <si>
    <t>Time of balloon inflation (minutes) - time of diagnostic ECG (minutes)</t>
  </si>
  <si>
    <t>Non-STEMI patients</t>
  </si>
  <si>
    <t>Cardiobase
Risk module</t>
  </si>
  <si>
    <t>*acst
*tbd (balloon device time)
*dbd (balloon device date)
*decgd (Date of diagnostic ECG)
*tecgd (Time of diagnostic ECG) 
*ecgdb</t>
  </si>
  <si>
    <t>*Date/Time first balloon inflation (Cardiobase)
*First ECG date/time
*Activation time
*Test date/time</t>
  </si>
  <si>
    <t>* fmctr [FMC to reperfusion (mins)]
*fmctecg (FMC to diagnostic ECG [mins] )
*sor [Symptom onset to reperfusion (mins)]
*dbdt (door to balloon device time (mins))</t>
  </si>
  <si>
    <t>*fmctecg [FMC to diagnostic ECG [mins] (Cardiobase)]
*ecgdb [Diagnostic ECG to balloon time (mins)](Cardiobase)
*sor (Symptom onset to reperfusion)
*fmctr [FMC to reperfusion (mins)]
*tvr30_1,tvr30_2, tvr30_3, tvr30_4, tvr30_5 [Target vessel revascularisation (PCI) 1 - 5]
*tlr30_1, tlr30_2,tlr30_3, tlr30_4, tlr30_5 [Target lesion revascularisation (TLR) 1-5]</t>
  </si>
  <si>
    <t>Time of PCI mediated reperfusion</t>
  </si>
  <si>
    <r>
      <t xml:space="preserve">*For multiple vessel reperfusion, what do we count as 'time to PCI mediated reperfusion'?  Is the data item 'Diagnostic ECG to balloon time [mins] recorded for each vessel reperfusion?  If so, do we add all mins for a total reperfusion time?
*Does Diagnostic ECG to balloon time [mins] = Time from diagnostic ECG  to ' PCI mediated perfusion"? </t>
    </r>
    <r>
      <rPr>
        <b/>
        <sz val="10"/>
        <color theme="1"/>
        <rFont val="Arial"/>
        <family val="2"/>
      </rPr>
      <t xml:space="preserve"> </t>
    </r>
    <r>
      <rPr>
        <sz val="10"/>
        <color theme="1"/>
        <rFont val="Arial"/>
        <family val="2"/>
      </rPr>
      <t xml:space="preserve">
Which measure if/or when to use in relation to this indicator? - Target vessel revascularisation and/or Target lesion revascularisation;  
Is coronary flow time a better data item to use for this indicator as that is the rationale?
*Exclusions - are there any cases that we need to exclude from denominator? e.g.  Failed attempts to revascularize target lesion where there was unsuccessful implantation of stent or balloon angioplasty (In-hospital target lesion revascularisation (responses 0 = No)</t>
    </r>
  </si>
  <si>
    <t>Revascularization therapy is distinct from reperfusion therapy. Revascularisation takes place in non-ST-elevation or ST-elevation ACS, while reperfusion is employed only for ST-elevation myocardial infarction.</t>
  </si>
  <si>
    <t>NCR2</t>
  </si>
  <si>
    <t>Time from door to PCI mediated reperfusion</t>
  </si>
  <si>
    <t xml:space="preserve">The time from the patient's presentation to the PCI room and completed reperfusion via coronary intervention. </t>
  </si>
  <si>
    <t xml:space="preserve">Reperfusion treatment for patients with STEMI is time critical and excessive delays can have serious adverse impacts on patient outcomes. </t>
  </si>
  <si>
    <t>The rationale for measuring this indicator is that it reflects the time it takes for patients to receive appropriate treatment from the time they arrive at the hospital, and can help to identify delays in the care process that may impact patient outcomes.
Delays in the care process can occur at multiple stages, such as delays in recognizing symptoms, transport to the hospital, triage in the emergency department, and activation of the cardiac catheterization team. Guidelines recommend that patients with STEMI receive primary PCI within 90 minutes of arriving at the hospital, or within 120 minutes if they need to be transferred to a PCI-capable hospital.
Measuring the time from door to PCI-mediated reperfusion allows hospitals to evaluate how quickly they are able to provide this life-saving treatment to their patients and identify areas for improvement in their processes of care. This indicator can also be useful for tracking changes over time and comparing performance across different hospitals or healthcare systems.
It is important to note, however, that this indicator should be used in conjunction with other measures of quality of care for PCI, such as procedural success rates, complication rates, and long-term outcomes for patients.</t>
  </si>
  <si>
    <t>Time of restored flow (minutes) - Time of arrival at PCI lab(minutes).</t>
  </si>
  <si>
    <t>Risk module Cardiobase</t>
  </si>
  <si>
    <t>*tbd (balloon device time)
*dbd (balloon device date)
*doa (Date of arrival at PCI Hospital)
*toa (Time of arrival at PCI Hospital)</t>
  </si>
  <si>
    <t xml:space="preserve">*First balloon inflation date/time (Cardiobase)
*Activation date/time (Cardiobase)
*Principal Procedure (HMDS)
*dop (PCI procedure date - Cardiobase)
*top (PCI procedure time - Cardiobase) 
</t>
  </si>
  <si>
    <t>*dbdt [Door to balloon/ device time (mins)]
*fmctd [FMC to door (mins)]
*doa [Date of arrival at PCI hospital ]</t>
  </si>
  <si>
    <t>*dop [PCI Procedure date]
*top [PCI Procedure time]
*dbdt [Door to balloon/ device time (mins)]
*fmctd [FMC to door (mins)]
*doa [Date of arrival at PCI hospital]</t>
  </si>
  <si>
    <t>*Time from door to PCI mediated reperfusion</t>
  </si>
  <si>
    <t xml:space="preserve">From Door - what is the definition:?  Is it time of arrival at PCI hospital, is it activation time, is it arrival at Cath lab for PCI or is it test time? 
Is reperfusion time when coronary flow has been restored?  When balloon is inflated? </t>
  </si>
  <si>
    <t>Not relevant to in-hospital events</t>
  </si>
  <si>
    <t>NCR3</t>
  </si>
  <si>
    <t>Peri-PCI stroke</t>
  </si>
  <si>
    <t xml:space="preserve">The rate of stroke for patients undergoing Percutaneous Coronary Intervention (PCI) within the same episode of care. </t>
  </si>
  <si>
    <t>To indicate whether a new stroke has occurred during or after the PCI prior to discharge.</t>
  </si>
  <si>
    <t>Peri-PCI stroke is a potential complication of percutaneous coronary intervention (PCI) and refers to a stroke that occurs during or immediately after the procedure. The rationale for measuring the rate of peri-PCI stroke is to assess the safety of the procedure and to identify areas for improvement in preventing this serious complication.
PCI is a common procedure for treating coronary artery disease, but it carries a small risk of stroke. Factors that may increase the risk of peri-PCI stroke include advanced age, previous stroke or transient ischemic attack, high blood pressure, diabetes, and complex or lengthy procedures.
Measuring the rate of peri-PCI stroke can help hospitals and healthcare systems to monitor the safety of their PCI procedures and identify any factors that may be contributing to an increased risk of stroke. This indicator can also be used to compare performance across different hospitals or healthcare systems, and to evaluate the effectiveness of quality improvement initiatives aimed at reducing the incidence of peri-PCI stroke.
It is important to note that while the rate of peri-PCI stroke is an important measure of quality of care, it should be interpreted in the context of other measures of PCI safety and effectiveness, such as procedural success rates, complication rates, and long-term outcomes for patients.</t>
  </si>
  <si>
    <t>Number of patients in the denominator who had a stroke during or after the PCI</t>
  </si>
  <si>
    <t>All patients undergoing PCI during the selected observation period</t>
  </si>
  <si>
    <t>Crude rate: (numerator / denominator) x 100
? Adjust for sex, age, diabetes with complications, heart failure/pulmonary oedema, cardiac dysrhythmia, shock, PIC and cardiac surgery (CABG and/or valve surgery) in same episode of care, previous cerebral vascular discase, previous AMI, STEMI and unstable angina</t>
  </si>
  <si>
    <t>Stroke symptoms (neurological deficits) not persisting for &gt; 72 hours during the episode to be excluded</t>
  </si>
  <si>
    <t>NaCs
Cardiobase</t>
  </si>
  <si>
    <t>*dop (PCI procedure date)
*top (PCI procedure time)
*ihstr (In-hospital stroke)</t>
  </si>
  <si>
    <t>*In-hospital stroke, 0=No, 1 = Yes, (NaCs)
*In-hospital stroke type 1: Haemorrhagic, 2: Ischaemic, 3: Unknown, (NaCs)* Test date / time (Cardiobase)</t>
  </si>
  <si>
    <t>*ihstr [In-hospital stroke]
*ihstrt [In-hospital stroke type]
*nstr [New stroke]
*nstrt [New stroke type]</t>
  </si>
  <si>
    <t xml:space="preserve">Indication - is this sufficient to account for stroke diagnosis?  If so, what indications to include? </t>
  </si>
  <si>
    <t>Has been added to the non-Wacor Cardiovascular dashboard as a feature request.</t>
  </si>
  <si>
    <t>NCR4</t>
  </si>
  <si>
    <t>In-hospital major bleeding</t>
  </si>
  <si>
    <t>In-hospital major bleeding during or immediately after an admission for PCI</t>
  </si>
  <si>
    <t>May indicate unintentional misadventure has occurred during the procedure, exacerbation or other cause of major bleed.</t>
  </si>
  <si>
    <t>The rationale for measuring the rate of in-hospital major bleeding is to assess the safety of the procedure and to identify areas for improvement in preventing this serious complication.
PCI involves the insertion of a catheter into the artery, which can damage the blood vessel and cause bleeding. Factors that may increase the risk of in-hospital major bleeding include advanced age, female gender, previous history of bleeding or anaemia, renal insufficiency, and use of anticoagulant or antiplatelet medications.
Measuring the rate of in-hospital major bleeding can help hospitals and healthcare systems to monitor the safety of their PCI procedures and identify any factors that may be contributing to an increased risk of bleeding. This indicator can also be used to compare performance across different hospitals or healthcare systems, and to evaluate the effectiveness of quality improvement initiatives aimed at reducing the incidence of in-hospital major bleeding.
It is important to note that while the rate of in-hospital major bleeding is an important measure of quality of care, it should be interpreted in the context of other measures of PCI safety and effectiveness, such as procedural success rates, complication rates, and long-term outcomes for patients.</t>
  </si>
  <si>
    <t>Number of patients in the denominator who had a major bleed during or after the PCI</t>
  </si>
  <si>
    <t>Crude rate:( numerator / denominator) x 100</t>
  </si>
  <si>
    <t>Bleeding or haemorrhage not meeting the 'major bleed ' definition ????</t>
  </si>
  <si>
    <t>Cardiobase
Risk module
HMDS diagnosis codes for major  haemorrhage</t>
  </si>
  <si>
    <t>*ihbl [In-hospital bleeding (NaCs)]
*ihblsite [In-hospital bleeding site (NaCs)]</t>
  </si>
  <si>
    <t>*ihbl [In-hospital bleeding (Types 0-5b), (NaCs)]
*ihblsite [In-hospital bleeding site (1: Retroperitoneal, 2: Percutaneous entry site, 3: Gastrointestinal tract, 4: Cerebral, 5: Genital/Urinary, 6: Other. (NaCs)]</t>
  </si>
  <si>
    <t>*ihbl [In-hospital bleeding]
*ihblsite [In-hospital bleeding site]</t>
  </si>
  <si>
    <r>
      <t>What is defined as '</t>
    </r>
    <r>
      <rPr>
        <b/>
        <sz val="10"/>
        <color theme="1"/>
        <rFont val="Arial"/>
        <family val="2"/>
      </rPr>
      <t>major bleeding</t>
    </r>
    <r>
      <rPr>
        <sz val="10"/>
        <color theme="1"/>
        <rFont val="Arial"/>
        <family val="2"/>
      </rPr>
      <t xml:space="preserve">' ? E.g. - anything type 2-5b i.e. excluding  type 0 - no bleedings, type 1 - bleeding that is not actionable and does not cause the patient to seek treatment. </t>
    </r>
  </si>
  <si>
    <t>NCR5</t>
  </si>
  <si>
    <t>In-hospital mortality</t>
  </si>
  <si>
    <t xml:space="preserve">In-hospital deaths for patient admitted for PCI. </t>
  </si>
  <si>
    <t>A measure of risk of PCI procedures</t>
  </si>
  <si>
    <t xml:space="preserve">In-hospital mortality is a crucial outcome measure for patients undergoing percutaneous coronary intervention (PCI) and refers to death occurring during the hospitalization for the procedure. The rationale for measuring the rate of in-hospital mortality is to evaluate the effectiveness of PCI procedures and to identify areas for improvement in patient care and outcomes.
PCI is a common procedure for treating coronary artery disease, but it carries a small risk of complications, including death. Factors that may increase the risk of in-hospital mortality include advanced age, heart failure, diabetes, and severe coronary artery disease.
Measuring the rate of in-hospital mortality allows hospitals and healthcare systems to monitor the effectiveness of their PCI procedures and identify any factors that may be contributing to an increased risk of mortality. This indicator can also be used to compare performance across different hospitals or healthcare systems and to evaluate the effectiveness of quality improvement initiatives aimed at reducing the incidence of in-hospital mortality.
It is important to note that while the rate of in-hospital mortality is an important measure of quality of care, it should be interpreted in the context of other measures of PCI safety and effectiveness, such as procedural success rates, complication rates, and long-term outcomes for patients. Additionally, it is essential to consider the severity of illness and comorbidities of the patient population undergoing PCI, as these factors can significantly influence the rate of in-hospital mortality.
</t>
  </si>
  <si>
    <t>Number of PCI patients who deceased in hospital during the same PCI admission during the refence period.</t>
  </si>
  <si>
    <t xml:space="preserve">Total number of PCI inpatients in the reference period. </t>
  </si>
  <si>
    <t>Crude rate: Numerator / denominator x 100</t>
  </si>
  <si>
    <t>Exclude transfers to other hospitals; 
Exclude deaths for admissions not for PCI</t>
  </si>
  <si>
    <t>HMDS
Cardiobase</t>
  </si>
  <si>
    <t xml:space="preserve">*dmort30 (Date of death)
*dis (Discharge status)
*dop (PCI procedure date)
</t>
  </si>
  <si>
    <t>* Procedure end date / time
* Discharged to (0912, 0914) - (HMDS)
* Mode of Separation (8- Deceased) (HMDS)
* Discharge status, 6: Hospital mortality, (NaCs)
* dmort30 [Date of Death (Births, Deaths, Marriages)]
*Admission date (HMDS)
*Admission time (HMDS)
*Separation date (HMDS)
*Separation time (HMDS)</t>
  </si>
  <si>
    <t>*Date of Discharge / mortality 
* dmort30 [Date of death]
* mortc [Primary cause of death]</t>
  </si>
  <si>
    <r>
      <rPr>
        <strike/>
        <sz val="10"/>
        <color theme="1"/>
        <rFont val="Arial"/>
        <family val="2"/>
      </rPr>
      <t>Incorrect: Given there is a lag in death data, this indicator will be delayed for possibly up to 3- 6months.</t>
    </r>
    <r>
      <rPr>
        <sz val="10"/>
        <color theme="1"/>
        <rFont val="Arial"/>
        <family val="2"/>
      </rPr>
      <t xml:space="preserve"> 
Has been added to the non-Wacor Cardiovascular dashboard as a feature request.</t>
    </r>
  </si>
  <si>
    <t>NCR6</t>
  </si>
  <si>
    <t>30 day unplanned cardiac readmission rate after PCI</t>
  </si>
  <si>
    <t xml:space="preserve">The rate of unplanned cardiac readmissions within 30 days of percutaneous coronary intervention being performed.  </t>
  </si>
  <si>
    <t xml:space="preserve"> 30-day readmission could be suggestive of procedure related adverse outcomes and needs to be differentiated from planned readmissions for PCI or CABG.  </t>
  </si>
  <si>
    <t>The rationale for measuring this indicator is to evaluate the effectiveness of PCI procedures and to identify areas for improvement in patient care and outcomes.
PCI is a common procedure for treating coronary artery disease, but it can be associated with complications that may result in unplanned hospital readmissions. Factors that may increase the risk of unplanned cardiac readmission after PCI include the presence of comorbidities, medication non-adherence, and lack of follow-up care.
Measuring the 30-day unplanned cardiac readmission rate allows hospitals and healthcare systems to monitor the effectiveness of their PCI procedures and identify any factors that may be contributing to an increased risk of readmission. This indicator can also be used to compare performance across different hospitals or healthcare systems and to evaluate the effectiveness of quality improvement initiatives aimed at reducing the incidence of unplanned cardiac readmissions.
It is important to note that while the 30-day unplanned cardiac readmission rate is an important measure of quality of care, it should be interpreted in the context of other measures of PCI safety and effectiveness, such as procedural success rates, complication rates, and long-term outcomes for patients. Additionally, it is important to consider the reasons for readmission and to distinguish between planned and unplanned readmissions, as planned readmissions may be necessary for ongoing management of the patient's condition.</t>
  </si>
  <si>
    <t xml:space="preserve">Number of patients in the denominator who experience an urgent readmission to any hospital on or before the 30th day following the date of discharge from the index PCI procedure. </t>
  </si>
  <si>
    <t xml:space="preserve">All patients undergoing PCI who were discharged alive after the index PCI. </t>
  </si>
  <si>
    <t>exclude non-cardiac readmissions
exclude cardiac readmissions &gt;30 from admission for PCI
? Count only once if multiple cardiac re-admissions in 30 day period from PCI</t>
  </si>
  <si>
    <t>*dop (PCI procedure date)
*top (PCI procedure time)
*dis (Discharge status)
*crh30_1 [Cardiac rehospitalisation 1]
*pci30_1 [PCI rehospitalisation 1]
*pc30_1 [Planned cardiac rehospitalisation 1]</t>
  </si>
  <si>
    <t>*dop (PCI procedure date - Cardiobase)
*top (PCI procedure time - Cardiobase)
*Admission date (HMDS)
*Admission time (HMDS)
*Planned subsequent PCI (NaCs)</t>
  </si>
  <si>
    <t>* crh30_1, crh30_2, crh30_3, crh30_4, crh30_5 [Cardiac rehospitalisation 1-5]
* pc30_1, pc30_2, pc30_3, pc30_4, pc30_5 [Planned cardiac rehospitalisation 1-5]
*pci30_1, pci30_2, pci30_3, pci30_4, pci30_5 [PCI rehospitalisation 1-5]</t>
  </si>
  <si>
    <t>Which or all of these data items are appropriate for this indicator - to ascertain exclusions/inclusions?
* crh30_1, crh30_2, crh30_3, crh30_4, crh30_5 [Cardiac rehospitalisation 1-5]
* pc30_1, pc30_2, pc30_3, pc30_4, pc30_5 [Planned cardiac rehospitalisation 1-5]
*pci30_1, pci30_2, pci30_3, pci30_4, pci30_5 [PCI rehospitalisation 1-5]</t>
  </si>
  <si>
    <t xml:space="preserve">Would cardiac rehospitalisation be more appropriate for this indicator as it is any cardiac reason for readmission?  Would planned cardiac rehospitalisation enable exclusion of patients for this indicator?
Would PCI rehospitalisation similarly be included for this indicator - would it be already counted in 'cardiac rehospitalisation'? </t>
  </si>
  <si>
    <t>NCR7</t>
  </si>
  <si>
    <t>Unplanned revascularisation within 30 days</t>
  </si>
  <si>
    <t>The rate of unplanned readmission for revascularisation within 30 days of PCI admission</t>
  </si>
  <si>
    <t>May indicate previous revascularisation was unsuccessful and required repeat procedure.</t>
  </si>
  <si>
    <t>Unplanned revascularization within 30 days is an important outcome measure for patients undergoing percutaneous coronary intervention (PCI) and refers to the need for additional revascularization procedures within 30 days of the initial procedure. The rationale for measuring this indicator is to evaluate the effectiveness of PCI procedures and to identify areas for improvement in patient care and outcomes.
PCI is a common procedure for treating coronary artery disease, but it can be associated with restenosis or recurrence of the blockage, requiring further intervention. Factors that may increase the risk of unplanned revascularization after PCI include the presence of comorbidities, inadequate stent deployment, and suboptimal medical therapy.
Measuring the rate of unplanned revascularization within 30 days allows hospitals and healthcare systems to monitor the effectiveness of their PCI procedures and identify any factors that may be contributing to an increased risk of revascularization. This indicator can also be used to compare performance across different hospitals or healthcare systems and to evaluate the effectiveness of quality improvement initiatives aimed at reducing the incidence of unplanned revascularization.
It is important to note that while the rate of unplanned revascularization within 30 days is an important measure of quality of care, it should be interpreted in the context of other measures of PCI safety and effectiveness, such as procedural success rates, complication rates, and long-term outcomes for patients. Additionally, it is important to consider the reasons for revascularization and to distinguish between planned and unplanned revascularization, as planned revascularization may be necessary for ongoing management of the patient's condition.</t>
  </si>
  <si>
    <t>Number of patients who were readmitted within 30 days of last PCI admission</t>
  </si>
  <si>
    <t>All patients who underwent PCI within the reference period.</t>
  </si>
  <si>
    <t>all planned / booked revascularisation procedures  (HMDS - Readmission status)
Non-STEMI patients</t>
  </si>
  <si>
    <t>*tvr30_1 [target vessel revascularisation (PCI) 1]
*tlr30_1 [target lesion revascularisation (TLR) 1]
*ihtlr [in-hospital target lesion revascularisation]</t>
  </si>
  <si>
    <t>?Current data items that show revascularisation</t>
  </si>
  <si>
    <t xml:space="preserve">*tvr30_1. tvr30_2, tvr30_3, tr30_4, tvr30_5 [target vessel revascularisation (PCI) 1-5]
*tlr30_1, tlr30_2, tlr30_3, tlr30_4, tlr30_5 target lesion revascularisation (TLR) 1-5] target vessel revascularisation (PCI) 1-5
* intlr [In hospital target lesion revascularisation]
</t>
  </si>
  <si>
    <t>Which or all of these data items are appropriate for this indicator?
*tvr30_1. tvr30_2, tvr30_3, tr30_4, tvr30_5 [target vessel revascularisation (PCI) 1-5]
*tlr30_1, tlr30_2, tlr30_3, tlr30_4, tlr30_5 target lesion revascularisation (TLR) 1-5] target vessel revascularisation (PCI) 1-5
* intlr [In hospital target lesion revascularisation]</t>
  </si>
  <si>
    <t xml:space="preserve">Which target lesion/vessel revascularisation data item would be most appropriate - or are all?  Does in-hospital target lesion revascularisation get counted in target lesion revascularisation? </t>
  </si>
  <si>
    <t>Revascularisation - any procedure performed to restore luminal patency after there has been late luminal loss attributable to ISR.
Has been added to the non-Wacor Cardiovascular dashboard as a feature request.</t>
  </si>
  <si>
    <t>NCR8</t>
  </si>
  <si>
    <t>30 day mortality after PCI</t>
  </si>
  <si>
    <t>The 30-day all-cause mortality for adult patients undergoing Percutaneous Coronary Intervention (PCI)</t>
  </si>
  <si>
    <t xml:space="preserve">May indicate higher risk vs benefits of PCI procedures for some higher risk patients </t>
  </si>
  <si>
    <t>The 30-day mortality rate after percutaneous coronary intervention (PCI) is an important outcome measure for patients undergoing the procedure. The rationale for measuring this indicator is to evaluate the safety and effectiveness of PCI procedures and to identify areas for improvement in patient care and outcomes.
PCI is a common procedure for treating coronary artery disease, but it carries a small risk of complications, including death. Factors that may increase the risk of mortality after PCI include advanced age, heart failure, diabetes, and severe coronary artery disease.
Measuring the 30-day mortality rate allows hospitals and healthcare systems to monitor the safety and effectiveness of their PCI procedures and identify any factors that may be contributing to an increased risk of mortality. This indicator can also be used to compare performance across different hospitals or healthcare systems and to evaluate the effectiveness of quality improvement initiatives aimed at reducing the incidence of mortality after PCI.
It is important to note that while the 30-day mortality rate is an important measure of quality of care, it should be interpreted in the context of other measures of PCI safety and effectiveness, such as procedural success rates, complication rates, and long-term outcomes for patients. Additionally, it is essential to consider the severity of illness and comorbidities of the patient population undergoing PCI, as these factors can significantly influence the rate of 30-day mortality after the procedure.</t>
  </si>
  <si>
    <t>The number of patients in the denominator who died during the 30 days after the procedure including: 1: All deaths occurring during hospitalisation in which the procedure was performed and up to 30 days, 2: deaths occurring after discharge from hospital within 30 days of the procedure</t>
  </si>
  <si>
    <t>Mortality &gt; 30days post PCI procedure</t>
  </si>
  <si>
    <t>Hospital Morbidity Data Collection; Cardiobase; NaCs</t>
  </si>
  <si>
    <t xml:space="preserve">*dop (PCI procedure date)
*top (PCI procedure time)
*stat30 (Status 30 days from discharge)
</t>
  </si>
  <si>
    <t xml:space="preserve">*Discharged to 0912, 0914 (HMDS)
*Mode of Separation =8 (deceased) (HMDS)
*Discharge status &amp; Hospital mortality (NaCs)
*dmort30 [Date of Death (Births, Deaths, Marriages)]
</t>
  </si>
  <si>
    <t>* dmort30 [Date of death]
* mortc [Primary cause of death]</t>
  </si>
  <si>
    <t>Already completed in the non-wacor cardiovascular dashboard.</t>
  </si>
  <si>
    <t>NCR9</t>
  </si>
  <si>
    <t>Patients without contraindication discharged on lipid-lowering therapy</t>
  </si>
  <si>
    <t xml:space="preserve">Proportion of patients with a final diagnosis of ACS who are prescribed lipid lowering therapy at hospital discharge. </t>
  </si>
  <si>
    <r>
      <t>Lowering lipid levels is an effective primary and secondary prevention treatment for vascular events, including stroke</t>
    </r>
    <r>
      <rPr>
        <vertAlign val="superscript"/>
        <sz val="10"/>
        <color rgb="FF000000"/>
        <rFont val="Arial"/>
        <family val="2"/>
      </rPr>
      <t>1</t>
    </r>
    <r>
      <rPr>
        <sz val="10"/>
        <color rgb="FF000000"/>
        <rFont val="Arial"/>
        <family val="2"/>
      </rPr>
      <t xml:space="preserve">. </t>
    </r>
  </si>
  <si>
    <t>The rationale for measuring this indicator is to ensure that eligible patients are receiving appropriate secondary prevention therapy to reduce the risk of future cardiovascular events.
Lipid-lowering therapy, such as statins, is a recommended therapy for patients with ACS to reduce the risk of recurrent events. According to the Australian Clinical Care Standards for ACS, all patients with ACS should receive lipid-lowering therapy, unless there are contraindications such as allergy, intolerance, or liver disease.
Measuring the proportion of patients without contraindication who are discharged on LLT allows hospitals and healthcare systems to monitor the implementation of the ACS clinical care standard and identify any barriers to the implementation of this therapy. This indicator can also be used to compare performance across different hospitals or healthcare systems and to evaluate the effectiveness of quality improvement initiatives aimed at increasing the proportion of eligible patients receiving LLT.
It is important to note that while the proportion of patients without contraindication discharged on LLT is an important measure of quality of care, it should be interpreted in the context of other measures of ACS care, such as timely revascularization, appropriate use of antithrombotic therapy, and provision of cardiac rehabilitation.</t>
  </si>
  <si>
    <t xml:space="preserve">Total number of patients with a diagnosis of ACS who are prescribed a statin or other lipid lowering therapy at hospital discharge. </t>
  </si>
  <si>
    <t>Total number of patients with a final diagnosis of ACS who are discharged from hospital</t>
  </si>
  <si>
    <t>Patients with documented contraindications for lipid lowering therapy i.e. advanced care directive</t>
  </si>
  <si>
    <t>*dop (PCI procedure date)
*top (PCI procedure time)
*dstp (Statin prescribed at discharge)
*doll (Other lipid lowering therapies prescribed at discharge)
*acs (Acute coronary syndrome)</t>
  </si>
  <si>
    <t xml:space="preserve">*Prescribed therapies - NaCs
*Principal or additional diagnoses (HMDS)
*dop (PCI procedure date -Cardiobase, HMDS)
*top (PCI procedure time - Cardiobase) 
</t>
  </si>
  <si>
    <t>*dstp [Statin prescribed at discharge (? pharmacy)]
*doll {Other lipid lowering therapies prescribed at discharge (? pharmacy)]</t>
  </si>
  <si>
    <t xml:space="preserve">How &amp; where will contraindications be recorded so cases can be excluded? Contraindications - is there to be a set list to include in this indicator.  What contraindications are excluded? </t>
  </si>
  <si>
    <t xml:space="preserve">
Has been added to the non-Wacor Cardiovascular dashboard as a feature request.</t>
  </si>
  <si>
    <t>NCR10</t>
  </si>
  <si>
    <t>Patients referred to cardiac rehabilitation or other secondary prevention program</t>
  </si>
  <si>
    <t>Proportion of patients with documented referral prior to discharge to a cardiac rehabilitation or alternative secondary prevention program</t>
  </si>
  <si>
    <t xml:space="preserve">Cardiac rehabilitation or other secondary prevention programs are recommended to reduce risk of subsequent cardiac events.  All patients with cardiovascular disease should have access to and be actively referred to comprehensive ongoing prevention and cardiac rehabilitation services.  </t>
  </si>
  <si>
    <t>The rationale for measuring this indicator is to ensure that eligible patients are receiving appropriate secondary prevention therapy and support to reduce the risk of future cardiovascular events.
Cardiac rehabilitation is a recommended therapy for patients with ACS to reduce the risk of recurrent events and improve overall cardiovascular health. According to the Australian Clinical Care Standards for ACS, all patients with ACS should be referred to a cardiac rehabilitation program or other secondary prevention program, unless there are contraindications such as severe comorbidities or patient refusal.
Measuring the proportion of patients referred to cardiac rehabilitation or other secondary prevention program allows hospitals and healthcare systems to monitor the implementation of the ACS clinical care standard and identify any barriers to the implementation of this therapy. This indicator can also be used to compare performance across different hospitals or healthcare systems and to evaluate the effectiveness of quality improvement initiatives aimed at increasing the proportion of eligible patients referred to these programs.
It is important to note that while the proportion of patients referred to cardiac rehabilitation or other secondary prevention program is an important measure of quality of care, it should be interpreted in the context of other measures of ACS care, such as timely revascularization, appropriate use of antithrombotic therapy, and provision of lipid-lowering therapy.</t>
  </si>
  <si>
    <t xml:space="preserve">Total number of patients with a diagnosis of ACS with a documented referral prior to discharge to a cardiac rehabilitation or an alternative secondary prevention program. </t>
  </si>
  <si>
    <t>Patients for who cardiac rehabilitation or other secondary prevention program are contraindicated and for whom the contraindication is documented.
Contraindications for cardiac rehabilitation and other secondary prevention programs may include advanced care directives, being on a palliative care pathway, and clinical judgement, subject to discussion with patients, family and carers.</t>
  </si>
  <si>
    <t>*dop (PCI procedure date)
*top (PCI procedure time)
*crehab [Cardiac rehab referral (1=Yes)]
*acs (Acute coronary syndrome)</t>
  </si>
  <si>
    <t xml:space="preserve">*Test date/ test time (Cardiobase)
*Separation date (HMDS)
*Separation time (HMDS)
</t>
  </si>
  <si>
    <t>* crehab [Cardiac rehab referral (0-No, 1- Yes, -1 Unknown)]</t>
  </si>
  <si>
    <t>What constitutes cardiac rehabilitation program or secondary prevention program ? Should there be a list of included approved programs?  Other secondary prevention programs - will they be counted in the data item -'cardiac rehab referral' [given it isn't named in the data item?]</t>
  </si>
  <si>
    <t>NCR11</t>
  </si>
  <si>
    <t>Proportion of patients without a clear and documented contraindication for aspirin and/or a P2Y12 inhibitor, discharged on DAPT</t>
  </si>
  <si>
    <t>Proportion of discharged patients on dual antiplatelet therapy (DAPT) with no clear documented contraindication for aspirin or P2Y12 inhibitor.</t>
  </si>
  <si>
    <t>ACS patients on aspirin and dual antiplatelet therapies have a reduced risk of secondary cardiac events.
ACS patients on aspirin and dual antiplatelet therapies have a reduced risk of secondary cardiac events. The Guidelines for the management of acute coronary syndromes 2006 (Acute Coronary Syndrome Guidelines Working Group 2006) recommend that, before separation, patients with an ACS should be initiated on a medication regimen, including antiplatelet agent(s), beta-blocker, angiotensin-converting enzyme inhibitor, statin and other therapies as appropriate.</t>
  </si>
  <si>
    <t>The rationale for measuring this indicator is to ensure that eligible patients are receiving appropriate secondary prevention therapy to reduce the risk of future cardiovascular events.
DAPT refers to the use of aspirin and a P2Y12 inhibitor, such as clopidogrel or ticagrelor, to reduce the risk of recurrent cardiovascular events after an ACS event. According to the Australian Clinical Care Standards for ACS, all patients with ACS who are not at high bleeding risk should receive DAPT, unless there are contraindications such as allergy, intolerance, or high bleeding risk.
Measuring the proportion of patients without a clear and documented contraindication for aspirin and/or a P2Y12 inhibitor, discharged on DAPT, allows hospitals and healthcare systems to monitor the implementation of the ACS clinical care standard and identify any barriers to the implementation of this therapy. This indicator can also be used to compare performance across different hospitals or healthcare systems and to evaluate the effectiveness of quality improvement initiatives aimed at increasing the proportion of eligible patients receiving DAPT.
It is important to note that while the proportion of patients without a clear and documented contraindication discharged on DAPT is an important measure of quality of care, it should be interpreted in the context of other measures of ACS care, such as timely revascularization, appropriate use of antithrombotic therapy, and provision of cardiac rehabilitation.</t>
  </si>
  <si>
    <t xml:space="preserve">Total number of patients with a diagnosis of ACS who are prescribed aspirin or other dual antiplatelet therapy on hospital discharge </t>
  </si>
  <si>
    <t xml:space="preserve">ACS patients with documented contraindications documented for aspirin or other antiplatelet drugs.  Reasons may include advanced care directives, being on a palliative care pathway and other clinical decisions and patient family carer preferences.  
Additional exclusion are patients already on aspirin prior to discharge. </t>
  </si>
  <si>
    <t>*doap (Other antiplatelet prescribed at discharge)
*dasp (Aspirin prescribed at discharge)
*acs (Acute coronary syndrome)</t>
  </si>
  <si>
    <t>*Principal diagnosis (HMDS)
*Additional Diagnoses (HMDS)</t>
  </si>
  <si>
    <t>*Acute coronary syndrome
*dstp [Statin prescribed at discharge]
*doap [Other antiplatelet prescribed at discharge]
*dasp [Aspirin prescribed at discharge (0=no)]
*acs [Acute coronary syndrome (1=Yes)]</t>
  </si>
  <si>
    <t xml:space="preserve">Indication - is this sufficient to account for ACS diagnosis?  If so, what indications to include besides Acute Coronary Syndrome? </t>
  </si>
  <si>
    <t xml:space="preserve">Dual antiplatelet therapy  = ? what combinations does this include / definition. </t>
  </si>
  <si>
    <t>1. Amarenco P, Bogousslavsky J, Callahan III A, et al. High-dose atorvastatin after stroke or transient ischemic attack. New England Journal of Medicine. 2006;355(6):549–559.</t>
  </si>
  <si>
    <t>2. National Heart Foundation of Australia &amp; Cardiac Society of Australia and New Zealand: Australian Clinical Guidelines for the Management of Acute Coronary Syndromes 2016. Heart, Lung and Circulation, 25(2016) pp895-951.</t>
  </si>
  <si>
    <t>=IF(COUNTIF('NCR Indicators'!K:'NCR Indicators'!C2K,"*"&amp;[@[field_id]]&amp;"*")&gt;=1,"Yes","No")</t>
  </si>
  <si>
    <t>Row Labels</t>
  </si>
  <si>
    <t>Sum of PCI Data Set</t>
  </si>
  <si>
    <t>Rule</t>
  </si>
  <si>
    <t>Total Rows</t>
  </si>
  <si>
    <t>Updated Rows</t>
  </si>
  <si>
    <t>NA - Verbal</t>
  </si>
  <si>
    <t>All staged procedures (pci =11) should be acs = 0</t>
  </si>
  <si>
    <t>If ACST = 3 AND PCI = 7, 8, 9, 10, 11, 12 or 13</t>
  </si>
  <si>
    <t>All STEMI (acst=3) should be a subgroup of STEMI for (pci)</t>
  </si>
  <si>
    <t>if top is NULL</t>
  </si>
  <si>
    <t>Procedure time mising</t>
  </si>
  <si>
    <t>if toa is NULL</t>
  </si>
  <si>
    <t>Arrival time missing</t>
  </si>
  <si>
    <t>If value entered into EF, disable EFES (cannot be both)</t>
  </si>
  <si>
    <t>All cases with an Ejection Fraction value should have no grouped value</t>
  </si>
  <si>
    <t>If stat30=0 or -1 AND  mort30r contains data</t>
  </si>
  <si>
    <t>If status at 30 days is alive or unknown, cause of death should be empty</t>
  </si>
  <si>
    <t>NCR Cols</t>
  </si>
  <si>
    <t>Error Report notes</t>
  </si>
  <si>
    <t>Column1</t>
  </si>
  <si>
    <t>Not provided</t>
  </si>
  <si>
    <t>A few cases are missing data</t>
  </si>
  <si>
    <t>Defaults to 00:00 when missing</t>
  </si>
  <si>
    <t>Low capture rate, some values will be missing</t>
  </si>
  <si>
    <t>Only provided for Nov-Dec at RPH</t>
  </si>
  <si>
    <t>Low capture rate, most values will be missing</t>
  </si>
  <si>
    <t>Relies on tso to calculate, some values will be missing</t>
  </si>
  <si>
    <t>Data collection error in Oct 2024</t>
  </si>
  <si>
    <t>Imported copy of the NCR data dictionary - July 2022</t>
  </si>
  <si>
    <t>source_tab</t>
  </si>
  <si>
    <t>column_name</t>
  </si>
  <si>
    <t>required</t>
  </si>
  <si>
    <t>comments</t>
  </si>
  <si>
    <t>validation_rule</t>
  </si>
  <si>
    <t>behaviour</t>
  </si>
  <si>
    <t>exceptions</t>
  </si>
  <si>
    <t>column5</t>
  </si>
  <si>
    <t>qi_variable?</t>
  </si>
  <si>
    <t>question</t>
  </si>
  <si>
    <t>supporting_definition</t>
  </si>
  <si>
    <t>parent_/_child</t>
  </si>
  <si>
    <t>parent_/child</t>
  </si>
  <si>
    <t>warning_message__range</t>
  </si>
  <si>
    <t>warning_message</t>
  </si>
  <si>
    <t>column16</t>
  </si>
  <si>
    <t>column17</t>
  </si>
  <si>
    <t>column18</t>
  </si>
  <si>
    <t>column19</t>
  </si>
  <si>
    <t>column20</t>
  </si>
  <si>
    <t>Index</t>
  </si>
  <si>
    <t>user</t>
  </si>
  <si>
    <t>Mandatory</t>
  </si>
  <si>
    <t>NCR staff to have access to all, some s/t registries will manage contributions for other s/ts (e.g. VIC for TAS)</t>
  </si>
  <si>
    <t>This will act as the username</t>
  </si>
  <si>
    <t>1 = NCR Administrator
2 = State Administrator
3 = Clinician
4 = Hospital?? (HOU/Q&amp;S person?)</t>
  </si>
  <si>
    <t>Not in use on commencement</t>
  </si>
  <si>
    <t>On commencement just NCR and State admin, clinicians and hospitals could be added in the future</t>
  </si>
  <si>
    <t>Check if user no longer active</t>
  </si>
  <si>
    <t>Only when user deactivated</t>
  </si>
  <si>
    <t>patient</t>
  </si>
  <si>
    <t>State generated, must be unique to each patient</t>
  </si>
  <si>
    <t>Reject file if patientid is NULL</t>
  </si>
  <si>
    <t>Reject file is sex is NULL</t>
  </si>
  <si>
    <t>Reject file if inds is NULL</t>
  </si>
  <si>
    <t>site</t>
  </si>
  <si>
    <t>state+public/private+random 3 digits</t>
  </si>
  <si>
    <t>NCR will need this to allocate the NCR hospital ID</t>
  </si>
  <si>
    <t>1 = ACT
2 = NSW
3 = VIC
4 = QLD
5 = SA
6 = WA
7 = TAS
8 = NT</t>
  </si>
  <si>
    <t>Hopital is allocated in NCR if no longer active</t>
  </si>
  <si>
    <t>admission_preprocedural</t>
  </si>
  <si>
    <t>Generated when a new Event is created</t>
  </si>
  <si>
    <t>Generate a new eventid when a new row is accepted</t>
  </si>
  <si>
    <t>9999</t>
  </si>
  <si>
    <t>This code is allocated by State/Territory staff when setting up a new hospital their system.</t>
  </si>
  <si>
    <t>System allocated from hospital table</t>
  </si>
  <si>
    <t>Refer to NCR hid database</t>
  </si>
  <si>
    <t>Reject file if NULL, Reject file if ncrhid is not in database</t>
  </si>
  <si>
    <t>Reject file if NULL
Reject file if doa, toa, dop, top and patientID are all the same across multiple entries</t>
  </si>
  <si>
    <t>YES</t>
  </si>
  <si>
    <t>On what date did the patient arrive at the PCI hospital?</t>
  </si>
  <si>
    <t>Reject file if  NULL
Reject file if doa, toa, dop, top and patientID are all the same across multiple entries within this import</t>
  </si>
  <si>
    <t>At what time did the patient arrive at the PCI hospital?</t>
  </si>
  <si>
    <t>Reject file if NULL
Reject if &lt;18</t>
  </si>
  <si>
    <t>How old is the patient at the date of procedure?</t>
  </si>
  <si>
    <t>The age of the patient in integer format</t>
  </si>
  <si>
    <t>How tall is the patient in cm?</t>
  </si>
  <si>
    <t>How much does the patient weigh in kg?</t>
  </si>
  <si>
    <t>BMI = WKG/(HTM/100)^2</t>
  </si>
  <si>
    <t>Derived - no import on this field</t>
  </si>
  <si>
    <t>Reject file if DOP is &gt; date of file import
Reject file if dop is NULL
Reject file if DOP is &lt;DOA
Reject file if doa, toa, dop, top and patientID are all the same across multiple entries within this import</t>
  </si>
  <si>
    <t>On what date was the PCI performed?</t>
  </si>
  <si>
    <t>Date on which the patient crossed the threshold of entry into the cardiac catheter laboratory for the current PCI in DD/MM/YYYY format. 
Note: Where multiple procedures occur during the index hospitalisation, a separate  entry must be recorded for every relevant procedure.</t>
  </si>
  <si>
    <t>Reject file if dop=doa and top &lt; toa
Reject file if top is NULL
Reject file if doa, toa, dop, top and patientID are all the same across multiple entries within this import</t>
  </si>
  <si>
    <t>At what time was the PCI performed?</t>
  </si>
  <si>
    <t>Alpha is for state eg NSW N213366, VIC V1236999</t>
  </si>
  <si>
    <t>Who was the interventional cardiologist responsible the for the PCI?</t>
  </si>
  <si>
    <t>Reject file if NULL</t>
  </si>
  <si>
    <t>Does the patient have a diagnosis of diabetes?</t>
  </si>
  <si>
    <t>Parent</t>
  </si>
  <si>
    <t>Reject file if db=0, and data is in dbm
Reject file if db=1 AND dbm is NULL</t>
  </si>
  <si>
    <t>Where Diabetes is coded 1=Yes, indicate the management type.</t>
  </si>
  <si>
    <t>Indicate the diabetes management type:
- Oral: Patient requires oral hypoglycaemic medication to control their condition
- Insulin: Patient requires insulin to control their condition with or without oral therapy
- Diet: Patient has received dietary advice appropriate to their condition but is not taking medication to lower blood sugar</t>
  </si>
  <si>
    <t>Child</t>
  </si>
  <si>
    <t>Can only have data in pvd1 OR pvd2 not both</t>
  </si>
  <si>
    <t>Reject file if PVD1 and PVD2 both have data
Reject file if PVD1 and PVD2 are both NULL</t>
  </si>
  <si>
    <t>Does the patient have a history of PVD with intervention? Note: only respond to PVD1 or PVD2</t>
  </si>
  <si>
    <t>Indicate if the patient displays evidence of either chronic or acute PVD. The presence of PVD must be demonstrated by vascular reconstruction or amputation for arterial insufficiency, bypass surgery or percutaneous intervention.
Note: This definition of PVD must be accompanied with intervention such as reconstruction, amputation, surgery or percutaneous intervention.  Includes the aorta, extremities and carotid vessels. If no intervention select the broader option of PVD 2.</t>
  </si>
  <si>
    <t>Does the patient have a history of PVD with or without intervention?  Note: only respond to PVD1 or PVD2</t>
  </si>
  <si>
    <t>Indicate if the patient has a current or previous history of peripheral vascular disease (includes subclavian, iliac, femoral, and upper- and lower-extremity vessels; excludes renal, coronary, cerebral, and mesenteric vessels and aneurysms). This can include: Claudication on exertion, Amputation for arterial vascular insufficiency, Vascular reconstruction, bypass surgery, or percutaneous revascularization in the arteries of the extremities, Positive noninvasive test (e.g., ankle brachial index &lt;= 0.9, ultrasound, MR or CT imaging of &gt;50% diameter stenosis in any peripheral artery (i.e., subclavian, femoral, iliac) or angiographic imaging)</t>
  </si>
  <si>
    <t>Has the patient previously undergone a CABG?</t>
  </si>
  <si>
    <t>Indicate if the patient has undergone a previous Coronary Artery Bypass (CABG) surgery prior to the current PCI procedure.</t>
  </si>
  <si>
    <t>DPCABG must be ≤DOP</t>
  </si>
  <si>
    <t>Reject file if DPCABG is &gt;DOP
Reject file if pcabg =0 AND dpcabg has data
Reject file if pcabg = 1 AND dpcabg is NULL</t>
  </si>
  <si>
    <t>If Previous CABG is coded 1=Yes, on what date?</t>
  </si>
  <si>
    <t>The date on which patient had their most recent CABG in DD/ MM /YYYY format. Note: If only the year is known or estimated, this will suffice, enter as 01/01/YYYY.</t>
  </si>
  <si>
    <t>Has the patient had a prior PCI?</t>
  </si>
  <si>
    <t>Indicate if patient has had a prior Percutaneous Transluminal Coronary Angioplasty, Coronary Atherectomy, and/or coronary stent done at any time prior to the current PCI procedure. 
Note: This may include a PCI performed during the current admission.</t>
  </si>
  <si>
    <t>DPPCI must be ≤DOP</t>
  </si>
  <si>
    <t>Reject file if dppci &gt; DOP
Reject file if ppci =0 and dppci has data
Reject file if ppci = 1 AND dppci is NULL</t>
  </si>
  <si>
    <t>If Previous PCI is coded 1=Yes, on what date?</t>
  </si>
  <si>
    <t>The date on which patient had their most recent PCI in DD/ MM /YYYY format. Note: If only the year is known or estimated, this will suffice, enter as 01/01/YYYY.</t>
  </si>
  <si>
    <t>pcr must be empty</t>
  </si>
  <si>
    <t>Reject file if there is a value in pcr and npcr=1
Reject file if both pcr AND npcr are NULL</t>
  </si>
  <si>
    <t>Is the last pre-procedure creatinine not available?</t>
  </si>
  <si>
    <t>If creatinine results not available leave the above blank and note 1=Yes here.</t>
  </si>
  <si>
    <t>For STEMI patients was a LVEF test performed during the index admission or up to 30 days post-discharge, and for other patients was a LVEF test performed within 6 months prior or up to 30 days  post-discharge?</t>
  </si>
  <si>
    <t>For all patients (excluding STEMIs – see note below) indicate whether the patient’s ventricular ejection fraction (EF) was measured (or estimated) within 6 months prior to the current procedure up to four weeks post-discharge. This includes the period leading up to and including the cardiac catheter lab visit, after the lab visit and up to 30 days after the patient was discharged. If multiple test results are available during this period, select the test result closest to the date/time of the index PCI. 
Note: For STEMI patients a LVEF test must have been recorded DURING the index admission or up to 30 days post-discharge for this item to be coded ‘yes’.  For these patients, where no LVEF test was performed DURING THE INDEX ADMISSION, code “no”.</t>
  </si>
  <si>
    <t xml:space="preserve">
If ACST &lt; &gt; 3 then DEF must be between [6 months prior to DOP] and [DOD+30 days]
If ACST = 3 then DEF must be between DOA and [DOD+30 days]</t>
  </si>
  <si>
    <t>Reject file if eftp=0 and def has data
Reject file if eftp =1 and def is NULL
Reject file if def is &gt;dod+30 days
Reject file if acst=3 AND def &lt;doa
Reject file if acst is NOT =3 and def is &lt;doa-6 months</t>
  </si>
  <si>
    <t>Where LVEF test performed is coded 'yes', on what date was the most recent LVEF test?</t>
  </si>
  <si>
    <t>Reject file if eftp=0 and eft has data
Reject file if eftp =1 and eft is NULL</t>
  </si>
  <si>
    <t>Where LVEF test performed is coded 'yes', what was the most recent LVEF test type?</t>
  </si>
  <si>
    <t>Select ONE of the following:  
- Echocardiography
- Angiography
- Gated cardiac blood pool scan
- Magnetic resonance imaging (MRI)
- Myocardial perfusion scan
- Not stated/inadequately described</t>
  </si>
  <si>
    <t>Ejection fraction (EF) test result 
Digitially Derived %
OR</t>
  </si>
  <si>
    <t>If value entered into EFES, disable EF (cannot be both)</t>
  </si>
  <si>
    <t>Reject file if eftp=0 and ef has data
Reject file if ef has data &amp; efes has data
Reject file if eftp =1 and both efes and ef are NULL</t>
  </si>
  <si>
    <t>Where LVEF test performed is coded 'yes', what was the digitally derived EF test result? Only answer digitally derived or estimated not both.</t>
  </si>
  <si>
    <t>Record the digitally derived EF result (where the EF test results is a computed, digital EF percentage). 
Note: The patient’s digitally derived EF result should ONLY be expressed as a whole number (between 10 and 80) expressed as a percentage of blood emptied from the left ventricle at the end of contraction.</t>
  </si>
  <si>
    <t>Ejection fraction (EF) test result
Estimated</t>
  </si>
  <si>
    <t>Reject file if eftp=0 and efes has data
Reject file if ef has data &amp; efes has data
Reject file if eftp =1 and both efes and ef are NULL</t>
  </si>
  <si>
    <t>Where LVEF test performed is coded 'yes', what was the estimated EF test result? Only answer digitially derived or estimated not both.</t>
  </si>
  <si>
    <t>The patient’s ejection fraction is the amount of blood emptied from the left ventricle at the end of contraction. EF is estimated where the test itself has not computed a digital EF percentage to express ventricular function. For Estimated EF, select ONE of the following:
1=Normal function (&gt;50%)
2= Mild dysfunction/impairment (45-49%)
3=Moderate dysfunction/impairment (35% -44%)
4=Severe dysfunction/impairment (&lt;35%)</t>
  </si>
  <si>
    <t>EGFR = (140 – AGE) x WKG x Constant / PCR (in umol/L)
[Constant = 1.23 for men and Constant=1.04 for women]</t>
  </si>
  <si>
    <t>An overall measure of kidney function, the glomerular filtration rate measures how well kidneys filter the wastes from the blood. It is calculated using age, wight (in kg) and ast pre-procedure creatinine.</t>
  </si>
  <si>
    <t>Nil required</t>
  </si>
  <si>
    <t>What was the hosptial system calculated EGFR?</t>
  </si>
  <si>
    <t>Where a hospital system calculates an egfr this can be included here as per the hospital's definition.</t>
  </si>
  <si>
    <t>Reject file if shock is NULL</t>
  </si>
  <si>
    <t>Was the patient in cardiogenic shock at the time of index PCI?</t>
  </si>
  <si>
    <t>Indicate if the patient was in cardiogenic shock at the time of index PCI. 
There may be some minor variation in the way participating registries define this item.
Cardiogenic supporting definition:
Transient episodes of hypotension reversed with IV fluid or atropine do not constitute cardiogenic shock. Cardiogenic shock is coded as ‘yes’ if all of the following apply: 1. Sustained (&gt;30 minutes) episode of systolic blood pressure &lt;90 mm Hg (or vasopressors required to maintain BP &gt;90 mm Hg); AND 2. Evidence of elevated filling pressures (e.g. pulmonary congestion on examination or chest radiograph); AND 3. Evidence of end organ hypoperfusion (e.g. urine output 30mL/hour; or cold/diaphoretic extremities; or altered mental status, etc.).</t>
  </si>
  <si>
    <t>Reject file if OCA is NULL</t>
  </si>
  <si>
    <t>Has the patient had an Out-of-hospital cardiac arrest?</t>
  </si>
  <si>
    <t>Indicate if the patient has experienced an out of hospital cardiac arrest (i.e. the lack of effective cardiac output) including if the person was under cardiac arrest at the time of presentation to the hospital. </t>
  </si>
  <si>
    <t>Reject file if pint is NULL</t>
  </si>
  <si>
    <t>Was the patient intubated before the PCI procedure commenced?</t>
  </si>
  <si>
    <t>Indicate if the patient was intubated prior to the PCI procedure. Note: intubation during the procedure should be coded under "Procedural intubation required: pintr"</t>
  </si>
  <si>
    <t>procedure</t>
  </si>
  <si>
    <t>Acute coronary syndrome (ACS)</t>
  </si>
  <si>
    <t xml:space="preserve">
Reject file if NULL</t>
  </si>
  <si>
    <t>ACS encompasses clinical features comprising chest pain or overwhelming shortness of breath, defined by accompanying clinical, ECG and biochemical features. Specifically, ACS refers to unstable angina, non ST-Elevation Myocardial Infarction (NSTEMI) and/or ST-Elevation Myocardial Infarction (STEMI).</t>
  </si>
  <si>
    <t>DSO must be ≤DOP AND &gt;[DOP-7 days]</t>
  </si>
  <si>
    <t>Reject file if dso is &lt; dop-7
Reject file if dso is &gt; dop
Reject file if acs=1 and dso is NULL</t>
  </si>
  <si>
    <t>Where item Acute coronary syndrome (ACS) was coded ‘yes’, on what date did the ACS symptoms start that prompted them to seek medical treatment?</t>
  </si>
  <si>
    <t>There must be data in tso OR ntso</t>
  </si>
  <si>
    <t>Reject file if acs=1 and tso AND ntso is NULL
Reject file if tso has data and ntso =1</t>
  </si>
  <si>
    <t>Where item Acute coronary syndrome (ACS) was coded ‘yes’, at what time did the ACS symptoms start that prompted them to seek medical treatment?</t>
  </si>
  <si>
    <t>The time at which a person experienced ACS symptoms that prompted them to seek medical attention (on the date outlined in 'Date of ACS symptom onset' in 24 hour clock (HH:MM) format.
If the symptom onset time is not specified in the medical record, it may be recorded as 0700 for morning; 1200 for lunchtime; 1500 for afternoon; 1800 for dinnertime; 2200 for evening and 0300 if awakened from sleep</t>
  </si>
  <si>
    <t xml:space="preserve">
Reject file if tso has data and ntso =1</t>
  </si>
  <si>
    <t>Is the time of symptom onset not available?</t>
  </si>
  <si>
    <t>Where time of sypmtom onset is not available, specify here. Only applicable if time is missing.</t>
  </si>
  <si>
    <t>Reject file if acs=1 and acst is NULL</t>
  </si>
  <si>
    <t>What is the type of ACS?</t>
  </si>
  <si>
    <t xml:space="preserve">	Unstable Angina 
Symptoms must include AT LEAST ONE of the following:
1.	Angina that occurred at rest and was prolonged, usually lasting &gt;20 mins; 
2.	New-onset angina of at least CCS class III severity; 
3.	Recent acceleration of angina reflected by an increase in severity of at least 1 CCS class (to at least CCS class III)
	Non ST-Elevation Myocardial Infarction (NSTEMI) 
AT LEAST ONE of the following biomarkers for detecting myocardial necrosis MUST be present:
1.	Troponin T or I: Maximal concentration of Troponin T or I greater than the MI diagnostic limit on at least one occasion within 24 hours from the index clinical event; 
2.	CK-MB:
	Maximal value of CK-MB &gt;2x the upper limit of normal (ULN) on one occasion during the first hours after the index clinical event; OR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1.	Either ST segment depression or T wave abnormalities in the ECG; or
2.	Ischaemic symptoms in the presence or absence of chest discomfort. Ischaemic symptoms may include:
	- Unexplained nausea and vomiting; or
	- Persistent shortness of breath secondary to left ventricular failure; or
	- Unexplained weakness, dizziness, light-headedness, or syncope.
	ST-Elevation Myocardial Infarction (STEMI)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ECG changes:
1.	ST-segment elevation: New or presumed new ST segment elevation at the J point in two or more contiguous leads with the cut-off points ≥ 0.2mV in leads V1, V2, or V3, or ≥0.1 mV in other leads. 
2.	Development of any Q wave in leads V1 through V3, or the development of a Q-wave ≥ 30ms (0.03s) in leads I, II, aVL, aVF, V4, V5, or V6. (Q wave changes must be present in any two contiguous leads, and be ≥1mm in depth).</t>
  </si>
  <si>
    <t>Reject file if acst=3 and iht is NULL</t>
  </si>
  <si>
    <t>Where patient 'Type of ACS' coded as ‘STEMI’, was the patient transferred from another acute care facility?</t>
  </si>
  <si>
    <t>Indicate if the patient was admitted to the PCI hospital following transfer from another acute care facility.</t>
  </si>
  <si>
    <t>Reject file if acst=3 and phn is NULL</t>
  </si>
  <si>
    <t>Where patient 'Type of ACS' coded as ‘STEMI’, Indicate if the PCI hospital was notified via electronic ECG transmission (or equivalent) from a paramedic field triage service prior to their arrival at the PCI hospital</t>
  </si>
  <si>
    <t>Indicate if the PCI hospital was notified via electronic ECG transmission (or equivalent) from a pamarmedic field triage service prior to their arrival at the PCI hospital</t>
  </si>
  <si>
    <t>If [TBD=&lt;TOP] then DBD=DOP + [1 day]
If [TBD&gt;TOP] then DBD=DOP</t>
  </si>
  <si>
    <t>24 hour clock format only</t>
  </si>
  <si>
    <t>Reject file if acst=3 and tbd is NULL</t>
  </si>
  <si>
    <t>Where patient 'Type of ACS' coded as ‘STEMI’, at what time was the first device used?</t>
  </si>
  <si>
    <t>Indicate the time the first device was used to treat the target lesion. Examples of the first device used include, but are not limited to: balloon; thrombectomy device; atherectomy device or stent.  If the lesion cannot be crossed by the guidewire or device, use the time that the guide catheter was introduced.
Note: This is a process measure, not a clinical outcomes measure and, as such, is not related to the timing of or whether TIMI 3 flow was/was not restored.</t>
  </si>
  <si>
    <t>Sympton Onset to reperfusion</t>
  </si>
  <si>
    <t>sor = [tbd-tso] + [dbd-dso]  (expressed in minutes)</t>
  </si>
  <si>
    <t>Displayed in minutes</t>
  </si>
  <si>
    <t>DBDT = [TBD-TOA] + [DBD-DOA]  (expressed in minutes)</t>
  </si>
  <si>
    <t>Reject file if acst=3 and spr is NULL</t>
  </si>
  <si>
    <t>Where patient 'Type of ACS' coded as ‘STEMI’, did the patient present to the hospital without an ambulance?</t>
  </si>
  <si>
    <t>Indicate if the patient presented to hosital by way of their own means e.g not in an ambulance or other emergency vehicle.</t>
  </si>
  <si>
    <t xml:space="preserve">
Reject file if acst = 3 and dfmc is  NULL
Reject file if dfmc&gt;dop
Reject file if dfmc&gt;dso+7
Reject file if dfmc&lt;dso
Reject file if dfmc&gt;decgd</t>
  </si>
  <si>
    <t>Where patient 'Type of ACS' coded as ‘STEMI’, what was the date of First Medical Contact?</t>
  </si>
  <si>
    <t>Indicate the date on which the patient first received medical attention (either by ambulance arriving, attendance at hospital or from a general practitioner) for their ACS symptoms. 
Note: Seeking medical attention could include the person presenting to their GP who then refers them to hospital or the person presenting directly to hospital, or the arrival of the ambulance service. If the person is already a patient at the hospital for another reason then the date recorded would be when they advised hospital staff of their symptoms.</t>
  </si>
  <si>
    <t>Reject file if acst = 3 and tfmc is  NULL
Reject file when tfmc&gt;tbd and dfmc=dop
Reject file when tfmc&lt;tso and dfmc=dso</t>
  </si>
  <si>
    <t>Where 'Type of ACS' coded as ‘STEMI’, what was the time of First Medical Contact?</t>
  </si>
  <si>
    <t>Indicate the time at which the patient first received medical attention (either by ambulance arriving, attendance at hospital or from a general practitioner) for their ACS symptoms.
Note: Seeking medical attention could include the person presenting to their GP who then refers them to hospital or the person presenting directly to hospital, or the arrival of the ambulance service. If the person is already a patient at the hospital for another reason then the time recorded would be when they advised hospital staff of their symptoms.</t>
  </si>
  <si>
    <t>SOFMC= [tfmc-tso] + [dfmc-dso]</t>
  </si>
  <si>
    <t>FMCTR= [tbd-tfmc] + [dbd-dfmc]</t>
  </si>
  <si>
    <t>FMCTD= [toa-tfmc] + [doa-dfmc]</t>
  </si>
  <si>
    <t xml:space="preserve">
Reject file if acst = 3 and decgd is  NULL</t>
  </si>
  <si>
    <t>Where 'Type of ACS' coded as ‘STEMI’, what was the date of diagnostic ECG?</t>
  </si>
  <si>
    <t>Indicate the date of the diagnostic electrocardiogram (ECG). The ECG recorded that shows evidence of ECG abnormalities consistent with a STEMI or suspected STEMI event.
Note: The diagnostic ECG may have been before admission to this hospital.</t>
  </si>
  <si>
    <t>Reject file if acst = 3 and tecgd is  NULL
Reject file when tecgd&gt;tbd and decgd=dop</t>
  </si>
  <si>
    <t>Where 'Type of ACS' coded as ‘STEMI’, what was the time of diagnostic ECG?</t>
  </si>
  <si>
    <t>Indicate the time of the diagnostic electrocardiogram (ECG). The ECG recorded that shows evidence of ECG abnormalities consistent with a STEMI or suspected STEMI event.
Note: The diagnostic ECG may have been before admission to this hospital.</t>
  </si>
  <si>
    <t>FMCTECG= [tecgd-tfmc] + [decgd-dfmc]  (expressed in minutes)</t>
  </si>
  <si>
    <t>ecgdb = [tecgd-TBD] + [decgd-DBD]  (expressed in minutes)</t>
  </si>
  <si>
    <t>INP=0 if [ACS=1] &amp; [DSO &amp; TSO] &lt; [DOA &amp; TOA] 
INP=1 if [ACS=1] &amp; [DSO &amp; TSO] ≥ [DOA &amp; TOA] 
INP is null if ACS=0</t>
  </si>
  <si>
    <t>Reject file if ACS = 0 AND PCI = 1, 2, 3, 4, 5 or 6.
Reject file if ACST=3 AND PCI = 7, 8, 9, 10, 11, 12 or 13.
Reject file if ACST = 2 AND PCI does not =8
Reject file is ACST=1 AND PCI does not =9
Reject file if NULL</t>
  </si>
  <si>
    <t>What was the reason for the current PCI?</t>
  </si>
  <si>
    <t>1= Primary PCI for STEMI &lt;12hours -  Primary PCI for patient with STEMI (or STEMI equivalent) within 12 hours of symptom onset.
2 = PCI for STEMI (12-24 hours) - PCI for patient with STEMI (or STEMI equivalent) between 12-24 hours of symptom onset.
3= Rescue PCI for STEMI (&lt;24 hours - unstable following lysis) -  Rescue PCI for STEMI (or STEMI equivalent) after a failed full-dose lysis.
4= PCI for STEMI &lt;24 hours - stable following lysis) - PCI for STEMI (or STEMI equivalent) where the patient is stable after receiving full-dose lysis.
5= PCI for STEMI (1-7 days no prior lysis)
6= PCI for STEMI (1-7 days - following lysis)
7= PCI for cardiac arrest/cardiogenic shock (Not a STEMI) - PCI performed post cardiac arrest or cardiogenic shock but without ECG or biomarker evidence of acute myocardial infarction. Note: This does not include any PCI cases for Myocardial Infarction (MI).
8= PCI for NSTEMI (&lt;7 days) - Includes patients with NSTEMI who have high risk features for short-term risk of death or nonfatal MI. High risk features includes at least one of the following:
  1. History - accelerating tempo of ischaemic symptoms in preceding 48 hours 
  2. Character of pain - prolonged ongoing (greater than 20 minutes) rest pain 
  3. Clinical findings: Pulmonary oedema, most likely due to ischemia 
  4. New or worsening mitral regurgitation murmur 
  5. S3 or new worsening crackles/crepitations 
  6. Hypotension, bradycardia, tachycardia 
  7. Age greater than 75 years 
  8. ECG: Angina at rest with transient ST-segment changes greater than 0.5 mm 
  9. Bundle-branch block, new or presumed new 
  10. Sustained ventricular tachycardia.
  11.Cardiac markers - NSTEMI patients with elevated cardiac Tn-T, Tn-l, or CK-MB.
9= PCI for unstable angina (&lt;7 days) -  Includes patients with unstable angina who have high risk features for short-term risk of death or nonfatal MI. High risk features includes at least one of the following:
  1. History - accelerating tempo of ischaemic symptoms in preceding 48 hours 
  2. Character of pain - prolonged ongoing (greater than 20 minutes) rest pain 
  3. Clinical findings: Pulmonary oedema, most likely due to ischemia 
  4. New or worsening mitral regurgitation murmur 
  5. S3 or new worsening crackles/crepitations 
  6. Hypotension, bradycardia, tachycardia 
  7. Age greater than 75 years 
  8. ECG: Angina at rest with transient ST-segment changes greater than 0.5 mm 
  9. Bundle-branch block, new or presumed new 
  10. Sustained ventricular tachycardia.
10= PCI for recent ACS (7-30 days) - Patient diagnosed with ACS symptoms more than 7 days ago (e.g. STEMI, NSTEMI or Unstable Angina) but symptoms have stabilised without repeated or recurrent events. Patient is no longer considered ‘acute’ at the time of the current PCI if symptom onset was &gt;7 days ago.
11= Staged PCI -  Any subsequent, PLANNED PCI procedure undertaken as part of a multi-vessel intervention strategy. Earlier PCIs could have been in a prior admission or during the current admission and must be within 3 months from the current PCI
12 = PCI for Angina/angina equivalent symptoms
13= PCI for No angina/angina equivalent symptoms</t>
  </si>
  <si>
    <t>Which entry location was used to provide access for the procedure?</t>
  </si>
  <si>
    <t>Was the patient intubated during the procedure?</t>
  </si>
  <si>
    <t>Was ventricular support required during the procedure?</t>
  </si>
  <si>
    <t>Indicate if the patient required mechanical ventricular support prior to or during the index PCI procedure. 
Note: Mechanical ventricular support includes: intra-aortic balloon pump (IABP), cardiopulmonary bypass, left ventricular assist device (LVAD), extracorporeal membrane oxygenation (ECMO), mechanical chest compression device (e.g. Lund University Cardiac Arrest System - LUCAS) and/or catheter based cardiac assist device (e.g.IMPELLA heart pump).</t>
  </si>
  <si>
    <t>Up to 5 lesions can be entered. Fields are coded in data extract as LR1_LESION, LR2_LESION …  LR5_LESION.</t>
  </si>
  <si>
    <t>Up to 5 lesions can be entered. Fields coded in data extract as LR1_LESION, LR2_LESION …  LR5_LESION.</t>
  </si>
  <si>
    <t>Reject file if NULL
Reject file if PPCI =0 AND lr1_isr=1</t>
  </si>
  <si>
    <t>Does the current lesion location have a pre-existing stent implanted from a prior PCI to the same site?</t>
  </si>
  <si>
    <t>Reject file if NULL
Reject file if PPCI=0 AND lr1_isrst=1</t>
  </si>
  <si>
    <t>Was the current lesion treated due to the presence of a thrombus in a pre-existing stent?</t>
  </si>
  <si>
    <t>Indicate whether the current lesion was treated due to the presence of a thrombus in the pre-existing stent OR within 5mm of stent edges.</t>
  </si>
  <si>
    <t>Was the lesion successfully treated?</t>
  </si>
  <si>
    <t>Indicate whether the lesion was successfully treated. 
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t>
  </si>
  <si>
    <t>1=Bare metal stent(s) only (BMS)
2=Drug-eluting stent(s) (DES)
3=Mixed stent(s) (combined BMS &amp; DES)
4=Bioresorbable stent(s) (BRS)
5=Other stents/scaffolds 
6 = POBA (Plain Balloon Angioplasty)
7= No Stent / No Balloon</t>
  </si>
  <si>
    <t>What type of stent/balloon was used?</t>
  </si>
  <si>
    <t>Reject file if NULL and lr2_lesion has data
Reject file if PPCI =0 AND lr2_isr=1
Reject file if lr2_isr has data and lr2_lesion=Null</t>
  </si>
  <si>
    <t>Reject file if NULL and lr2_lesion has data
Reject file if PPCI=0 AND lr2_isrst=1</t>
  </si>
  <si>
    <t>Reject file if NULL and lr2_lesion has data</t>
  </si>
  <si>
    <t>Reject file if NULL and lr3_lesion has data
Reject file if PPCI =0 AND lr3_isr=1
Reject file if lr3_isr has data and lr3_lesion=Null</t>
  </si>
  <si>
    <t>Reject file if NULL and lr3_lesion has data
Reject file if PPCI=0 AND lr3_isrst=1</t>
  </si>
  <si>
    <t>Reject file if NULL and lr3_lesion has data</t>
  </si>
  <si>
    <t>Reject file if NULL and lr4_lesion has data
Reject file if PPCI =0 AND lr4_isr=1
Reject file if lr4_isr has data and lr4_lesion=Null</t>
  </si>
  <si>
    <t>Reject file if NULL and lr4_lesion has data
Reject file if PPCI=0 AND lr4_isrst=1</t>
  </si>
  <si>
    <t>Reject file if NULL and lr4_lesion has data</t>
  </si>
  <si>
    <t>Reject file if NULL and lr5_lesion has data
Reject file if PPCI =0 AND lr5_isr=1
Reject file if lr5_isr has data and lr5_lesion=Null</t>
  </si>
  <si>
    <t>Reject file if NULL and lr5_lesion has data
Reject file if PPCI=0 AND lr4_isrst=1</t>
  </si>
  <si>
    <t>Reject file if NULL and lr5_lesion has data</t>
  </si>
  <si>
    <t>Reject file if value entered is &gt;999</t>
  </si>
  <si>
    <t>What was the total radiation dose?</t>
  </si>
  <si>
    <t>Indicate the total radiation dose (Cumulative Air Kerma, or Reference Air Kerma) recorded to the nearest milligray (mGy). The value recorded should include the total dose for the lab visit. Cumulative air kerma is the total air kerma accrued from the
beginning of an examination or procedure and includes all contributions from fluoroscopic and radiographic irradiation.</t>
  </si>
  <si>
    <t>What was the Dose Area Product?</t>
  </si>
  <si>
    <t>Reject file if value entered if &gt;300</t>
  </si>
  <si>
    <t>What was the total fluoroscopy time?</t>
  </si>
  <si>
    <t>Indicate the total fluoroscopy time in mins. Report to the nearest 0.1 min</t>
  </si>
  <si>
    <t>post_procedural</t>
  </si>
  <si>
    <t>Did the patient experience a myocardial infarction while an in-patient?</t>
  </si>
  <si>
    <t>Indicate whether the patient experienced the NEW presence of myocardial infarction (MI) either during the index cardiac catheter lab visit, after the lab visit or any subsequent lab visits, but prior to discharge. 
There may be some minor variation in the way participating registries define this item.
Supporting definition:
The in-hospital, PCI-related MI MUST be a distinct clinical event that can be identified as a separate event to the index PCI. As such, the in-hospital NEW or recurrent MI will differ among patients presenting with normal cardiac biomarker levels and those patients whose pre-procedure baseline biomarker levels are elevated.
1. Patients with NORMAL baseline biomarker levels, the NEW or recurrent MI MUST include:
- Elevated biomarkers* &gt;5 the upper limit of normal (ULN) ≤48 hours of index PCI
AND AT LEAST ONE of the following: 
- Evolutionary ST segment elevation (≥0.1mV) distinct from the index event
- Development of new Q-waves (≥40ms duration) in 2 or more contiguous ECG leads 
- Ischaemic symptoms (with or without chest discomfort) lasting ≥20mins
- Angiographic evidence flow limiting complications (embolism, persistent slow-flow or no re-flow, etc.)
- Imaging evidence of new loss of myocardium or new regional wall flow abnormality
Note: CABG-related peri-procedural MI (within 48 hours of CABG) requires CK-MB  ≥10x ULN.
2.Patients with ELEVATED baseline cardiac biomarker levels.
If cardiac biomarker levels are still rising (have not peaked) at the time of the index PCI procedure, an in-hospital NEW or recurrent MI CANNOT be diagnosed. For patients whose elevated cardiac biomarker level HAVE PEAKED (no longer rising) by the current PCI procedure time, the in-hospital MI MUST  include: 
- A NEW elevation of biomarkers ≥20% from the pre-procedural cardiac biomarker levels 
AND AT LEAST ONE of the following: 
- Evolutionary ST segment elevation (≥0.1mV) distinct from the index event; 
- Development of new Q-waves (≥40ms duration) in 2 or more contiguous ECG leads;
- Ischaemic symptoms (with or without chest discomfort) lasting &gt;20mins; 
- Angiographic evidence flow limiting complications (embolism, persistent slow-flow or no re-flow, etc.).
- Imaging evidence of new loss of myocardium or new regional wall flow abnormality. 
Note: CABG-related peri-procedural MI (within 48 hours of CABG) requires CK-MB  ≥10x ULN.
* Troponin (T or I) is the preferred cardiac biomarker for defining the presence of MI. In the absence of Troponin, CK-MB is the best alternative (but total CK can be used, where CK-MB and Troponin are both unavailable).</t>
  </si>
  <si>
    <t>Did the patient undergo a subsequent PCI during the same admission?</t>
  </si>
  <si>
    <t>Reject file if ihpci=0 and ihpcip has data
Reject file if ihpci=1 and ihpcip is NULL</t>
  </si>
  <si>
    <t>Where item Subsequent PCI was coded ‘yes’, was the subsequent PCI planned?</t>
  </si>
  <si>
    <t>Indicate whether the subsequent PCI was planned. 
Note: A ‘planned in-hospital PCI’ is defined as a STAGED or scheduled elective PCI only.   For emergent PCI interventions that were not previously scheduled, code as ‘no’.
Note: Any target vessel revascularisation of a successfully treated lesion should be coded as ‘unplanned’.  Subsequent revascularisations of a previous unsuccessfully treated lesion is situation dependant .</t>
  </si>
  <si>
    <t>Reject file if ihpci=0 and intvr has data
Reject file if ihpci =1 and ihtvr is NULL</t>
  </si>
  <si>
    <t>Where item Subsequent PCI was coded ‘yes’, was the target vessel revascularised?</t>
  </si>
  <si>
    <t>Reject file if ihtvr=0 and ihtlr has data
Reject file if ihtvr=1 and ihtlr is NULL</t>
  </si>
  <si>
    <t>Where item In-hospital TVR was coded ‘yes’, was the target lesion also revascularised?</t>
  </si>
  <si>
    <t>Did the patient undergo or was transferred for cardiothoracic surgery prior to discharge?</t>
  </si>
  <si>
    <t>Indicate if the patient underwent or was transferred for cardiothoracic surgery (whether or not this actually involved the placing of bypass grafts) either during the cardiac catheter lab visit, after the lab visit, but prior to discharge and/or any subsequent lab visits. 
Note: The surgery should be cardiothoracic (i.e. not related to peripheral vascular complications). The surgical indication may have been, but are not exclusive to: 
-Prompted/indicated by a need to correct an emergency complication of the index PCI (e.g. abrupt vessel closure, cardiac vessel perforation, dissection of a thoracic great vessel, etc.); OR  
-CABG to revascularise the target vessel treated during the index PCI; either during or after the catheter lab visit, but prior to discharge and/or any subsequent lab visits; OR 
-For a patient who underwent a successful PCI (e.g. for an ACS) but required a CABG for anatomical or pre-existing CAD indications (e.g. left-main disease, triple-vessel disease, etc.).
Note:  If the patient was transferred from the index hospital to a tertiary facility for cardiothoracic surgery as part of ongoing treatment related to the index PCI (e.g. emergency CABG) then code as ‘yes’.</t>
  </si>
  <si>
    <t>Reject file if ihcab=0 and ihpcab has data
Reject file if ihcab=1 and ihpcab is NULL</t>
  </si>
  <si>
    <t>Where item In-hospital cardiothoracic surgery was coded ‘yes’, was the cardiothoracic surgery was planned?</t>
  </si>
  <si>
    <t>Indicate whether the cardiothoracic surgery was planned. 
Note: A ‘planned cardiothoracic surgery’ is defined as a SCHEDULED surgical event only. For emergent surgeries that were not scheduled or planned, code as ‘no’.
Note: Any target vessel revascularisation of a successfully treated lesion should be coded as ‘unplanned’.  Subsequent revascularisations of a previous unsuccessfully treated lesion is situation dependant Please contact NCR project team if unsure.</t>
  </si>
  <si>
    <t>Reject file if ihcab=0 and ihtvcab has data
Reject file if ihcab=1 and ihtvcab is NULL</t>
  </si>
  <si>
    <t>Where In-hospital cardiothoracic surgery was coded ‘yes’, did the surgery involve the placing of coronary artery bypass grafts to revascularise the target vessel?</t>
  </si>
  <si>
    <t>Did the patient experience a stroke while an in-patient?</t>
  </si>
  <si>
    <t>Reject file if ihstr=0 and Ihstrt has data
Reject file if ihstr=1 and ihstrt is NULL</t>
  </si>
  <si>
    <t>Where In-hospital stroke was coded 'yes', specify the type of stroke.</t>
  </si>
  <si>
    <t>Reject file if NULL
Reject file if ihbl=6 and ihcab=0
Reject file if ihbl&gt;6 and dis&lt;6</t>
  </si>
  <si>
    <t>Did the bleeding occur during the admission?</t>
  </si>
  <si>
    <t>Indicate if the patient experienced a NEW bleeding event either during this cardiac catheter lab visit, after this lab visit but prior to any subsequent lab visits and prior to discharge.
BARC:
Type 0 - No bleeding
Type 1 - Bleeding that is not actionable and does not cause the patient to seek treatment
Type 2 - Any clinically overt sign of hemorrhage that “is actionable” and requires diagnostic studies, hospitalization, or treatment by a health care professional
Type 3 - 
  a.       Overt bleeding plus hemoglobin drop of 3 to &lt; 5 g/dL (provided hemoglobin drop is related to bleed); transfusion with overt bleeding
  b.      Overt bleeding plus hemoglobin drop &lt; 5 g/dL (provided hemoglobin drop is related to bleed); cardiac tamponade; bleeding requiring surgical intervention for control; bleeding requiring IV vasoactive agents
  c.       Intracranial hemorrhage confirmed by autopsy, imaging, or lumbar puncture; intraocular bleed compromising vision
Type 4 - CABG-related bleeding within 48 hours
Type 5 - 
  a.     Probable fatal bleeding
  b.     Definite fatal bleeding (overt or autopsy or imaging confirmation)</t>
  </si>
  <si>
    <t>Reject file if ihbl = 0 and ihblsite has data
Reject file if ihbl &gt;=1 and ihblsite is NULL</t>
  </si>
  <si>
    <t>Where in-hospital bleeding was coded 'Type 1, 2, 3a, 3b, 3c, 4, 5a, or 5b', specify the site.</t>
  </si>
  <si>
    <t>Indicate the bleeding site from the following:
- Retroperitoneal - Indicate whether retroperitoneal bleeding occurred during or after the cath lab visit and until discharge. 
- Percutaneous entry site - Indicate whether bleeding occurred at the percutaneous entry site during or after the cath lab visit and until discharge.  Bleeding at the percutaneous entry site can be external or a haematoma &gt;10cm for femoral access or &gt;2cm for radial access or &gt;5cm for brachial access. 
- Gastrointestinal tract - Indicate whether gastrointestinal bleeding occurred during or after the cath lab visit and until discharge. 
- Cerebral - Indicate whether cerebral bleeding occurred during or after the cath lab visit and until discharge. 
- Genital/Urinary - Indicate whether genital or urinary bleeding occurred during or after the cath lab visit and until discharge.  
- Other –</t>
  </si>
  <si>
    <t>Did a stent thrombosis occur during the admission?</t>
  </si>
  <si>
    <t>discharge</t>
  </si>
  <si>
    <t>Reject file if ihbl&gt;6 and dis=1-5
Reject file if dis = NULL</t>
  </si>
  <si>
    <t>Under what conditions was the patient from the hospital?</t>
  </si>
  <si>
    <t>DOD must be ≥ DOP</t>
  </si>
  <si>
    <t>Reject file if dod &lt; dop
Reject file if dod = NULL</t>
  </si>
  <si>
    <t>Indicate the date the patient was discharged from the PCI hospital admission (or the date of death where the patient died during the index admission). Note: For a patient who dies in-hospital without being discharged from the acute care setting the discharge and death date are the same.</t>
  </si>
  <si>
    <t>LOS=[DOD-DOA]</t>
  </si>
  <si>
    <t>Reject file if dis=6 and crehab has data
Reject file if dis &lt; 6 crehab is NULL</t>
  </si>
  <si>
    <t>Was the patient referred to cardiac rehabilitation program?</t>
  </si>
  <si>
    <t>Reject file if dis &lt; 6 and mortc has data
Reject file if dis=6 and mortc is NULL</t>
  </si>
  <si>
    <t>Where Discharge status is coded “Hospital Mortality”</t>
  </si>
  <si>
    <t>0=No
1=Yes
2=Contraindicated                                                                                                                                                                                                                                                                                                                                                                                                                                                                                                3=Not collected</t>
  </si>
  <si>
    <t>Reject file if dis=6 and dasp has data
Reject file if dis = 1-5 and dasp is NULL</t>
  </si>
  <si>
    <t>Was aspirin prescribed at discharge?</t>
  </si>
  <si>
    <t>Indicate if the patient is prescribed and taking aspirin at discharge from the PCI admission.
Aspirin agents include: aspirin, astrix, cardiprin, cartia, assasantin, aspro, disprin and solprin.</t>
  </si>
  <si>
    <t>Reject file if dis=6 and doap has data
Reject file if dis = 1-5 and doap is NULL</t>
  </si>
  <si>
    <t>Were other antiplatelets (excluding aspirin) prescribed at discharge?</t>
  </si>
  <si>
    <t>Indicate if the patient is prescribed and taking other antiplatelets at discharge from the PCI admission.
Antiplatelets agents include: Thienopyridine agents (clopidogrel, ticlopidine, prasugrel), Ticagrelor.</t>
  </si>
  <si>
    <t>Reject file if dis=6 and dstp has data
Reject file if dis = 1-5 and dstp is NULL</t>
  </si>
  <si>
    <t>Was a statin prescribed at discharge?</t>
  </si>
  <si>
    <t>Indicate if the patient is prescribed and taking a statin at discharge from the PCI admission.
Statin agents include: atorvastatin, fluvastatin, pravastatin, rosuvastatin and simvastatin.</t>
  </si>
  <si>
    <t>Reject file if dis=6 and doll has data
Reject file if dis = 1-5 and doll is NULL</t>
  </si>
  <si>
    <t>Were other Lipid Lowering Therapies (excluding statins) prescribed at discharge?</t>
  </si>
  <si>
    <t>follow_up</t>
  </si>
  <si>
    <t>Reject file if dfu30 is NULL AND dis=1-5
Reject file if dis=6 and dfu30 contains data
Reject file if dfu30 &lt;dod</t>
  </si>
  <si>
    <t>On what date was the follow-up undertaken? All patients must be followed up (or attempted to be followed up) at 30 days post discharge from the PCI admission.</t>
  </si>
  <si>
    <t>Reject file if stat30 is NULL AND dis=1-5
Reject file if dis=6 and stat30 contains data</t>
  </si>
  <si>
    <t>Was the patient alive or dead at follow-up?</t>
  </si>
  <si>
    <t>Indicate whether the patient was alive or dead at 30 days after discharge from the index admission.</t>
  </si>
  <si>
    <t>DMORT30 must be ≥ DOD</t>
  </si>
  <si>
    <t>Reject file if dmort30 &lt;dod
Reject file if stat30=1 and dmort 30 is NULL
Reject file if stat30=0 and dmort 30 contains data
Reject file if dis=6 and dmort30 contains data</t>
  </si>
  <si>
    <t>Where the Follow-up status is coded as 'Deceased', what was the date of death?</t>
  </si>
  <si>
    <t>Reject file if stat30=0 or -1 AND  mort30r contains data
Reject file if stat30=1 and mort30r is NULL</t>
  </si>
  <si>
    <t>Where the Follow-up status is coded as 'Deceased', what was the cause of death?</t>
  </si>
  <si>
    <t>Reject file if NULL and STAT30≥0
Reject file if stat30=-1 and mi30 contains data
Reject file if dis=6 and mi30 contains data</t>
  </si>
  <si>
    <t>Did the patient experience a myocardial infarction during the 30-day follow-up period?</t>
  </si>
  <si>
    <t>Indicate if the patient experienced a new myocardial infarction (MI) within 30 days from the date of discharge from the index admission. 
The new MI is defined by the following criteria: 
Non ST-Elevation Myocardial Infarction (NSTEMI):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1.       Either ST segment depression or T wave abnormalities in the ECG; or
2.       Ischaemic symptoms in the presence or absence of chest discomfort. Ischaemic symptoms may include:
-  Unexplained nausea and vomiting; or
-  Persistent shortness of breath secondary to left ventricular failure; or
-  Unexplained weakness, dizziness, light-headedness, or syncope
ST-Elevation Myocardial Infarction (STEMI)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ECG changes…
1.      ST-segment elevation: New or presumed new ST segment elevation at the J point in two or more contiguous leads with the cut-off points ≥ 0.2mV in leads V1, V2, or V3, or ≥0.1 mV in other leads. 
2.      Development of any Q wave in leads V1 through V3, or the development of a Q-wave ≥ 30ms (0.03s) in leads I, II, aVL, aVF, V4, V5, or V6. (Q wave changes must be present in any two contiguous leads, and be ≥1mm in depth).</t>
  </si>
  <si>
    <t>Reject file if NULL and STAT30≥0
Reject file if stat30=-1 and st30 contains data
Reject file if dis=6 and st30 contains data</t>
  </si>
  <si>
    <t>Did a stent thrombosis occur during the 30-day follow-up period?</t>
  </si>
  <si>
    <t>Indicate whether a stent thrombosis occurred within 30 days from the date of discharge from the current admission.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Select ONE of the following options that apply:
-No stent thrombosis: Where there are no acute coronary syndrome (ACS) symptoms or death after the index PCI lab visit and/or prior to discharge OR ACS symptoms occur during the defined period, but angiographic evidence does not indicate thrombus or occlusion.
-Definite stent thrombosis: The presence of an ACS with angiographic or autopsy evidence of thrombus or occlusion.
-Probable stent thrombosis: Includes unexplained deaths during the index admission after the procedure or acute myocardial infarction involving the target-vessel territory without angiographic or autopsy confirmation.
-Silent stent thrombosis: The incidental angiographic documentation of stent occlusion in the absence of clinical
signs or symptoms is not considered stent thrombosis.
-Unknown</t>
  </si>
  <si>
    <t>Reject file if NULL and STAT30≥0
Reject file if stat30=-1 and nstr contains data
Reject file if dis=6 and nstr contains data</t>
  </si>
  <si>
    <t>Did the patient experience a stroke during the 30-day follow-up period?</t>
  </si>
  <si>
    <t>1=Haemorrhagic
2=Ischaemic
-1=Unknownn</t>
  </si>
  <si>
    <t>Reject file if nstr=1 and nstrt is NULL
Reject file if nstr = 0 or -1 and nstrt contains data</t>
  </si>
  <si>
    <t>Where new stroke was coded 'yes', specify the type of stroke.</t>
  </si>
  <si>
    <t>Up to 6 rehospitalisations be entered.  
 Fields are coded in data extract as CRH30, CRH30_2, CRH30_3-5..,</t>
  </si>
  <si>
    <t>Reject file if crh30 is NULL and stat30≥0
Reject file if crh30 contains data and stat30=-1
Reject file if dis=6 and crh30 contains data</t>
  </si>
  <si>
    <t>Did the patient have a cardiac rehospitalisation within 30 days?</t>
  </si>
  <si>
    <t>Indicate whether the patient had a cardiac rehospitalisation, where a cardiac rehospitalisation is defined as an in-patient admission that includes, but is not limited to any of the following circumstances: heart failure; acute coronary syndrome (e.g STEMI, NSTEMI; recurrent or unstable angina); arrhythmia; elective (non emergency) PCI or CAGB etc.
Include rehospitalisations with a primary diagnosis that has the following ICD-10 AM codes:
I00 – I02: Acute rheumatic fever
I05 – I09: Chronic rheumatic heart disease
I10 – I15: Hypertensive diseases
I20 – I25: Ischaemic heart disease
I30 – I52: Other forms of heart disease
I70 – I72: Atherosclerosis, aortic aneurysm and dissection
I74: Arterial embolism and thrombosis
I77.0: Arteriovenous fistula, acquired
R00: Abnormalities of heart beat
R01: Cardiac murmurs and other cardiac sounds
R03: Abnormal blood pressure reading
R07: Pain in throat and chest
All other ICD-10 codes should be classified as non-cardiac</t>
  </si>
  <si>
    <t>Reject file if rhdte &gt;dod + 30
Reject file if rhdte &lt;dod
Reject file if crh30 =1 and rhdte is NULL
Reject file if crh30=0 and rhdte has data</t>
  </si>
  <si>
    <t>Where cardiac rehospitalisation is coded as 'Yes', on what date was the rehospitalisation?</t>
  </si>
  <si>
    <t>Reject file if  crh30=1 AND pc30 is NULL
Reject file if crh30=0 and pc30 has data</t>
  </si>
  <si>
    <t>Where Cardiac rehospitalisation is coded as 'Yes', was the hospitalisation planned?</t>
  </si>
  <si>
    <t>Reject file if  crh30=1 AND pci30 is NULL
Reject file if crh30=0 and pci30 has data</t>
  </si>
  <si>
    <t>Where Cardiac Rehospitalisation is coded as 'Yes', was PCI performed during this admission?</t>
  </si>
  <si>
    <t>if pci30=1</t>
  </si>
  <si>
    <t>Reject file if pci30 =0 or -1 and tvr30 has data
Reject file if pci30=1 and tvr30 is NULL</t>
  </si>
  <si>
    <t>Where PCI rehospitalisation  is coded as 'Yes', was the target VESSEL revascularised during the post-discharge subsequent PCI?</t>
  </si>
  <si>
    <t>if tvr30=1</t>
  </si>
  <si>
    <t>Reject file if tvr30 =0 or -1 and tlr30 has data
Reject file if tvr30=1 and tlr30 is NULL</t>
  </si>
  <si>
    <t>Where PCI rehospitalisation  is coded as 'Yes', was the target LESION revascularised during the post-discharge subsequent PCI?</t>
  </si>
  <si>
    <t>Reject file if crh30=1 AND cab30 is NULL
Reject file if crh30=0, or -1, or NULL AND cab30 has data</t>
  </si>
  <si>
    <t>Where Cardiac Rehospitalisation is coded as 'Yes', was CABG performed during this admission?</t>
  </si>
  <si>
    <t>Indicate whether Coronary Bypass Grafting (CABG) was performed during the cardiac rehospitalisation admission</t>
  </si>
  <si>
    <t>if cab30=1</t>
  </si>
  <si>
    <t>Reject file if cab30 =0, or -1, or NULL and tvcab30 has data
Reject file if cab30=1 and tvcab30 is NULL</t>
  </si>
  <si>
    <t>Where CABG rehospitalisation  is coded as 'Yes', did the surgery involvedthe placing of coronary artery bypass grafts to revascularise the target vessel treated during the index PCI</t>
  </si>
  <si>
    <t>Indicate whether the surgery involved the placing of coronary artery bypass grafts to revascularise the target vessel treated during the index PCI</t>
  </si>
  <si>
    <t>Reject file if rhdte_2 &gt;dod + 30
Reject file if rhdte_2 &lt;dod
Reject file if crh30_2 =1 and rhdte_2 is NULL
Reject file if crh30_2=NULL and rhdte_2 has data</t>
  </si>
  <si>
    <t>Reject file if  crh30_2=1 AND pc30_2 is NULL
Reject file if crh30_2=NULL and pc30_2 has data</t>
  </si>
  <si>
    <t>Reject file if  crh30_2=1 AND pci30_2 is NULL
Reject file if crh30_2=NULL and pci30_2 has data</t>
  </si>
  <si>
    <t>Reject file if pci30_2 =0 or -1 and tvr30_2 has data
Reject file if pci30_2=1 and tvr30_2 is NULL</t>
  </si>
  <si>
    <t>Reject file if tvr30_2 =0 or -1 and tlr30_2 has data
Reject file if tvr30_2=1 and tlr30_2 is NULL</t>
  </si>
  <si>
    <t>Reject file if crh30_2=1 AND cab30_2 is NULL
Reject file if crh30_2=0, or -1, or NULL AND cab30_2 has data</t>
  </si>
  <si>
    <t>Reject file if cab30_2 =0, or -1, or NULL and tvcab30_2 has data
Reject file if cab30_2=1 and tvcab30_2 is NULL</t>
  </si>
  <si>
    <t>Reject file if rhdte_3 &gt;dod + 30
Reject file if rhdte_3 &lt;dod
Reject file if crh30_3 =1 and rhdte_3 is NULL
Reject file if crh30_3=NULL and rhdte_3 has data</t>
  </si>
  <si>
    <t>Reject file if  crh30_3=1 AND pc30_3 is NULL
Reject file if crh30_3=NULL and pc30_3 has data</t>
  </si>
  <si>
    <t>Reject file if  crh30_3=1 AND pci30_3 is NULL
Reject file if crh30_3=NULL and pci30_3 has data</t>
  </si>
  <si>
    <t>Reject file if pci30_3 =0 or -1 and tvr30_3 has data
Reject file if pci30_3=1 and tvr30_3 is NULL</t>
  </si>
  <si>
    <t>Reject file if tvr30_3 =0 or -1 and tlr30_3 has data
Reject file if tvr30_3=1 and tlr30_3 is NULL</t>
  </si>
  <si>
    <t>Reject file if crh30_3=1 AND cab30_3 is NULL
Reject file if crh30_3=0, or -1, or NULL AND cab30_3 has data</t>
  </si>
  <si>
    <t>Reject file if cab30_3 =0, or -1, or NULL and tvcab30_3 has data
Reject file if cab30_3=1 and tvcab30_3 is NULL</t>
  </si>
  <si>
    <t>Reject file if rhdte_4 &gt;dod + 30
Reject file if rhdte_4 &lt;dod
Reject file if crh30_4 =1 and rhdte_4 is NULL
Reject file if crh30_4=NULL and rhdte_4 has data</t>
  </si>
  <si>
    <t>Reject file if  crh30_4=1 AND pc30_4 is NULL
Reject file if crh30_4=NULL and pc30_4 has data</t>
  </si>
  <si>
    <t>Reject file if  crh30_4=1 AND pci30_4 is NULL
Reject file if crh30_4=NULL and pci30_4 has data</t>
  </si>
  <si>
    <t>Reject file if pci30_4 =0 or -1 and tvr30_4 has data
Reject file if pci30_4=1 and tvr30_4 is NULL</t>
  </si>
  <si>
    <t>Reject file if tvr30_4 =0 or -1 and tlr30_4 has data
Reject file if tvr30_4=1 and tlr30_4 is NULL</t>
  </si>
  <si>
    <t>Reject file if crh30_4=1 AND cab30_4 is NULL
Reject file if crh30_4=0, or -1, or NULL AND cab30_4 has data</t>
  </si>
  <si>
    <t>Reject file if cab30_4 =0, or -1, or NULL and tvcab30_4 has data
Reject file if cab30_4=1 and tvcab30_4 is NULL</t>
  </si>
  <si>
    <t>Reject file if rhdte_5 &gt;dod + 30
Reject file if rhdte_5 &lt;dod
Reject file if crh30_5 =1 and rhdte_5 is NULL
Reject file if crh30_5=NULL and rhdte_5 has data</t>
  </si>
  <si>
    <t>Reject file if  crh30_5=1 AND pc30_5 is NULL
Reject file if crh30_5=NULL and pc30_5 has data</t>
  </si>
  <si>
    <t>Reject file if  crh30_5=1 AND pci30_5 is NULL
Reject file if crh30_5=NULL and pci30_5 has data</t>
  </si>
  <si>
    <t>Reject file if pci30_5 =0 or -1 and tvr30_5 has data
Reject file if pci30_5=1 and tvr30_5 is NULL</t>
  </si>
  <si>
    <t>Reject file if tvr30_5 =0 or -1 and tlr30_5 has data
Reject file if tvr30_5=1 and tlr30_5 is NULL</t>
  </si>
  <si>
    <t>Reject file if crh30_5=1 AND cab30_5 is NULL
Reject file if crh30_5=0, or -1, or NULL AND cab30_5 has data</t>
  </si>
  <si>
    <t>Reject file if cab30_5 =0, or -1, or NULL and tvcab30_5 has data
Reject file if cab30_5=1 and tvcab30_5 is NULL</t>
  </si>
  <si>
    <t>Reject file if rhdte_6 &gt;dod + 30
Reject file if rhdte_6 &lt;dod
Reject file if crh30_6 =1 and rhdte_6 is NULL
Reject file if crh30_6=NULL and rhdte_6 has data</t>
  </si>
  <si>
    <t>Reject file if  crh30_6=1 AND pc30_6 is NULL
Reject file if crh30_6=NULL and pc30_6 has data</t>
  </si>
  <si>
    <t>Reject file if  crh30_6=1 AND pci30_6 is NULL
Reject file if crh30_6=NULL and pci30_6 has data</t>
  </si>
  <si>
    <t>Reject file if pci30_6 =0 or -1 and tvr30_6 has data
Reject file if pci30_6=1 and tvr30_6 is NULL</t>
  </si>
  <si>
    <t>Reject file if pci30_6 =0 or -1 and tlr30_6 has data
Reject file if pci30_6=1 and tlr30_6 is NULL</t>
  </si>
  <si>
    <t>Reject file if crh30_6=1 AND cab30_6 is NULL
Reject file if crh30_6=0, or -1, or NULL AND cab30_6 has data</t>
  </si>
  <si>
    <t>Reject file if cab30_6 =0, or -1, or NULL and tvcab30_6 has data
Reject file if cab30_6=1 and tvcab30_6 is NULL</t>
  </si>
  <si>
    <t>Tranche Summary</t>
  </si>
  <si>
    <t>(Multiple Items)</t>
  </si>
  <si>
    <t>Multiples</t>
  </si>
  <si>
    <t>Joined</t>
  </si>
  <si>
    <t>Column Name</t>
  </si>
  <si>
    <t>wa_diabetes_hmdc</t>
  </si>
  <si>
    <t>wa_p_cabg_hmdc</t>
  </si>
  <si>
    <t>wa_date_p_cabg_hmdc</t>
  </si>
  <si>
    <t>wa_p_pci_hmdc</t>
  </si>
  <si>
    <t>wa_date_p_pci_hmdc</t>
  </si>
  <si>
    <t>wa_spr_hmdc, wa_spr_eddc</t>
  </si>
  <si>
    <t>wa_IHPCPI_hmdc</t>
  </si>
  <si>
    <t>Can be sourced from HMDC inpatient if satisfied with episode stitching</t>
  </si>
  <si>
    <t>Sourced from Deaths Registry. RG confirmed approval to share</t>
  </si>
  <si>
    <t>wa_CRH30_hmdc, wa_CRH30_2_hmdc, ..., 
wa_CRH30_6_hmdc</t>
  </si>
  <si>
    <t>wa_RHDTE30_hmdc,
wa_RHDTE30_2_hmdc, ...,
wa_RHDTE30_6_hmdc</t>
  </si>
  <si>
    <t>wa_PC30_hmdc,
wa_PC30_2_hmdc, ..., 
wa_PC30_6_hmdc</t>
  </si>
  <si>
    <t>wa_PCI30_hmdc, 
wa_PCI30_2_hmdc, ...,
wa_PCI30_6_hmdc</t>
  </si>
  <si>
    <t>wa_CABG30_hmdc,
wa_CABG30_2_hmdc, ...,
wa_CABG30_6_hmdc</t>
  </si>
  <si>
    <t>wa_MI30_hmdc, wa_MI30_eddc</t>
  </si>
  <si>
    <t>Only pvd1 OR pvd2 - BW to review with WACCA &amp; vascular clinicians</t>
  </si>
  <si>
    <t>Requires caveat re: unknown included in value 4 (Neither Aboriginal nor Torres Strait Islander)</t>
  </si>
  <si>
    <t>wa_inds_hmdc</t>
  </si>
  <si>
    <t>wacor_development_comments</t>
  </si>
  <si>
    <t>collection_method</t>
  </si>
  <si>
    <t>Example: This is the NCR portal user's first name.</t>
  </si>
  <si>
    <t>0  = not defined
1 = definition drafted
2 = definition agreed by wacor project team
3 = definition out to consultation with stakeholders
4 = definition being revised
5 = definition approved 
6 = definition finalised</t>
  </si>
  <si>
    <t>e.g. hmds (view &amp; data item name), HIH (table name &amp; data item name), cardiobase (module name, field name)</t>
  </si>
  <si>
    <t>0 = idea
10 = potential data source identified
2 0= data source confirmed
30 = data source accessed
40 = data source testing
50 = data source mapping
60 = data source finalised
70 = data source in production
80 = data source deprecated</t>
  </si>
  <si>
    <t>Example : The patient's residential postcode at the time of admission. Further information can be found in the inpatient data dictionary defintion: https://meteor.aihw.gov.au/content/429894</t>
  </si>
  <si>
    <t>Disease Register SnowSQL View</t>
  </si>
  <si>
    <t>ALL_MI30</t>
  </si>
  <si>
    <t>ALL_SPR</t>
  </si>
  <si>
    <t>DR_DEATH</t>
  </si>
  <si>
    <t>HMDC_CABG</t>
  </si>
  <si>
    <t>HMDC_CHARLSON</t>
  </si>
  <si>
    <t>HMDC_COVID</t>
  </si>
  <si>
    <t>HMDC_PPCI</t>
  </si>
  <si>
    <t>HMDC_PVD</t>
  </si>
  <si>
    <t>HMDC_READM_CARDIAC</t>
  </si>
  <si>
    <t>HMDC_STROKE</t>
  </si>
  <si>
    <t>WEBPAS_SMOKE</t>
  </si>
  <si>
    <t>Cardiobase PCI extract field list</t>
  </si>
  <si>
    <t>Cardiobase Risk Score Module extract field list</t>
  </si>
  <si>
    <t xml:space="preserve">Also refer: https://wahealthdept.sharepoint.com/:x:/r/sites/WACardiacOutcomeRegistry/Shared%20Documents/02%20Project%20Initiation/03%20Current%20State/Data%20Mapping/WACOR%20Data%20Mapping%20Plan%2020201126.xlsx?d=w54774bb9ced94f14ad93896cde55e86f&amp;csf=1&amp;web=1&amp;e=QPZ1X3 </t>
  </si>
  <si>
    <t>Field</t>
  </si>
  <si>
    <t>Link</t>
  </si>
  <si>
    <t>UMRN</t>
  </si>
  <si>
    <t>Patient unique identifier across WA WebPAS instances</t>
  </si>
  <si>
    <t>Test Date</t>
  </si>
  <si>
    <t>Hospital</t>
  </si>
  <si>
    <t>Doctor</t>
  </si>
  <si>
    <t>Age</t>
  </si>
  <si>
    <t>Height</t>
  </si>
  <si>
    <t>Ward</t>
  </si>
  <si>
    <t>Weight</t>
  </si>
  <si>
    <t>FILE_NUMBER</t>
  </si>
  <si>
    <t>BMI</t>
  </si>
  <si>
    <t>IABP on Admission</t>
  </si>
  <si>
    <t>Operator Status</t>
  </si>
  <si>
    <t>Cardiac Arrest on Admission</t>
  </si>
  <si>
    <t>Operator 2</t>
  </si>
  <si>
    <t>Heart Rate</t>
  </si>
  <si>
    <t>Operator 2 Status</t>
  </si>
  <si>
    <t>Systolic BP</t>
  </si>
  <si>
    <t>Tech</t>
  </si>
  <si>
    <t>White Cell</t>
  </si>
  <si>
    <t>Scrub Nurse</t>
  </si>
  <si>
    <t>Haemoglobin</t>
  </si>
  <si>
    <t>PROCEDURE1</t>
  </si>
  <si>
    <t>Haematocrit</t>
  </si>
  <si>
    <t>Serum Troponin</t>
  </si>
  <si>
    <t>Serum (Urea-Plasma)</t>
  </si>
  <si>
    <t>Radiographer</t>
  </si>
  <si>
    <t>Serum Creatinine</t>
  </si>
  <si>
    <t>PCI Urgency</t>
  </si>
  <si>
    <t>Serum Creatinine umol</t>
  </si>
  <si>
    <t>Rhythm</t>
  </si>
  <si>
    <t>High Sensitive Troponin</t>
  </si>
  <si>
    <t>HEART_RATE</t>
  </si>
  <si>
    <t>Blood Urea Nitrogen</t>
  </si>
  <si>
    <t>BP</t>
  </si>
  <si>
    <t>Contrast Volume</t>
  </si>
  <si>
    <t>Billing</t>
  </si>
  <si>
    <t>Ejection Fraction</t>
  </si>
  <si>
    <t>Item No</t>
  </si>
  <si>
    <t>Hypercholestrolemia</t>
  </si>
  <si>
    <t>History of stroke/TIA</t>
  </si>
  <si>
    <t>History of Hypertension</t>
  </si>
  <si>
    <t>History Heart Failure/CCF</t>
  </si>
  <si>
    <t>Diabetes Mellitus</t>
  </si>
  <si>
    <t>SCREENING_TIME</t>
  </si>
  <si>
    <t>Symptoms or signs of CHS on Admission</t>
  </si>
  <si>
    <t>FLURO_DOSE</t>
  </si>
  <si>
    <t>History of IHD</t>
  </si>
  <si>
    <t>EXPOSURE_DOSE</t>
  </si>
  <si>
    <t>History of AF</t>
  </si>
  <si>
    <t>TOTAL_DOSE</t>
  </si>
  <si>
    <t>Haemodialysis</t>
  </si>
  <si>
    <t>Liver Disease</t>
  </si>
  <si>
    <t>Unstable / High INR</t>
  </si>
  <si>
    <t>BSA</t>
  </si>
  <si>
    <t>? Body surface area</t>
  </si>
  <si>
    <t>Drinks &gt;8 std drinks/week</t>
  </si>
  <si>
    <t>LV Function</t>
  </si>
  <si>
    <t>History of DVT/PE</t>
  </si>
  <si>
    <t>AORTIC_PRESSURE</t>
  </si>
  <si>
    <t>History of Peripheral Vascular Disease</t>
  </si>
  <si>
    <t>RECENT_EF</t>
  </si>
  <si>
    <t>Smoking</t>
  </si>
  <si>
    <t>PRE_CK</t>
  </si>
  <si>
    <t xml:space="preserve">creatinne </t>
  </si>
  <si>
    <t>History of Myocardial Infarction</t>
  </si>
  <si>
    <t>POST_CK</t>
  </si>
  <si>
    <t>Question : does this link to the previous PCI on the Cardiobase angioplasty module.</t>
  </si>
  <si>
    <t>PRE_TROP</t>
  </si>
  <si>
    <t>troponin</t>
  </si>
  <si>
    <t>POST_TROP</t>
  </si>
  <si>
    <t>Major Bleeding History</t>
  </si>
  <si>
    <t>NUM_DISEASED_VESSELS</t>
  </si>
  <si>
    <t>Beta Blocker</t>
  </si>
  <si>
    <t>NUM_TREATED_VESSELS</t>
  </si>
  <si>
    <t>Heart Failure First Diagnosed</t>
  </si>
  <si>
    <t>NUM_TREATED_LESIONS</t>
  </si>
  <si>
    <t>ACEI/ARB</t>
  </si>
  <si>
    <t>NUM_STENTS_USED</t>
  </si>
  <si>
    <t>Signs of Heart Failure KILLIP</t>
  </si>
  <si>
    <t>Levles I-IV</t>
  </si>
  <si>
    <t>NUM_STENTS_OPENED_NOT_DEPLOYED</t>
  </si>
  <si>
    <t>Signs of Heart Failure NYHA</t>
  </si>
  <si>
    <t>Lesion Complication</t>
  </si>
  <si>
    <t>ECG ST-Deviation</t>
  </si>
  <si>
    <t>In Lab Complication</t>
  </si>
  <si>
    <t>COPD</t>
  </si>
  <si>
    <t>In Hosp Complication</t>
  </si>
  <si>
    <t>AICD</t>
  </si>
  <si>
    <t>30 Day Complication</t>
  </si>
  <si>
    <t>Medication to predispose bleeding?</t>
  </si>
  <si>
    <t>Lesion Site</t>
  </si>
  <si>
    <t>RISK_SCORE_GRACE</t>
  </si>
  <si>
    <t>Lesion Description 1</t>
  </si>
  <si>
    <t>RISK_SCORE_CRUSADE</t>
  </si>
  <si>
    <t>Lesion Complication2</t>
  </si>
  <si>
    <t>RISK_SCORE_MEHRAN</t>
  </si>
  <si>
    <t>AHA Class</t>
  </si>
  <si>
    <t>RISK_SCORE_CHA2DS2</t>
  </si>
  <si>
    <t>PERCENTAGE_PRE_STENOSIS</t>
  </si>
  <si>
    <t>RISK_SCORE_HASBLED</t>
  </si>
  <si>
    <t>PERCENTAGE_POST_STENOSIS</t>
  </si>
  <si>
    <t>RISK_SCORE_PRECISE</t>
  </si>
  <si>
    <t>REFERENCE_DIAMETER</t>
  </si>
  <si>
    <t>RISK_SCORE_MAGGIC</t>
  </si>
  <si>
    <t>REFERENCE_DIAMETER_POST</t>
  </si>
  <si>
    <t>RISK_SCORE_GRACE_COMMENT</t>
  </si>
  <si>
    <t>TOTAL_STENT_LENGTH</t>
  </si>
  <si>
    <t>RISK_SCORE_CRUSADE_COMMENT</t>
  </si>
  <si>
    <t>TIMI_FLOW_PRE</t>
  </si>
  <si>
    <t>RISK_SCORE_MEHRAN_COMMENT</t>
  </si>
  <si>
    <t>TIMI_FLOW</t>
  </si>
  <si>
    <t>RISK_SCORE_CHA2DS2_COMMENT</t>
  </si>
  <si>
    <t>Lesion Success</t>
  </si>
  <si>
    <t>RISK_SCORE_HASBLED_COMMENT</t>
  </si>
  <si>
    <t>Pre Dial Balloon</t>
  </si>
  <si>
    <t>RISK_SCORE_PRECISE_COMMENT</t>
  </si>
  <si>
    <t>Post Dial Balloon</t>
  </si>
  <si>
    <t>RISK_SCORE_MAGGIC_COMMENT</t>
  </si>
  <si>
    <t>MAXIMUM_PRESSURE</t>
  </si>
  <si>
    <t>EGFR</t>
  </si>
  <si>
    <t>Estimated Glomerular Filtration Rate</t>
  </si>
  <si>
    <t>MAXIMUM_INFLATION_TIME</t>
  </si>
  <si>
    <t>Stents Deployed</t>
  </si>
  <si>
    <t>STENT_THROMBOSIS</t>
  </si>
  <si>
    <t>CTO</t>
  </si>
  <si>
    <t>KISSING_BALLOON</t>
  </si>
  <si>
    <t>DW</t>
  </si>
  <si>
    <t>BUDDY_WIRE</t>
  </si>
  <si>
    <t>FFR</t>
  </si>
  <si>
    <t>IVUS_DONE</t>
  </si>
  <si>
    <t>intra vascular ultrasound</t>
  </si>
  <si>
    <t>STENT_RESTENOSIS</t>
  </si>
  <si>
    <t>Contrast</t>
  </si>
  <si>
    <t>CLEXANE_PRE</t>
  </si>
  <si>
    <t>antithromb or anticoag</t>
  </si>
  <si>
    <t>CLEXANE_BOLUS</t>
  </si>
  <si>
    <t>CLEXANE_DURING</t>
  </si>
  <si>
    <t>CONTRASTBATCH</t>
  </si>
  <si>
    <t>HEPARIN</t>
  </si>
  <si>
    <t>intra-arterial blood pressure (haemodynamics)</t>
  </si>
  <si>
    <t>TPW</t>
  </si>
  <si>
    <t>Temporary Pacing Wire</t>
  </si>
  <si>
    <t>IIbIIIa</t>
  </si>
  <si>
    <t xml:space="preserve">Glycoprotein IIb/IIIa </t>
  </si>
  <si>
    <t>IIBIIIABOLUS</t>
  </si>
  <si>
    <t>IIBIIIAINFUSION</t>
  </si>
  <si>
    <t>Lytic</t>
  </si>
  <si>
    <t>Closure</t>
  </si>
  <si>
    <t>CLOSURE_DEVICE_QTY</t>
  </si>
  <si>
    <t>PRE_ACT</t>
  </si>
  <si>
    <t>POST_ACT</t>
  </si>
  <si>
    <t>WORK_SHEET</t>
  </si>
  <si>
    <t>Findings and Conclusions</t>
  </si>
  <si>
    <t>Hypercholesterolaemia</t>
  </si>
  <si>
    <t>Smoker</t>
  </si>
  <si>
    <t>Ex Smoker</t>
  </si>
  <si>
    <t>ARF</t>
  </si>
  <si>
    <t>PRIOR_CABG_SITE</t>
  </si>
  <si>
    <t>PRIOR_PTCA_SITE</t>
  </si>
  <si>
    <t>CCF Classification</t>
  </si>
  <si>
    <t>Angina Classification</t>
  </si>
  <si>
    <t>Thrombolytic Prior To Procedure</t>
  </si>
  <si>
    <t>TIME_OF_ONSET_OF_PAIN_DT</t>
  </si>
  <si>
    <t>TIME_ARRIVAL_REF_HOSP_DT</t>
  </si>
  <si>
    <t>TIME_DEPARTED_REF_HOSP_DT</t>
  </si>
  <si>
    <t>TIME_CORONARYFLOW_REESTABLISHED_DT</t>
  </si>
  <si>
    <t>TIME_TIMI_3_FLOW_ACHIEVED_DT</t>
  </si>
  <si>
    <t>Door To Balloon Time</t>
  </si>
  <si>
    <t>Question : This looks like it is typed in, could we confirm?</t>
  </si>
  <si>
    <t>DOORTONEEDLETIME_NOTES</t>
  </si>
  <si>
    <t>Question : What does the yellow background in Cardiobase mean? Mandatory for all patients, or only patients who are indicated as PCI?</t>
  </si>
  <si>
    <t>CODE_STEMI</t>
  </si>
  <si>
    <t>Question : are these manually inputted, or are they automatically populated?</t>
  </si>
  <si>
    <t>AFTER_HOURS</t>
  </si>
  <si>
    <t>PRE_HOSPITAL_ACTIVATION</t>
  </si>
  <si>
    <t>Question : are these manually inputted, or are they automatically populated?  When you're putting this value in, does it make any other fields mandatory</t>
  </si>
  <si>
    <t>Pre Intervention IVUS</t>
  </si>
  <si>
    <t>intravascular ultrasound</t>
  </si>
  <si>
    <t>Final IVUS</t>
  </si>
  <si>
    <t>IVUS_FOLLOW_UP_FOR</t>
  </si>
  <si>
    <t>IVUS Operator</t>
  </si>
  <si>
    <t>IVUS Machine</t>
  </si>
  <si>
    <t>Lesion Morphology</t>
  </si>
  <si>
    <t>IVUS Indication</t>
  </si>
  <si>
    <t>Calcium Location</t>
  </si>
  <si>
    <t>Intermediate Lesion by Angiography</t>
  </si>
  <si>
    <t>Calcium Severity</t>
  </si>
  <si>
    <t>InStent Restenosis by IVUS</t>
  </si>
  <si>
    <t>IVUS_CALCIUM_ARC</t>
  </si>
  <si>
    <t>IVUS Treatment</t>
  </si>
  <si>
    <t>REPORTING_DR</t>
  </si>
  <si>
    <t>Cardiobase Angioplasty, HMDC</t>
  </si>
  <si>
    <t>HIH, NACS</t>
  </si>
  <si>
    <t>Document with caveat</t>
  </si>
  <si>
    <t>Cardiobase Risk Score Module records this as a 2 digit value.
AND HIH results hub.   The HIH approach needs wacor clarification on WHEN the result (assume linked to EFTP date?)
Cardiobase RiskScore for RPH ONLY</t>
  </si>
  <si>
    <t>wa_CRH30_hmdc</t>
  </si>
  <si>
    <t>Under what conditions was the patient from the hospital? Indicate under what conditions the patient was discharged from the hospital following the index admission. Select one of the following options: 
Note:  Patients who died during their index admission without being discharged from the acute care setting should be coded as hospital mortality.
- Home: Discharged to home, with no planned contact before routine review;
- Hospital in the Home: Discharged to home, with planned visits to home by medical or paramedical staff; 
- Rehabilitation Unit/Hospital: Discharged for inpatient rehabilitation; 
- Local or referring hospital: Discharged to another hospital for continuing care not related to any complications arising from the index PCI;
- Tertiary referral centre: Discharged to another hospital or centre for tertiary care related to a complication arising from the index PCI (e.g.  patient had PCI complications that required advanced medical treatment/investigation that could not be performed by the PCI hospital);
- Hospital Mortality:  Patient died in-hospital during or after the index PCI procedure, but prior to discharge.</t>
  </si>
  <si>
    <t xml:space="preserve">HMDC. [Mode of Separation] and HMDC. [Care Type]
To identify where patients are transferred for rehab, we need to identify the following episode of care being a rehab episode.
Care Type in HMDC will identify if the episode of care at the transferred hospital is for Rehabilitation i.e. a value of 22 in Care Type = Rehabilitation Care (Subacute). 
Mode of Separation combined with Discharged to field (4 digit establishment number) will only identify the type and actual hospital the patient transferred to i.e. Acute Hospital, 0106 (FSH) not whether episode was for Rehab. 
Note regarding discussion on RITH, Whilst RITH is considered a new service model, note that the NCR data dictionary only specifies inpatient rehabilitation.   If RITH is sought in future, note that this may require RITH linkage for patients treated for Rehab as hospital in the home.  HMDC no longer allows RITH to be recorded as inpatient activity - other sources of this data need to be sought. 
</t>
  </si>
  <si>
    <t>HMDC | NCR Mapping
From HMDC Mode_of_separation 
8 Deceased | 6 Hospital Mortality
9 Home | 1 Home
From HMDC Care_type of next admission
22 Rehab Centre | 3 Rehab hospital
21 Acute care AND establishment_code IN (0101, 0105, 0106) | 5 Tertiary Referral Centre
21 Acute care AND establishment_code NOT IN (0101, 0105, 0106) | 4 Local / Referring hospital
23-32 Other care types | 4
From HMDC days_of_hospital_in_the_home_care
days &gt; 0 | 2 Hospital in the Home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</si>
</sst>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3" x14ac:knownFonts="1">
    <font>
      <sz val="11"/>
      <color theme="1"/>
      <name val="Arial"/>
      <family val="2"/>
    </font>
    <font>
      <sz val="11"/>
      <color theme="1"/>
      <name val="Calibri"/>
      <family val="2"/>
      <scheme val="minor"/>
    </font>
    <font>
      <sz val="10"/>
      <color theme="1"/>
      <name val="Arial"/>
      <family val="2"/>
    </font>
    <font>
      <sz val="11"/>
      <color theme="1"/>
      <name val="Calibri"/>
      <family val="2"/>
      <scheme val="minor"/>
    </font>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b/>
      <sz val="10"/>
      <color theme="1"/>
      <name val="Arial"/>
      <family val="2"/>
    </font>
    <font>
      <b/>
      <sz val="10"/>
      <name val="Arial"/>
      <family val="2"/>
    </font>
    <font>
      <sz val="10"/>
      <color theme="1"/>
      <name val="Arial"/>
      <family val="2"/>
    </font>
    <font>
      <sz val="10"/>
      <color rgb="FF000000"/>
      <name val="Arial"/>
      <family val="2"/>
    </font>
    <font>
      <vertAlign val="superscript"/>
      <sz val="10"/>
      <color rgb="FF000000"/>
      <name val="Arial"/>
      <family val="2"/>
    </font>
    <font>
      <sz val="10"/>
      <name val="Arial"/>
      <family val="2"/>
    </font>
    <font>
      <sz val="10"/>
      <color rgb="FF202124"/>
      <name val="Arial"/>
      <family val="2"/>
    </font>
    <font>
      <b/>
      <sz val="10"/>
      <color rgb="FF000000"/>
      <name val="Arial"/>
      <family val="2"/>
    </font>
    <font>
      <b/>
      <sz val="12"/>
      <color theme="1"/>
      <name val="Arial"/>
      <family val="2"/>
    </font>
    <font>
      <sz val="12"/>
      <color theme="1"/>
      <name val="Tahoma"/>
      <family val="2"/>
    </font>
    <font>
      <sz val="8"/>
      <name val="Calibri"/>
      <family val="2"/>
      <scheme val="minor"/>
    </font>
    <font>
      <u/>
      <sz val="11"/>
      <color theme="10"/>
      <name val="Calibri"/>
      <family val="2"/>
      <scheme val="minor"/>
    </font>
    <font>
      <sz val="11"/>
      <color theme="1"/>
      <name val="Arial"/>
      <family val="2"/>
    </font>
    <font>
      <u/>
      <sz val="11"/>
      <color theme="10"/>
      <name val="Arial"/>
      <family val="2"/>
    </font>
    <font>
      <b/>
      <u/>
      <sz val="11"/>
      <color theme="1"/>
      <name val="Arial"/>
      <family val="2"/>
    </font>
    <font>
      <i/>
      <sz val="11"/>
      <color theme="1"/>
      <name val="Calibri"/>
      <family val="2"/>
      <scheme val="minor"/>
    </font>
    <font>
      <b/>
      <sz val="11"/>
      <color theme="1"/>
      <name val="Arial"/>
      <family val="2"/>
    </font>
    <font>
      <sz val="11"/>
      <color theme="1"/>
      <name val="Calibri"/>
      <family val="2"/>
    </font>
    <font>
      <sz val="11"/>
      <color rgb="FF000000"/>
      <name val="Arial"/>
      <family val="2"/>
    </font>
    <font>
      <b/>
      <sz val="11"/>
      <color theme="4"/>
      <name val="Arial"/>
      <family val="2"/>
    </font>
    <font>
      <i/>
      <sz val="11"/>
      <color theme="1"/>
      <name val="Arial"/>
      <family val="2"/>
    </font>
    <font>
      <b/>
      <sz val="11"/>
      <color rgb="FF000000"/>
      <name val="Arial"/>
      <family val="2"/>
    </font>
    <font>
      <b/>
      <sz val="11"/>
      <color theme="0"/>
      <name val="Arial"/>
      <family val="2"/>
    </font>
    <font>
      <sz val="8"/>
      <name val="Arial"/>
      <family val="2"/>
    </font>
    <font>
      <strike/>
      <sz val="10"/>
      <color theme="1"/>
      <name val="Arial"/>
      <family val="2"/>
    </font>
    <font>
      <sz val="36"/>
      <color theme="1"/>
      <name val="Arial Rounded MT Bold"/>
      <family val="2"/>
    </font>
    <font>
      <sz val="11"/>
      <color rgb="FF000000"/>
      <name val="Arial"/>
      <family val="2"/>
      <charset val="1"/>
    </font>
    <font>
      <sz val="11"/>
      <color rgb="FF000000"/>
      <name val="Calibri"/>
      <family val="2"/>
      <scheme val="minor"/>
    </font>
    <font>
      <sz val="11"/>
      <color rgb="FF000000"/>
      <name val="Calibri"/>
      <family val="2"/>
    </font>
    <font>
      <i/>
      <sz val="11"/>
      <color rgb="FF000000"/>
      <name val="Arial"/>
      <family val="2"/>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66FF66"/>
        <bgColor indexed="64"/>
      </patternFill>
    </fill>
    <fill>
      <patternFill patternType="solid">
        <fgColor rgb="FFFFCDFF"/>
        <bgColor indexed="64"/>
      </patternFill>
    </fill>
    <fill>
      <patternFill patternType="solid">
        <fgColor theme="0" tint="-0.14999847407452621"/>
        <bgColor indexed="64"/>
      </patternFill>
    </fill>
    <fill>
      <patternFill patternType="solid">
        <fgColor rgb="FFFFF2CC"/>
        <bgColor indexed="64"/>
      </patternFill>
    </fill>
    <fill>
      <patternFill patternType="solid">
        <fgColor theme="4" tint="0.79998168889431442"/>
        <bgColor theme="4" tint="0.79998168889431442"/>
      </patternFill>
    </fill>
    <fill>
      <patternFill patternType="solid">
        <fgColor theme="0"/>
        <bgColor indexed="64"/>
      </patternFill>
    </fill>
    <fill>
      <patternFill patternType="solid">
        <fgColor rgb="FFD9D9D9"/>
        <bgColor rgb="FFD9D9D9"/>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
      <left/>
      <right/>
      <top style="thin">
        <color theme="1"/>
      </top>
      <bottom style="thin">
        <color theme="1"/>
      </bottom>
      <diagonal/>
    </border>
    <border>
      <left/>
      <right/>
      <top/>
      <bottom style="thin">
        <color theme="1"/>
      </bottom>
      <diagonal/>
    </border>
    <border>
      <left style="medium">
        <color rgb="FF00B050"/>
      </left>
      <right style="medium">
        <color rgb="FF00B050"/>
      </right>
      <top style="medium">
        <color rgb="FF00B050"/>
      </top>
      <bottom style="medium">
        <color rgb="FF00B050"/>
      </bottom>
      <diagonal/>
    </border>
    <border>
      <left style="thick">
        <color rgb="FFFFC000"/>
      </left>
      <right style="thick">
        <color rgb="FFFFC000"/>
      </right>
      <top style="thick">
        <color rgb="FFFFC000"/>
      </top>
      <bottom style="thick">
        <color rgb="FFFFC000"/>
      </bottom>
      <diagonal/>
    </border>
    <border>
      <left/>
      <right/>
      <top/>
      <bottom style="thin">
        <color theme="4" tint="0.39997558519241921"/>
      </bottom>
      <diagonal/>
    </border>
    <border>
      <left style="thin">
        <color rgb="FF000000"/>
      </left>
      <right style="thin">
        <color rgb="FF000000"/>
      </right>
      <top style="thin">
        <color rgb="FF000000"/>
      </top>
      <bottom style="thin">
        <color rgb="FF000000"/>
      </bottom>
      <diagonal/>
    </border>
  </borders>
  <cellStyleXfs count="46">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5"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5"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5"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5" fillId="32" borderId="0" applyNumberFormat="0" applyBorder="0" applyAlignment="0" applyProtection="0"/>
    <xf numFmtId="0" fontId="22" fillId="0" borderId="0"/>
    <xf numFmtId="0" fontId="34" fillId="0" borderId="0" applyNumberFormat="0" applyFill="0" applyBorder="0" applyAlignment="0" applyProtection="0"/>
    <xf numFmtId="0" fontId="4" fillId="0" borderId="0"/>
    <xf numFmtId="0" fontId="3" fillId="0" borderId="0"/>
  </cellStyleXfs>
  <cellXfs count="156">
    <xf numFmtId="0" fontId="0" fillId="0" borderId="0" xfId="0"/>
    <xf numFmtId="0" fontId="0" fillId="0" borderId="0" xfId="0" applyAlignment="1">
      <alignment horizontal="left" vertical="center" wrapText="1"/>
    </xf>
    <xf numFmtId="49" fontId="0" fillId="0" borderId="0" xfId="0" applyNumberFormat="1" applyAlignment="1">
      <alignment horizontal="left" vertical="center" wrapText="1"/>
    </xf>
    <xf numFmtId="22" fontId="0" fillId="0" borderId="0" xfId="0" applyNumberFormat="1" applyAlignment="1">
      <alignment horizontal="left" vertical="center" wrapText="1"/>
    </xf>
    <xf numFmtId="0" fontId="0" fillId="0" borderId="0" xfId="0" applyAlignment="1">
      <alignment horizontal="center" vertical="center" wrapText="1"/>
    </xf>
    <xf numFmtId="0" fontId="23" fillId="34" borderId="13" xfId="0" applyFont="1" applyFill="1" applyBorder="1" applyAlignment="1">
      <alignment horizontal="left" vertical="top" wrapText="1"/>
    </xf>
    <xf numFmtId="0" fontId="24" fillId="35" borderId="13" xfId="0" applyFont="1" applyFill="1" applyBorder="1" applyAlignment="1">
      <alignment horizontal="left" vertical="top" wrapText="1"/>
    </xf>
    <xf numFmtId="0" fontId="23" fillId="34" borderId="14" xfId="0" applyFont="1" applyFill="1" applyBorder="1" applyAlignment="1">
      <alignment horizontal="left" vertical="top" wrapText="1"/>
    </xf>
    <xf numFmtId="0" fontId="25" fillId="0" borderId="0" xfId="0" applyFont="1" applyAlignment="1">
      <alignment horizontal="left" vertical="top"/>
    </xf>
    <xf numFmtId="0" fontId="26" fillId="0" borderId="16" xfId="0" applyFont="1" applyBorder="1" applyAlignment="1">
      <alignment horizontal="left" vertical="top" wrapText="1"/>
    </xf>
    <xf numFmtId="0" fontId="26" fillId="0" borderId="17" xfId="0" applyFont="1" applyBorder="1" applyAlignment="1">
      <alignment horizontal="left" vertical="top" wrapText="1"/>
    </xf>
    <xf numFmtId="0" fontId="28" fillId="35" borderId="17" xfId="0" applyFont="1" applyFill="1" applyBorder="1" applyAlignment="1">
      <alignment horizontal="left" vertical="top" wrapText="1"/>
    </xf>
    <xf numFmtId="0" fontId="26" fillId="0" borderId="20" xfId="0" applyFont="1" applyBorder="1" applyAlignment="1">
      <alignment horizontal="left" vertical="top" wrapText="1"/>
    </xf>
    <xf numFmtId="0" fontId="26" fillId="0" borderId="18" xfId="0" applyFont="1" applyBorder="1" applyAlignment="1">
      <alignment horizontal="left" vertical="top" wrapText="1"/>
    </xf>
    <xf numFmtId="0" fontId="28" fillId="35" borderId="18" xfId="0" applyFont="1" applyFill="1" applyBorder="1" applyAlignment="1">
      <alignment horizontal="left" vertical="top" wrapText="1"/>
    </xf>
    <xf numFmtId="0" fontId="29" fillId="0" borderId="21" xfId="0" applyFont="1" applyBorder="1" applyAlignment="1">
      <alignment horizontal="left" vertical="top" wrapText="1"/>
    </xf>
    <xf numFmtId="0" fontId="25" fillId="0" borderId="0" xfId="0" applyFont="1" applyAlignment="1">
      <alignment horizontal="left" vertical="top" wrapText="1"/>
    </xf>
    <xf numFmtId="0" fontId="26" fillId="36" borderId="15" xfId="0" applyFont="1" applyFill="1" applyBorder="1" applyAlignment="1">
      <alignment horizontal="left" vertical="top" wrapText="1"/>
    </xf>
    <xf numFmtId="0" fontId="26" fillId="36" borderId="19" xfId="0" applyFont="1" applyFill="1" applyBorder="1" applyAlignment="1">
      <alignment horizontal="left" vertical="top" wrapText="1"/>
    </xf>
    <xf numFmtId="0" fontId="26" fillId="36" borderId="22" xfId="0" applyFont="1" applyFill="1" applyBorder="1" applyAlignment="1">
      <alignment horizontal="left" vertical="top" wrapText="1"/>
    </xf>
    <xf numFmtId="0" fontId="30" fillId="34" borderId="11" xfId="0" applyFont="1" applyFill="1" applyBorder="1" applyAlignment="1">
      <alignment horizontal="left" vertical="top" wrapText="1"/>
    </xf>
    <xf numFmtId="0" fontId="30" fillId="34" borderId="12" xfId="0" applyFont="1" applyFill="1" applyBorder="1" applyAlignment="1">
      <alignment horizontal="left" vertical="top" wrapText="1"/>
    </xf>
    <xf numFmtId="0" fontId="30" fillId="34" borderId="13" xfId="0" applyFont="1" applyFill="1" applyBorder="1" applyAlignment="1">
      <alignment horizontal="left" vertical="top" wrapText="1"/>
    </xf>
    <xf numFmtId="0" fontId="0" fillId="0" borderId="0" xfId="0" applyAlignment="1">
      <alignment horizontal="center"/>
    </xf>
    <xf numFmtId="0" fontId="0" fillId="0" borderId="23" xfId="0" applyBorder="1"/>
    <xf numFmtId="0" fontId="31" fillId="0" borderId="23" xfId="0" applyFont="1" applyBorder="1"/>
    <xf numFmtId="0" fontId="31" fillId="0" borderId="23" xfId="0" applyFont="1" applyBorder="1" applyAlignment="1">
      <alignment horizontal="center"/>
    </xf>
    <xf numFmtId="0" fontId="32" fillId="0" borderId="0" xfId="0" applyFont="1" applyAlignment="1">
      <alignment vertical="center" wrapText="1"/>
    </xf>
    <xf numFmtId="0" fontId="31" fillId="0" borderId="0" xfId="0" applyFont="1"/>
    <xf numFmtId="0" fontId="0" fillId="37" borderId="0" xfId="0" applyFill="1" applyAlignment="1">
      <alignment horizontal="left" vertical="center" wrapText="1"/>
    </xf>
    <xf numFmtId="0" fontId="35" fillId="0" borderId="0" xfId="0" applyFont="1"/>
    <xf numFmtId="2" fontId="35" fillId="0" borderId="0" xfId="0" applyNumberFormat="1" applyFont="1"/>
    <xf numFmtId="0" fontId="36" fillId="0" borderId="0" xfId="43" applyFont="1"/>
    <xf numFmtId="0" fontId="37" fillId="0" borderId="0" xfId="0" applyFont="1"/>
    <xf numFmtId="14" fontId="35" fillId="0" borderId="0" xfId="0" applyNumberFormat="1" applyFont="1"/>
    <xf numFmtId="0" fontId="39" fillId="0" borderId="0" xfId="0" applyFont="1"/>
    <xf numFmtId="0" fontId="0" fillId="0" borderId="0" xfId="0" applyAlignment="1">
      <alignment wrapText="1"/>
    </xf>
    <xf numFmtId="0" fontId="38" fillId="0" borderId="0" xfId="0" applyFont="1"/>
    <xf numFmtId="0" fontId="35" fillId="0" borderId="0" xfId="0" applyFont="1" applyAlignment="1">
      <alignment vertical="top"/>
    </xf>
    <xf numFmtId="0" fontId="35" fillId="0" borderId="0" xfId="0" applyFont="1" applyAlignment="1">
      <alignment horizontal="center" vertical="top"/>
    </xf>
    <xf numFmtId="14" fontId="35" fillId="0" borderId="0" xfId="0" applyNumberFormat="1" applyFont="1" applyAlignment="1">
      <alignment vertical="top"/>
    </xf>
    <xf numFmtId="0" fontId="39" fillId="0" borderId="0" xfId="0" applyFont="1" applyAlignment="1">
      <alignment vertical="top"/>
    </xf>
    <xf numFmtId="0" fontId="31" fillId="0" borderId="0" xfId="0" applyFont="1" applyAlignment="1">
      <alignment horizontal="left" vertical="top"/>
    </xf>
    <xf numFmtId="0" fontId="35" fillId="0" borderId="0" xfId="0" applyFont="1" applyAlignment="1">
      <alignment vertical="top" wrapText="1"/>
    </xf>
    <xf numFmtId="0" fontId="35" fillId="0" borderId="0" xfId="0" applyFont="1" applyAlignment="1">
      <alignment horizontal="right" vertical="top"/>
    </xf>
    <xf numFmtId="0" fontId="39" fillId="0" borderId="0" xfId="0" applyFont="1" applyAlignment="1">
      <alignment horizontal="right" vertical="top"/>
    </xf>
    <xf numFmtId="0" fontId="35" fillId="0" borderId="0" xfId="0" applyFont="1" applyAlignment="1">
      <alignment horizontal="right" vertical="top" wrapText="1"/>
    </xf>
    <xf numFmtId="0" fontId="0" fillId="0" borderId="0" xfId="0" applyAlignment="1">
      <alignment vertical="top" wrapText="1"/>
    </xf>
    <xf numFmtId="0" fontId="39" fillId="0" borderId="0" xfId="0" applyFont="1" applyAlignment="1">
      <alignment vertical="top" wrapText="1"/>
    </xf>
    <xf numFmtId="0" fontId="34" fillId="0" borderId="0" xfId="43" applyAlignment="1">
      <alignment vertical="top" wrapText="1"/>
    </xf>
    <xf numFmtId="0" fontId="35" fillId="38" borderId="0" xfId="0" applyFont="1" applyFill="1" applyAlignment="1">
      <alignment vertical="top" wrapText="1"/>
    </xf>
    <xf numFmtId="20" fontId="35" fillId="0" borderId="0" xfId="0" quotePrefix="1" applyNumberFormat="1" applyFont="1" applyAlignment="1">
      <alignment vertical="top" wrapText="1"/>
    </xf>
    <xf numFmtId="20" fontId="35" fillId="0" borderId="0" xfId="0" applyNumberFormat="1" applyFont="1" applyAlignment="1">
      <alignment horizontal="right" vertical="top" wrapText="1"/>
    </xf>
    <xf numFmtId="0" fontId="35" fillId="0" borderId="0" xfId="0" applyFont="1" applyAlignment="1">
      <alignment horizontal="left" vertical="top" wrapText="1"/>
    </xf>
    <xf numFmtId="0" fontId="4" fillId="0" borderId="0" xfId="44"/>
    <xf numFmtId="0" fontId="4" fillId="39" borderId="0" xfId="44" applyFill="1"/>
    <xf numFmtId="20" fontId="35" fillId="0" borderId="0" xfId="0" applyNumberFormat="1" applyFont="1" applyAlignment="1">
      <alignment horizontal="right" vertical="top"/>
    </xf>
    <xf numFmtId="20" fontId="0" fillId="0" borderId="0" xfId="0" quotePrefix="1" applyNumberFormat="1" applyAlignment="1">
      <alignment vertical="top" wrapText="1"/>
    </xf>
    <xf numFmtId="0" fontId="34" fillId="0" borderId="0" xfId="43" applyAlignment="1">
      <alignment vertical="top"/>
    </xf>
    <xf numFmtId="0" fontId="41" fillId="0" borderId="0" xfId="0" applyFont="1" applyAlignment="1">
      <alignment vertical="center" wrapText="1"/>
    </xf>
    <xf numFmtId="0" fontId="40" fillId="0" borderId="0" xfId="0" applyFont="1" applyAlignment="1">
      <alignment vertical="center" wrapText="1"/>
    </xf>
    <xf numFmtId="0" fontId="42" fillId="0" borderId="0" xfId="0" applyFont="1" applyAlignment="1">
      <alignment vertical="top"/>
    </xf>
    <xf numFmtId="20" fontId="0" fillId="0" borderId="0" xfId="0" applyNumberFormat="1" applyAlignment="1">
      <alignment horizontal="right" vertical="top" wrapText="1"/>
    </xf>
    <xf numFmtId="0" fontId="0" fillId="0" borderId="0" xfId="0" applyAlignment="1">
      <alignment vertical="top"/>
    </xf>
    <xf numFmtId="0" fontId="0" fillId="0" borderId="0" xfId="0" applyAlignment="1">
      <alignment horizontal="right"/>
    </xf>
    <xf numFmtId="0" fontId="20" fillId="0" borderId="0" xfId="44" applyFont="1"/>
    <xf numFmtId="0" fontId="0" fillId="47" borderId="0" xfId="0" applyFill="1"/>
    <xf numFmtId="0" fontId="0" fillId="39" borderId="0" xfId="0" applyFill="1"/>
    <xf numFmtId="9" fontId="0" fillId="39" borderId="0" xfId="0" applyNumberFormat="1" applyFill="1"/>
    <xf numFmtId="0" fontId="35" fillId="39" borderId="0" xfId="0" applyFont="1" applyFill="1" applyAlignment="1">
      <alignment vertical="top"/>
    </xf>
    <xf numFmtId="0" fontId="34" fillId="0" borderId="0" xfId="43" applyAlignment="1">
      <alignment wrapText="1"/>
    </xf>
    <xf numFmtId="14" fontId="35" fillId="0" borderId="0" xfId="0" applyNumberFormat="1" applyFont="1" applyAlignment="1">
      <alignment vertical="top" wrapText="1"/>
    </xf>
    <xf numFmtId="0" fontId="35" fillId="0" borderId="0" xfId="0" applyFont="1" applyAlignment="1">
      <alignment horizontal="center" vertical="top" wrapText="1"/>
    </xf>
    <xf numFmtId="0" fontId="39" fillId="39" borderId="0" xfId="0" applyFont="1" applyFill="1"/>
    <xf numFmtId="0" fontId="41" fillId="0" borderId="0" xfId="0" applyFont="1" applyAlignment="1">
      <alignment vertical="top" wrapText="1"/>
    </xf>
    <xf numFmtId="0" fontId="34" fillId="0" borderId="0" xfId="43"/>
    <xf numFmtId="0" fontId="34" fillId="0" borderId="0" xfId="43" applyAlignment="1">
      <alignment horizontal="right" vertical="top" wrapText="1"/>
    </xf>
    <xf numFmtId="0" fontId="0" fillId="0" borderId="0" xfId="0" pivotButton="1"/>
    <xf numFmtId="0" fontId="0" fillId="0" borderId="0" xfId="0" applyAlignment="1">
      <alignment horizontal="left"/>
    </xf>
    <xf numFmtId="0" fontId="0" fillId="0" borderId="0" xfId="0" applyAlignment="1">
      <alignment vertical="center"/>
    </xf>
    <xf numFmtId="0" fontId="0" fillId="0" borderId="0" xfId="0" applyAlignment="1">
      <alignment vertical="center" wrapText="1"/>
    </xf>
    <xf numFmtId="0" fontId="45" fillId="33" borderId="10" xfId="0" applyFont="1" applyFill="1" applyBorder="1" applyAlignment="1">
      <alignment horizontal="left" vertical="center" wrapText="1"/>
    </xf>
    <xf numFmtId="0" fontId="42" fillId="0" borderId="0" xfId="0" applyFont="1" applyAlignment="1">
      <alignment vertical="top" wrapText="1"/>
    </xf>
    <xf numFmtId="0" fontId="39" fillId="48" borderId="0" xfId="0" applyFont="1" applyFill="1"/>
    <xf numFmtId="0" fontId="34" fillId="0" borderId="0" xfId="43" applyAlignment="1">
      <alignment vertical="center"/>
    </xf>
    <xf numFmtId="0" fontId="39" fillId="0" borderId="24" xfId="45" applyFont="1" applyBorder="1" applyAlignment="1">
      <alignment vertical="top"/>
    </xf>
    <xf numFmtId="0" fontId="39" fillId="0" borderId="24" xfId="45" applyFont="1" applyBorder="1" applyAlignment="1">
      <alignment vertical="top" wrapText="1"/>
    </xf>
    <xf numFmtId="0" fontId="39" fillId="0" borderId="0" xfId="45" applyFont="1" applyAlignment="1">
      <alignment vertical="top" wrapText="1"/>
    </xf>
    <xf numFmtId="0" fontId="20" fillId="0" borderId="0" xfId="45" applyFont="1"/>
    <xf numFmtId="0" fontId="35" fillId="0" borderId="0" xfId="45" applyFont="1"/>
    <xf numFmtId="0" fontId="35" fillId="0" borderId="25" xfId="45" applyFont="1" applyBorder="1" applyAlignment="1">
      <alignment vertical="top"/>
    </xf>
    <xf numFmtId="0" fontId="35" fillId="0" borderId="25" xfId="45" applyFont="1" applyBorder="1" applyAlignment="1">
      <alignment vertical="top" wrapText="1"/>
    </xf>
    <xf numFmtId="0" fontId="3" fillId="0" borderId="0" xfId="45"/>
    <xf numFmtId="0" fontId="35" fillId="0" borderId="0" xfId="45" applyFont="1" applyAlignment="1">
      <alignment vertical="top"/>
    </xf>
    <xf numFmtId="0" fontId="35" fillId="0" borderId="0" xfId="45" applyFont="1" applyAlignment="1">
      <alignment vertical="top" wrapText="1"/>
    </xf>
    <xf numFmtId="0" fontId="35" fillId="0" borderId="0" xfId="45" applyFont="1" applyAlignment="1">
      <alignment wrapText="1"/>
    </xf>
    <xf numFmtId="0" fontId="48" fillId="0" borderId="0" xfId="0" applyFont="1" applyAlignment="1">
      <alignment vertical="top"/>
    </xf>
    <xf numFmtId="0" fontId="0" fillId="0" borderId="0" xfId="45" applyFont="1" applyAlignment="1">
      <alignment wrapText="1"/>
    </xf>
    <xf numFmtId="0" fontId="0" fillId="40" borderId="0" xfId="0" applyFill="1" applyAlignment="1">
      <alignment vertical="top"/>
    </xf>
    <xf numFmtId="0" fontId="0" fillId="35" borderId="0" xfId="0" applyFill="1" applyAlignment="1">
      <alignment vertical="top"/>
    </xf>
    <xf numFmtId="0" fontId="0" fillId="44" borderId="0" xfId="0" applyFill="1" applyAlignment="1">
      <alignment vertical="top"/>
    </xf>
    <xf numFmtId="0" fontId="0" fillId="46" borderId="0" xfId="0" applyFill="1" applyAlignment="1">
      <alignment vertical="top"/>
    </xf>
    <xf numFmtId="0" fontId="2" fillId="0" borderId="17" xfId="0" applyFont="1" applyBorder="1" applyAlignment="1">
      <alignment horizontal="left" vertical="top" wrapText="1"/>
    </xf>
    <xf numFmtId="0" fontId="2" fillId="0" borderId="18" xfId="0" applyFont="1" applyBorder="1" applyAlignment="1">
      <alignment horizontal="lef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left" vertical="top"/>
    </xf>
    <xf numFmtId="0" fontId="0" fillId="40" borderId="0" xfId="0" applyFill="1" applyAlignment="1">
      <alignment horizontal="left" vertical="top"/>
    </xf>
    <xf numFmtId="0" fontId="0" fillId="41" borderId="0" xfId="0" applyFill="1" applyAlignment="1">
      <alignment horizontal="left" vertical="top"/>
    </xf>
    <xf numFmtId="0" fontId="0" fillId="42" borderId="0" xfId="0" applyFill="1" applyAlignment="1">
      <alignment horizontal="left" vertical="top"/>
    </xf>
    <xf numFmtId="0" fontId="0" fillId="43" borderId="0" xfId="0" applyFill="1" applyAlignment="1">
      <alignment horizontal="left" vertical="top"/>
    </xf>
    <xf numFmtId="0" fontId="0" fillId="35" borderId="0" xfId="0" applyFill="1" applyAlignment="1">
      <alignment horizontal="left" vertical="top"/>
    </xf>
    <xf numFmtId="0" fontId="0" fillId="44" borderId="0" xfId="0" applyFill="1" applyAlignment="1">
      <alignment horizontal="left" vertical="top"/>
    </xf>
    <xf numFmtId="0" fontId="0" fillId="36" borderId="0" xfId="0" applyFill="1" applyAlignment="1">
      <alignment horizontal="left" vertical="top"/>
    </xf>
    <xf numFmtId="0" fontId="0" fillId="45" borderId="0" xfId="0" applyFill="1" applyAlignment="1">
      <alignment horizontal="left" vertical="top"/>
    </xf>
    <xf numFmtId="0" fontId="0" fillId="46" borderId="0" xfId="0" applyFill="1" applyAlignment="1">
      <alignment horizontal="left" vertical="top"/>
    </xf>
    <xf numFmtId="0" fontId="0" fillId="37" borderId="0" xfId="0" applyFill="1"/>
    <xf numFmtId="0" fontId="0" fillId="37" borderId="0" xfId="0" applyFill="1" applyAlignment="1">
      <alignment wrapText="1"/>
    </xf>
    <xf numFmtId="0" fontId="0" fillId="47" borderId="26" xfId="0" applyFill="1" applyBorder="1"/>
    <xf numFmtId="0" fontId="0" fillId="47" borderId="27" xfId="0" applyFill="1" applyBorder="1"/>
    <xf numFmtId="0" fontId="39" fillId="49" borderId="28" xfId="0" applyFont="1" applyFill="1" applyBorder="1"/>
    <xf numFmtId="0" fontId="0" fillId="0" borderId="0" xfId="0" applyAlignment="1">
      <alignment horizontal="right" vertical="top"/>
    </xf>
    <xf numFmtId="0" fontId="0" fillId="41" borderId="0" xfId="0" applyFill="1" applyAlignment="1">
      <alignment vertical="top" wrapText="1"/>
    </xf>
    <xf numFmtId="0" fontId="0" fillId="45" borderId="0" xfId="0" applyFill="1" applyAlignment="1">
      <alignment vertical="top" wrapText="1"/>
    </xf>
    <xf numFmtId="0" fontId="0" fillId="42" borderId="0" xfId="0" applyFill="1" applyAlignment="1">
      <alignment vertical="top" wrapText="1"/>
    </xf>
    <xf numFmtId="0" fontId="49" fillId="0" borderId="0" xfId="0" applyFont="1" applyAlignment="1">
      <alignment vertical="top" wrapText="1"/>
    </xf>
    <xf numFmtId="0" fontId="50" fillId="0" borderId="0" xfId="0" applyFont="1" applyAlignment="1">
      <alignment wrapText="1"/>
    </xf>
    <xf numFmtId="0" fontId="51" fillId="0" borderId="0" xfId="0" applyFont="1"/>
    <xf numFmtId="0" fontId="51" fillId="0" borderId="0" xfId="0" applyFont="1" applyAlignment="1">
      <alignment wrapText="1"/>
    </xf>
    <xf numFmtId="0" fontId="1" fillId="0" borderId="0" xfId="0" applyFont="1"/>
    <xf numFmtId="0" fontId="1" fillId="0" borderId="0" xfId="0" applyFont="1" applyAlignment="1">
      <alignment wrapText="1"/>
    </xf>
    <xf numFmtId="0" fontId="41" fillId="0" borderId="0" xfId="0" applyFont="1" applyAlignment="1">
      <alignment vertical="top"/>
    </xf>
    <xf numFmtId="0" fontId="1" fillId="39" borderId="0" xfId="44" applyFont="1" applyFill="1"/>
    <xf numFmtId="0" fontId="1" fillId="0" borderId="0" xfId="45" applyFont="1"/>
    <xf numFmtId="0" fontId="0" fillId="0" borderId="0" xfId="0" applyAlignment="1">
      <alignment horizontal="left" vertical="top" wrapText="1"/>
    </xf>
    <xf numFmtId="0" fontId="0" fillId="41" borderId="0" xfId="0" applyFill="1" applyAlignment="1">
      <alignment horizontal="left" vertical="top" wrapText="1"/>
    </xf>
    <xf numFmtId="0" fontId="0" fillId="45" borderId="0" xfId="0" applyFill="1" applyAlignment="1">
      <alignment horizontal="left" vertical="top" wrapText="1"/>
    </xf>
    <xf numFmtId="0" fontId="0" fillId="42" borderId="0" xfId="0" applyFill="1" applyAlignment="1">
      <alignment horizontal="left" vertical="top" wrapText="1"/>
    </xf>
    <xf numFmtId="0" fontId="0" fillId="50" borderId="0" xfId="0" applyFill="1" applyAlignment="1">
      <alignment vertical="top"/>
    </xf>
    <xf numFmtId="0" fontId="0" fillId="50" borderId="0" xfId="0" applyFill="1" applyAlignment="1">
      <alignment horizontal="left" vertical="top"/>
    </xf>
    <xf numFmtId="0" fontId="49" fillId="0" borderId="0" xfId="0" applyFont="1"/>
    <xf numFmtId="0" fontId="49" fillId="0" borderId="0" xfId="0" applyFont="1" applyAlignment="1">
      <alignment vertical="top"/>
    </xf>
    <xf numFmtId="0" fontId="0" fillId="47" borderId="0" xfId="0" applyFill="1" applyAlignment="1">
      <alignment wrapText="1"/>
    </xf>
    <xf numFmtId="0" fontId="34" fillId="0" borderId="0" xfId="43" applyAlignment="1">
      <alignment vertical="center" wrapText="1"/>
    </xf>
    <xf numFmtId="0" fontId="0" fillId="50" borderId="29" xfId="0" applyFill="1" applyBorder="1" applyAlignment="1">
      <alignment vertical="top"/>
    </xf>
    <xf numFmtId="0" fontId="0" fillId="50" borderId="29" xfId="0" applyFill="1" applyBorder="1" applyAlignment="1">
      <alignment horizontal="left" vertical="top"/>
    </xf>
    <xf numFmtId="0" fontId="0" fillId="50" borderId="29" xfId="0" applyFill="1" applyBorder="1" applyAlignment="1">
      <alignment vertical="top" wrapText="1"/>
    </xf>
    <xf numFmtId="0" fontId="0" fillId="50" borderId="0" xfId="0" applyFill="1" applyAlignment="1">
      <alignment vertical="top" wrapText="1"/>
    </xf>
    <xf numFmtId="0" fontId="39" fillId="39" borderId="0" xfId="0" applyFont="1" applyFill="1" applyAlignment="1">
      <alignment wrapText="1"/>
    </xf>
    <xf numFmtId="0" fontId="36" fillId="0" borderId="0" xfId="43" applyFont="1" applyAlignment="1">
      <alignment wrapText="1"/>
    </xf>
    <xf numFmtId="0" fontId="41" fillId="51" borderId="0" xfId="0" applyFont="1" applyFill="1" applyAlignment="1">
      <alignment wrapText="1"/>
    </xf>
    <xf numFmtId="0" fontId="41" fillId="0" borderId="0" xfId="0" applyFont="1"/>
    <xf numFmtId="0" fontId="35" fillId="0" borderId="0" xfId="0" applyFont="1" applyAlignment="1">
      <alignment wrapText="1"/>
    </xf>
    <xf numFmtId="0" fontId="41" fillId="0" borderId="0" xfId="0" applyFont="1" applyAlignment="1">
      <alignment wrapText="1"/>
    </xf>
    <xf numFmtId="0" fontId="41" fillId="0" borderId="0" xfId="0" applyFont="1" applyAlignment="1">
      <alignment horizontal="left" vertical="center" wrapText="1"/>
    </xf>
    <xf numFmtId="0" fontId="0" fillId="0" borderId="0" xfId="0" applyAlignment="1">
      <alignment horizontal="left" vertical="center" wrapText="1"/>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ustomBuiltin="1"/>
    <cellStyle name="Normal 2" xfId="42" xr:uid="{00000000-0005-0000-0000-000025000000}"/>
    <cellStyle name="Normal 3" xfId="44" xr:uid="{C61AE16A-CE62-47AF-97C4-40CE1C2FF86F}"/>
    <cellStyle name="Normal 4" xfId="45" xr:uid="{6287F561-26C3-44E9-8459-5179DFCEB2F1}"/>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23">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strike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b/>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left" vertical="top" textRotation="0" wrapText="0" indent="0" justifyLastLine="0" shrinkToFit="0" readingOrder="0"/>
    </dxf>
    <dxf>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right"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0" formatCode="General"/>
      <fill>
        <patternFill patternType="none">
          <fgColor indexed="64"/>
          <bgColor indexed="65"/>
        </patternFill>
      </fill>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right"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right"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general" vertical="top" textRotation="0" wrapText="0" indent="0" justifyLastLine="0" shrinkToFit="0" readingOrder="0"/>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27" formatCode="dd/mm/yyyy\ h:mm"/>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27" formatCode="dd/mm/yyyy\ h:mm"/>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30" formatCode="@"/>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numFmt numFmtId="0" formatCode="General"/>
      <alignment horizontal="left" vertical="center" textRotation="0" wrapText="1" indent="0" justifyLastLine="0" shrinkToFit="0" readingOrder="0"/>
    </dxf>
    <dxf>
      <alignment horizontal="left" vertical="center" textRotation="0" wrapText="1" indent="0" justifyLastLine="0" shrinkToFit="0" readingOrder="0"/>
    </dxf>
    <dxf>
      <alignment horizontal="left" vertical="center" textRotation="0" wrapText="1" indent="0" justifyLastLine="0" shrinkToFit="0" readingOrder="0"/>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fill>
        <patternFill>
          <bgColor rgb="FFFFCDFF"/>
        </patternFill>
      </fill>
    </dxf>
    <dxf>
      <fill>
        <patternFill>
          <bgColor rgb="FF66FF66"/>
        </patternFill>
      </fill>
    </dxf>
    <dxf>
      <fill>
        <patternFill>
          <bgColor rgb="FFB4C6E7"/>
        </patternFill>
      </fill>
    </dxf>
    <dxf>
      <fill>
        <patternFill>
          <bgColor rgb="FFA9D08E"/>
        </patternFill>
      </fill>
    </dxf>
    <dxf>
      <fill>
        <patternFill>
          <bgColor rgb="FFE2EFDA"/>
        </patternFill>
      </fill>
    </dxf>
    <dxf>
      <fill>
        <patternFill>
          <bgColor rgb="FFF4B084"/>
        </patternFill>
      </fill>
    </dxf>
    <dxf>
      <fill>
        <patternFill>
          <bgColor rgb="FFFFE699"/>
        </patternFill>
      </fill>
    </dxf>
    <dxf>
      <fill>
        <patternFill>
          <bgColor rgb="FFFFF2CC"/>
        </patternFill>
      </fill>
    </dxf>
    <dxf>
      <fill>
        <patternFill>
          <bgColor rgb="FFF2F2F2"/>
        </patternFill>
      </fill>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alignment wrapText="1"/>
    </dxf>
    <dxf>
      <fill>
        <patternFill>
          <bgColor rgb="FFFFCDFF"/>
        </patternFill>
      </fill>
    </dxf>
    <dxf>
      <font>
        <color theme="0"/>
      </font>
      <fill>
        <patternFill>
          <bgColor rgb="FF660066"/>
        </patternFill>
      </fill>
    </dxf>
  </dxfs>
  <tableStyles count="1" defaultTableStyle="TableStyleMedium2" defaultPivotStyle="PivotStyleLight16">
    <tableStyle name="ncr_style" pivot="0" count="2" xr9:uid="{ED5B4D70-0587-452C-AFB4-9A92931F1B85}">
      <tableStyleElement type="headerRow" dxfId="222"/>
      <tableStyleElement type="secondColumnStripe" dxfId="221"/>
    </tableStyle>
  </tableStyles>
  <colors>
    <mruColors>
      <color rgb="FFFFCDFF"/>
      <color rgb="FF66FF66"/>
      <color rgb="FF006699"/>
      <color rgb="FFEFC1FF"/>
      <color rgb="FF9900CC"/>
      <color rgb="FF66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openxmlformats.org/officeDocument/2006/relationships/customXml" Target="../customXml/item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37"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customXml" Target="../ink/ink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_rels/drawing5.xml.rels><?xml version="1.0" encoding="UTF-8" standalone="yes"?>
<Relationships xmlns="http://schemas.openxmlformats.org/package/2006/relationships"><Relationship Id="rId3" Type="http://schemas.openxmlformats.org/officeDocument/2006/relationships/customXml" Target="../ink/ink3.xml"/><Relationship Id="rId2" Type="http://schemas.openxmlformats.org/officeDocument/2006/relationships/image" Target="../media/image7.png"/><Relationship Id="rId1" Type="http://schemas.openxmlformats.org/officeDocument/2006/relationships/customXml" Target="../ink/ink2.xml"/><Relationship Id="rId4"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866775</xdr:colOff>
      <xdr:row>4</xdr:row>
      <xdr:rowOff>142875</xdr:rowOff>
    </xdr:to>
    <xdr:pic>
      <xdr:nvPicPr>
        <xdr:cNvPr id="10" name="Picture 5">
          <a:extLst>
            <a:ext uri="{FF2B5EF4-FFF2-40B4-BE49-F238E27FC236}">
              <a16:creationId xmlns:a16="http://schemas.microsoft.com/office/drawing/2014/main" id="{00000000-0008-0000-0000-00000A000000}"/>
            </a:ext>
            <a:ext uri="{147F2762-F138-4A5C-976F-8EAC2B608ADB}">
              <a16:predDERef xmlns:a16="http://schemas.microsoft.com/office/drawing/2014/main" pred="{00000000-0008-0000-0000-000002000000}"/>
            </a:ext>
          </a:extLst>
        </xdr:cNvPr>
        <xdr:cNvPicPr>
          <a:picLocks noChangeAspect="1"/>
        </xdr:cNvPicPr>
      </xdr:nvPicPr>
      <xdr:blipFill>
        <a:blip xmlns:r="http://schemas.openxmlformats.org/officeDocument/2006/relationships" r:embed="rId1"/>
        <a:stretch>
          <a:fillRect/>
        </a:stretch>
      </xdr:blipFill>
      <xdr:spPr>
        <a:xfrm>
          <a:off x="247650" y="0"/>
          <a:ext cx="866775" cy="866775"/>
        </a:xfrm>
        <a:prstGeom prst="rect">
          <a:avLst/>
        </a:prstGeom>
      </xdr:spPr>
    </xdr:pic>
    <xdr:clientData/>
  </xdr:twoCellAnchor>
  <xdr:twoCellAnchor editAs="oneCell">
    <xdr:from>
      <xdr:col>1</xdr:col>
      <xdr:colOff>0</xdr:colOff>
      <xdr:row>0</xdr:row>
      <xdr:rowOff>0</xdr:rowOff>
    </xdr:from>
    <xdr:to>
      <xdr:col>1</xdr:col>
      <xdr:colOff>942975</xdr:colOff>
      <xdr:row>5</xdr:row>
      <xdr:rowOff>38100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47650" y="0"/>
          <a:ext cx="942975" cy="9429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2178015</xdr:colOff>
      <xdr:row>94</xdr:row>
      <xdr:rowOff>2412728</xdr:rowOff>
    </xdr:from>
    <xdr:to>
      <xdr:col>5</xdr:col>
      <xdr:colOff>29992</xdr:colOff>
      <xdr:row>94</xdr:row>
      <xdr:rowOff>2420648</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D00-000002000000}"/>
                </a:ext>
              </a:extLst>
            </xdr14:cNvPr>
            <xdr14:cNvContentPartPr/>
          </xdr14:nvContentPartPr>
          <xdr14:nvPr macro=""/>
          <xdr14:xfrm>
            <a:off x="7559640" y="115455428"/>
            <a:ext cx="28440" cy="7920"/>
          </xdr14:xfrm>
        </xdr:contentPart>
      </mc:Choice>
      <mc:Fallback xmlns="">
        <xdr:pic>
          <xdr:nvPicPr>
            <xdr:cNvPr id="2" name="Ink 1">
              <a:extLst>
                <a:ext uri="{FF2B5EF4-FFF2-40B4-BE49-F238E27FC236}">
                  <a16:creationId xmlns:a16="http://schemas.microsoft.com/office/drawing/2014/main" id="{7543640C-7432-096A-89BE-0D3AF5BC3502}"/>
                </a:ext>
              </a:extLst>
            </xdr:cNvPr>
            <xdr:cNvPicPr/>
          </xdr:nvPicPr>
          <xdr:blipFill>
            <a:blip xmlns:r="http://schemas.openxmlformats.org/officeDocument/2006/relationships" r:embed="rId2"/>
            <a:stretch>
              <a:fillRect/>
            </a:stretch>
          </xdr:blipFill>
          <xdr:spPr>
            <a:xfrm>
              <a:off x="7550640" y="115446788"/>
              <a:ext cx="46080" cy="2556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xdr:row>
      <xdr:rowOff>0</xdr:rowOff>
    </xdr:from>
    <xdr:to>
      <xdr:col>2</xdr:col>
      <xdr:colOff>254000</xdr:colOff>
      <xdr:row>2</xdr:row>
      <xdr:rowOff>82550</xdr:rowOff>
    </xdr:to>
    <xdr:sp macro="" textlink="">
      <xdr:nvSpPr>
        <xdr:cNvPr id="2" name="Control 1" hidden="1">
          <a:extLst>
            <a:ext uri="{63B3BB69-23CF-44E3-9099-C40C66FF867C}">
              <a14:compatExt xmlns:a14="http://schemas.microsoft.com/office/drawing/2010/main" spid="_x0000_s1025"/>
            </a:ext>
            <a:ext uri="{FF2B5EF4-FFF2-40B4-BE49-F238E27FC236}">
              <a16:creationId xmlns:a16="http://schemas.microsoft.com/office/drawing/2014/main" id="{00000000-0008-0000-0E00-000002000000}"/>
            </a:ext>
          </a:extLst>
        </xdr:cNvPr>
        <xdr:cNvSpPr/>
      </xdr:nvSpPr>
      <xdr:spPr bwMode="auto">
        <a:xfrm>
          <a:off x="3562350" y="209550"/>
          <a:ext cx="254000" cy="273050"/>
        </a:xfrm>
        <a:prstGeom prst="rect">
          <a:avLst/>
        </a:prstGeom>
        <a:noFill/>
        <a:ln w="9525">
          <a:miter lim="800000"/>
          <a:headEnd/>
          <a:tailEnd/>
        </a:ln>
      </xdr:spPr>
    </xdr:sp>
    <xdr:clientData/>
  </xdr:twoCellAnchor>
  <xdr:twoCellAnchor editAs="oneCell">
    <xdr:from>
      <xdr:col>2</xdr:col>
      <xdr:colOff>0</xdr:colOff>
      <xdr:row>1</xdr:row>
      <xdr:rowOff>0</xdr:rowOff>
    </xdr:from>
    <xdr:to>
      <xdr:col>2</xdr:col>
      <xdr:colOff>152400</xdr:colOff>
      <xdr:row>1</xdr:row>
      <xdr:rowOff>152400</xdr:rowOff>
    </xdr:to>
    <xdr:sp macro="" textlink="">
      <xdr:nvSpPr>
        <xdr:cNvPr id="3" name="Control 2" hidden="1">
          <a:extLst>
            <a:ext uri="{63B3BB69-23CF-44E3-9099-C40C66FF867C}">
              <a14:compatExt xmlns:a14="http://schemas.microsoft.com/office/drawing/2010/main" spid="_x0000_s1026"/>
            </a:ext>
            <a:ext uri="{FF2B5EF4-FFF2-40B4-BE49-F238E27FC236}">
              <a16:creationId xmlns:a16="http://schemas.microsoft.com/office/drawing/2014/main" id="{00000000-0008-0000-0E00-000003000000}"/>
            </a:ext>
          </a:extLst>
        </xdr:cNvPr>
        <xdr:cNvSpPr/>
      </xdr:nvSpPr>
      <xdr:spPr bwMode="auto">
        <a:xfrm>
          <a:off x="3562350" y="209550"/>
          <a:ext cx="152400" cy="152400"/>
        </a:xfrm>
        <a:prstGeom prst="rect">
          <a:avLst/>
        </a:prstGeom>
        <a:noFill/>
        <a:ln w="9525">
          <a:miter lim="800000"/>
          <a:headEnd/>
          <a:tailEnd/>
        </a:ln>
      </xdr:spPr>
    </xdr:sp>
    <xdr:clientData/>
  </xdr:twoCellAnchor>
  <xdr:twoCellAnchor editAs="oneCell">
    <xdr:from>
      <xdr:col>2</xdr:col>
      <xdr:colOff>0</xdr:colOff>
      <xdr:row>1</xdr:row>
      <xdr:rowOff>0</xdr:rowOff>
    </xdr:from>
    <xdr:to>
      <xdr:col>2</xdr:col>
      <xdr:colOff>152400</xdr:colOff>
      <xdr:row>1</xdr:row>
      <xdr:rowOff>152400</xdr:rowOff>
    </xdr:to>
    <xdr:sp macro="" textlink="">
      <xdr:nvSpPr>
        <xdr:cNvPr id="4" name="Control 3" hidden="1">
          <a:extLst>
            <a:ext uri="{63B3BB69-23CF-44E3-9099-C40C66FF867C}">
              <a14:compatExt xmlns:a14="http://schemas.microsoft.com/office/drawing/2010/main" spid="_x0000_s1027"/>
            </a:ext>
            <a:ext uri="{FF2B5EF4-FFF2-40B4-BE49-F238E27FC236}">
              <a16:creationId xmlns:a16="http://schemas.microsoft.com/office/drawing/2014/main" id="{00000000-0008-0000-0E00-000004000000}"/>
            </a:ext>
          </a:extLst>
        </xdr:cNvPr>
        <xdr:cNvSpPr/>
      </xdr:nvSpPr>
      <xdr:spPr bwMode="auto">
        <a:xfrm>
          <a:off x="3562350" y="209550"/>
          <a:ext cx="152400" cy="152400"/>
        </a:xfrm>
        <a:prstGeom prst="rect">
          <a:avLst/>
        </a:prstGeom>
        <a:noFill/>
        <a:ln w="9525">
          <a:miter lim="800000"/>
          <a:headEnd/>
          <a:tailEnd/>
        </a:ln>
      </xdr:spPr>
    </xdr:sp>
    <xdr:clientData/>
  </xdr:twoCellAnchor>
  <xdr:twoCellAnchor editAs="oneCell">
    <xdr:from>
      <xdr:col>0</xdr:col>
      <xdr:colOff>0</xdr:colOff>
      <xdr:row>2</xdr:row>
      <xdr:rowOff>0</xdr:rowOff>
    </xdr:from>
    <xdr:to>
      <xdr:col>0</xdr:col>
      <xdr:colOff>139700</xdr:colOff>
      <xdr:row>2</xdr:row>
      <xdr:rowOff>139700</xdr:rowOff>
    </xdr:to>
    <xdr:sp macro="" textlink="">
      <xdr:nvSpPr>
        <xdr:cNvPr id="5" name="Control 4" hidden="1">
          <a:extLst>
            <a:ext uri="{63B3BB69-23CF-44E3-9099-C40C66FF867C}">
              <a14:compatExt xmlns:a14="http://schemas.microsoft.com/office/drawing/2010/main" spid="_x0000_s1028"/>
            </a:ext>
            <a:ext uri="{FF2B5EF4-FFF2-40B4-BE49-F238E27FC236}">
              <a16:creationId xmlns:a16="http://schemas.microsoft.com/office/drawing/2014/main" id="{00000000-0008-0000-0E00-000005000000}"/>
            </a:ext>
          </a:extLst>
        </xdr:cNvPr>
        <xdr:cNvSpPr/>
      </xdr:nvSpPr>
      <xdr:spPr bwMode="auto">
        <a:xfrm>
          <a:off x="0" y="419100"/>
          <a:ext cx="139700" cy="139700"/>
        </a:xfrm>
        <a:prstGeom prst="rect">
          <a:avLst/>
        </a:prstGeom>
        <a:noFill/>
        <a:ln w="9525">
          <a:miter lim="800000"/>
          <a:headEnd/>
          <a:tailEnd/>
        </a:ln>
      </xdr:spPr>
    </xdr:sp>
    <xdr:clientData/>
  </xdr:twoCellAnchor>
  <xdr:twoCellAnchor editAs="oneCell">
    <xdr:from>
      <xdr:col>2</xdr:col>
      <xdr:colOff>0</xdr:colOff>
      <xdr:row>2</xdr:row>
      <xdr:rowOff>0</xdr:rowOff>
    </xdr:from>
    <xdr:to>
      <xdr:col>2</xdr:col>
      <xdr:colOff>254000</xdr:colOff>
      <xdr:row>3</xdr:row>
      <xdr:rowOff>82550</xdr:rowOff>
    </xdr:to>
    <xdr:sp macro="" textlink="">
      <xdr:nvSpPr>
        <xdr:cNvPr id="6" name="Control 5" hidden="1">
          <a:extLst>
            <a:ext uri="{63B3BB69-23CF-44E3-9099-C40C66FF867C}">
              <a14:compatExt xmlns:a14="http://schemas.microsoft.com/office/drawing/2010/main" spid="_x0000_s1029"/>
            </a:ext>
            <a:ext uri="{FF2B5EF4-FFF2-40B4-BE49-F238E27FC236}">
              <a16:creationId xmlns:a16="http://schemas.microsoft.com/office/drawing/2014/main" id="{00000000-0008-0000-0E00-000006000000}"/>
            </a:ext>
          </a:extLst>
        </xdr:cNvPr>
        <xdr:cNvSpPr/>
      </xdr:nvSpPr>
      <xdr:spPr bwMode="auto">
        <a:xfrm>
          <a:off x="3562350" y="419100"/>
          <a:ext cx="254000" cy="273050"/>
        </a:xfrm>
        <a:prstGeom prst="rect">
          <a:avLst/>
        </a:prstGeom>
        <a:noFill/>
        <a:ln w="9525">
          <a:miter lim="800000"/>
          <a:headEnd/>
          <a:tailEnd/>
        </a:ln>
      </xdr:spPr>
    </xdr:sp>
    <xdr:clientData/>
  </xdr:twoCellAnchor>
  <xdr:twoCellAnchor editAs="oneCell">
    <xdr:from>
      <xdr:col>2</xdr:col>
      <xdr:colOff>0</xdr:colOff>
      <xdr:row>2</xdr:row>
      <xdr:rowOff>0</xdr:rowOff>
    </xdr:from>
    <xdr:to>
      <xdr:col>2</xdr:col>
      <xdr:colOff>152400</xdr:colOff>
      <xdr:row>2</xdr:row>
      <xdr:rowOff>152400</xdr:rowOff>
    </xdr:to>
    <xdr:sp macro="" textlink="">
      <xdr:nvSpPr>
        <xdr:cNvPr id="7" name="Control 6" hidden="1">
          <a:extLst>
            <a:ext uri="{63B3BB69-23CF-44E3-9099-C40C66FF867C}">
              <a14:compatExt xmlns:a14="http://schemas.microsoft.com/office/drawing/2010/main" spid="_x0000_s1030"/>
            </a:ext>
            <a:ext uri="{FF2B5EF4-FFF2-40B4-BE49-F238E27FC236}">
              <a16:creationId xmlns:a16="http://schemas.microsoft.com/office/drawing/2014/main" id="{00000000-0008-0000-0E00-000007000000}"/>
            </a:ext>
          </a:extLst>
        </xdr:cNvPr>
        <xdr:cNvSpPr/>
      </xdr:nvSpPr>
      <xdr:spPr bwMode="auto">
        <a:xfrm>
          <a:off x="3562350" y="419100"/>
          <a:ext cx="152400" cy="152400"/>
        </a:xfrm>
        <a:prstGeom prst="rect">
          <a:avLst/>
        </a:prstGeom>
        <a:noFill/>
        <a:ln w="9525">
          <a:miter lim="800000"/>
          <a:headEnd/>
          <a:tailEnd/>
        </a:ln>
      </xdr:spPr>
    </xdr:sp>
    <xdr:clientData/>
  </xdr:twoCellAnchor>
  <xdr:twoCellAnchor editAs="oneCell">
    <xdr:from>
      <xdr:col>2</xdr:col>
      <xdr:colOff>0</xdr:colOff>
      <xdr:row>2</xdr:row>
      <xdr:rowOff>0</xdr:rowOff>
    </xdr:from>
    <xdr:to>
      <xdr:col>2</xdr:col>
      <xdr:colOff>152400</xdr:colOff>
      <xdr:row>2</xdr:row>
      <xdr:rowOff>152400</xdr:rowOff>
    </xdr:to>
    <xdr:sp macro="" textlink="">
      <xdr:nvSpPr>
        <xdr:cNvPr id="8" name="Control 7" hidden="1">
          <a:extLst>
            <a:ext uri="{63B3BB69-23CF-44E3-9099-C40C66FF867C}">
              <a14:compatExt xmlns:a14="http://schemas.microsoft.com/office/drawing/2010/main" spid="_x0000_s1031"/>
            </a:ext>
            <a:ext uri="{FF2B5EF4-FFF2-40B4-BE49-F238E27FC236}">
              <a16:creationId xmlns:a16="http://schemas.microsoft.com/office/drawing/2014/main" id="{00000000-0008-0000-0E00-000008000000}"/>
            </a:ext>
          </a:extLst>
        </xdr:cNvPr>
        <xdr:cNvSpPr/>
      </xdr:nvSpPr>
      <xdr:spPr bwMode="auto">
        <a:xfrm>
          <a:off x="3562350" y="419100"/>
          <a:ext cx="152400" cy="152400"/>
        </a:xfrm>
        <a:prstGeom prst="rect">
          <a:avLst/>
        </a:prstGeom>
        <a:noFill/>
        <a:ln w="9525">
          <a:miter lim="800000"/>
          <a:headEnd/>
          <a:tailEnd/>
        </a:ln>
      </xdr:spPr>
    </xdr:sp>
    <xdr:clientData/>
  </xdr:twoCellAnchor>
  <xdr:twoCellAnchor editAs="oneCell">
    <xdr:from>
      <xdr:col>0</xdr:col>
      <xdr:colOff>0</xdr:colOff>
      <xdr:row>3</xdr:row>
      <xdr:rowOff>0</xdr:rowOff>
    </xdr:from>
    <xdr:to>
      <xdr:col>0</xdr:col>
      <xdr:colOff>139700</xdr:colOff>
      <xdr:row>3</xdr:row>
      <xdr:rowOff>139700</xdr:rowOff>
    </xdr:to>
    <xdr:sp macro="" textlink="">
      <xdr:nvSpPr>
        <xdr:cNvPr id="9" name="Control 8" hidden="1">
          <a:extLst>
            <a:ext uri="{63B3BB69-23CF-44E3-9099-C40C66FF867C}">
              <a14:compatExt xmlns:a14="http://schemas.microsoft.com/office/drawing/2010/main" spid="_x0000_s1032"/>
            </a:ext>
            <a:ext uri="{FF2B5EF4-FFF2-40B4-BE49-F238E27FC236}">
              <a16:creationId xmlns:a16="http://schemas.microsoft.com/office/drawing/2014/main" id="{00000000-0008-0000-0E00-000009000000}"/>
            </a:ext>
          </a:extLst>
        </xdr:cNvPr>
        <xdr:cNvSpPr/>
      </xdr:nvSpPr>
      <xdr:spPr bwMode="auto">
        <a:xfrm>
          <a:off x="0" y="628650"/>
          <a:ext cx="139700" cy="139700"/>
        </a:xfrm>
        <a:prstGeom prst="rect">
          <a:avLst/>
        </a:prstGeom>
        <a:noFill/>
        <a:ln w="9525">
          <a:miter lim="800000"/>
          <a:headEnd/>
          <a:tailEnd/>
        </a:ln>
      </xdr:spPr>
    </xdr:sp>
    <xdr:clientData/>
  </xdr:twoCellAnchor>
  <xdr:twoCellAnchor editAs="oneCell">
    <xdr:from>
      <xdr:col>2</xdr:col>
      <xdr:colOff>0</xdr:colOff>
      <xdr:row>3</xdr:row>
      <xdr:rowOff>0</xdr:rowOff>
    </xdr:from>
    <xdr:to>
      <xdr:col>2</xdr:col>
      <xdr:colOff>254000</xdr:colOff>
      <xdr:row>4</xdr:row>
      <xdr:rowOff>82550</xdr:rowOff>
    </xdr:to>
    <xdr:sp macro="" textlink="">
      <xdr:nvSpPr>
        <xdr:cNvPr id="10" name="Control 9" hidden="1">
          <a:extLst>
            <a:ext uri="{63B3BB69-23CF-44E3-9099-C40C66FF867C}">
              <a14:compatExt xmlns:a14="http://schemas.microsoft.com/office/drawing/2010/main" spid="_x0000_s1033"/>
            </a:ext>
            <a:ext uri="{FF2B5EF4-FFF2-40B4-BE49-F238E27FC236}">
              <a16:creationId xmlns:a16="http://schemas.microsoft.com/office/drawing/2014/main" id="{00000000-0008-0000-0E00-00000A000000}"/>
            </a:ext>
          </a:extLst>
        </xdr:cNvPr>
        <xdr:cNvSpPr/>
      </xdr:nvSpPr>
      <xdr:spPr bwMode="auto">
        <a:xfrm>
          <a:off x="3562350" y="628650"/>
          <a:ext cx="254000" cy="273050"/>
        </a:xfrm>
        <a:prstGeom prst="rect">
          <a:avLst/>
        </a:prstGeom>
        <a:noFill/>
        <a:ln w="9525">
          <a:miter lim="800000"/>
          <a:headEnd/>
          <a:tailEnd/>
        </a:ln>
      </xdr:spPr>
    </xdr:sp>
    <xdr:clientData/>
  </xdr:twoCellAnchor>
  <xdr:twoCellAnchor editAs="oneCell">
    <xdr:from>
      <xdr:col>2</xdr:col>
      <xdr:colOff>0</xdr:colOff>
      <xdr:row>3</xdr:row>
      <xdr:rowOff>0</xdr:rowOff>
    </xdr:from>
    <xdr:to>
      <xdr:col>2</xdr:col>
      <xdr:colOff>152400</xdr:colOff>
      <xdr:row>3</xdr:row>
      <xdr:rowOff>152400</xdr:rowOff>
    </xdr:to>
    <xdr:sp macro="" textlink="">
      <xdr:nvSpPr>
        <xdr:cNvPr id="11" name="Control 10" hidden="1">
          <a:extLst>
            <a:ext uri="{63B3BB69-23CF-44E3-9099-C40C66FF867C}">
              <a14:compatExt xmlns:a14="http://schemas.microsoft.com/office/drawing/2010/main" spid="_x0000_s1034"/>
            </a:ext>
            <a:ext uri="{FF2B5EF4-FFF2-40B4-BE49-F238E27FC236}">
              <a16:creationId xmlns:a16="http://schemas.microsoft.com/office/drawing/2014/main" id="{00000000-0008-0000-0E00-00000B000000}"/>
            </a:ext>
          </a:extLst>
        </xdr:cNvPr>
        <xdr:cNvSpPr/>
      </xdr:nvSpPr>
      <xdr:spPr bwMode="auto">
        <a:xfrm>
          <a:off x="3562350" y="628650"/>
          <a:ext cx="152400" cy="152400"/>
        </a:xfrm>
        <a:prstGeom prst="rect">
          <a:avLst/>
        </a:prstGeom>
        <a:noFill/>
        <a:ln w="9525">
          <a:miter lim="800000"/>
          <a:headEnd/>
          <a:tailEnd/>
        </a:ln>
      </xdr:spPr>
    </xdr:sp>
    <xdr:clientData/>
  </xdr:twoCellAnchor>
  <xdr:twoCellAnchor editAs="oneCell">
    <xdr:from>
      <xdr:col>2</xdr:col>
      <xdr:colOff>0</xdr:colOff>
      <xdr:row>3</xdr:row>
      <xdr:rowOff>0</xdr:rowOff>
    </xdr:from>
    <xdr:to>
      <xdr:col>2</xdr:col>
      <xdr:colOff>152400</xdr:colOff>
      <xdr:row>3</xdr:row>
      <xdr:rowOff>152400</xdr:rowOff>
    </xdr:to>
    <xdr:sp macro="" textlink="">
      <xdr:nvSpPr>
        <xdr:cNvPr id="12" name="Control 11" hidden="1">
          <a:extLst>
            <a:ext uri="{63B3BB69-23CF-44E3-9099-C40C66FF867C}">
              <a14:compatExt xmlns:a14="http://schemas.microsoft.com/office/drawing/2010/main" spid="_x0000_s1035"/>
            </a:ext>
            <a:ext uri="{FF2B5EF4-FFF2-40B4-BE49-F238E27FC236}">
              <a16:creationId xmlns:a16="http://schemas.microsoft.com/office/drawing/2014/main" id="{00000000-0008-0000-0E00-00000C000000}"/>
            </a:ext>
          </a:extLst>
        </xdr:cNvPr>
        <xdr:cNvSpPr/>
      </xdr:nvSpPr>
      <xdr:spPr bwMode="auto">
        <a:xfrm>
          <a:off x="3562350" y="628650"/>
          <a:ext cx="152400" cy="152400"/>
        </a:xfrm>
        <a:prstGeom prst="rect">
          <a:avLst/>
        </a:prstGeom>
        <a:noFill/>
        <a:ln w="9525">
          <a:miter lim="800000"/>
          <a:headEnd/>
          <a:tailEnd/>
        </a:ln>
      </xdr:spPr>
    </xdr:sp>
    <xdr:clientData/>
  </xdr:twoCellAnchor>
  <xdr:twoCellAnchor editAs="oneCell">
    <xdr:from>
      <xdr:col>0</xdr:col>
      <xdr:colOff>0</xdr:colOff>
      <xdr:row>4</xdr:row>
      <xdr:rowOff>0</xdr:rowOff>
    </xdr:from>
    <xdr:to>
      <xdr:col>0</xdr:col>
      <xdr:colOff>139700</xdr:colOff>
      <xdr:row>4</xdr:row>
      <xdr:rowOff>139700</xdr:rowOff>
    </xdr:to>
    <xdr:sp macro="" textlink="">
      <xdr:nvSpPr>
        <xdr:cNvPr id="13" name="Control 12" hidden="1">
          <a:extLst>
            <a:ext uri="{63B3BB69-23CF-44E3-9099-C40C66FF867C}">
              <a14:compatExt xmlns:a14="http://schemas.microsoft.com/office/drawing/2010/main" spid="_x0000_s1036"/>
            </a:ext>
            <a:ext uri="{FF2B5EF4-FFF2-40B4-BE49-F238E27FC236}">
              <a16:creationId xmlns:a16="http://schemas.microsoft.com/office/drawing/2014/main" id="{00000000-0008-0000-0E00-00000D000000}"/>
            </a:ext>
          </a:extLst>
        </xdr:cNvPr>
        <xdr:cNvSpPr/>
      </xdr:nvSpPr>
      <xdr:spPr bwMode="auto">
        <a:xfrm>
          <a:off x="0" y="838200"/>
          <a:ext cx="139700" cy="139700"/>
        </a:xfrm>
        <a:prstGeom prst="rect">
          <a:avLst/>
        </a:prstGeom>
        <a:noFill/>
        <a:ln w="9525">
          <a:miter lim="800000"/>
          <a:headEnd/>
          <a:tailEnd/>
        </a:ln>
      </xdr:spPr>
    </xdr:sp>
    <xdr:clientData/>
  </xdr:twoCellAnchor>
  <xdr:twoCellAnchor editAs="oneCell">
    <xdr:from>
      <xdr:col>2</xdr:col>
      <xdr:colOff>0</xdr:colOff>
      <xdr:row>4</xdr:row>
      <xdr:rowOff>0</xdr:rowOff>
    </xdr:from>
    <xdr:to>
      <xdr:col>2</xdr:col>
      <xdr:colOff>254000</xdr:colOff>
      <xdr:row>5</xdr:row>
      <xdr:rowOff>82550</xdr:rowOff>
    </xdr:to>
    <xdr:sp macro="" textlink="">
      <xdr:nvSpPr>
        <xdr:cNvPr id="14" name="Control 13" hidden="1">
          <a:extLst>
            <a:ext uri="{63B3BB69-23CF-44E3-9099-C40C66FF867C}">
              <a14:compatExt xmlns:a14="http://schemas.microsoft.com/office/drawing/2010/main" spid="_x0000_s1037"/>
            </a:ext>
            <a:ext uri="{FF2B5EF4-FFF2-40B4-BE49-F238E27FC236}">
              <a16:creationId xmlns:a16="http://schemas.microsoft.com/office/drawing/2014/main" id="{00000000-0008-0000-0E00-00000E000000}"/>
            </a:ext>
          </a:extLst>
        </xdr:cNvPr>
        <xdr:cNvSpPr/>
      </xdr:nvSpPr>
      <xdr:spPr bwMode="auto">
        <a:xfrm>
          <a:off x="3562350" y="838200"/>
          <a:ext cx="254000" cy="273050"/>
        </a:xfrm>
        <a:prstGeom prst="rect">
          <a:avLst/>
        </a:prstGeom>
        <a:noFill/>
        <a:ln w="9525">
          <a:miter lim="800000"/>
          <a:headEnd/>
          <a:tailEnd/>
        </a:ln>
      </xdr:spPr>
    </xdr:sp>
    <xdr:clientData/>
  </xdr:twoCellAnchor>
  <xdr:twoCellAnchor editAs="oneCell">
    <xdr:from>
      <xdr:col>2</xdr:col>
      <xdr:colOff>0</xdr:colOff>
      <xdr:row>4</xdr:row>
      <xdr:rowOff>0</xdr:rowOff>
    </xdr:from>
    <xdr:to>
      <xdr:col>2</xdr:col>
      <xdr:colOff>152400</xdr:colOff>
      <xdr:row>4</xdr:row>
      <xdr:rowOff>152400</xdr:rowOff>
    </xdr:to>
    <xdr:sp macro="" textlink="">
      <xdr:nvSpPr>
        <xdr:cNvPr id="15" name="Control 14" hidden="1">
          <a:extLst>
            <a:ext uri="{63B3BB69-23CF-44E3-9099-C40C66FF867C}">
              <a14:compatExt xmlns:a14="http://schemas.microsoft.com/office/drawing/2010/main" spid="_x0000_s1038"/>
            </a:ext>
            <a:ext uri="{FF2B5EF4-FFF2-40B4-BE49-F238E27FC236}">
              <a16:creationId xmlns:a16="http://schemas.microsoft.com/office/drawing/2014/main" id="{00000000-0008-0000-0E00-00000F000000}"/>
            </a:ext>
          </a:extLst>
        </xdr:cNvPr>
        <xdr:cNvSpPr/>
      </xdr:nvSpPr>
      <xdr:spPr bwMode="auto">
        <a:xfrm>
          <a:off x="3562350" y="838200"/>
          <a:ext cx="152400" cy="152400"/>
        </a:xfrm>
        <a:prstGeom prst="rect">
          <a:avLst/>
        </a:prstGeom>
        <a:noFill/>
        <a:ln w="9525">
          <a:miter lim="800000"/>
          <a:headEnd/>
          <a:tailEnd/>
        </a:ln>
      </xdr:spPr>
    </xdr:sp>
    <xdr:clientData/>
  </xdr:twoCellAnchor>
  <xdr:twoCellAnchor editAs="oneCell">
    <xdr:from>
      <xdr:col>2</xdr:col>
      <xdr:colOff>0</xdr:colOff>
      <xdr:row>4</xdr:row>
      <xdr:rowOff>0</xdr:rowOff>
    </xdr:from>
    <xdr:to>
      <xdr:col>2</xdr:col>
      <xdr:colOff>152400</xdr:colOff>
      <xdr:row>4</xdr:row>
      <xdr:rowOff>152400</xdr:rowOff>
    </xdr:to>
    <xdr:sp macro="" textlink="">
      <xdr:nvSpPr>
        <xdr:cNvPr id="16" name="Control 15" hidden="1">
          <a:extLst>
            <a:ext uri="{63B3BB69-23CF-44E3-9099-C40C66FF867C}">
              <a14:compatExt xmlns:a14="http://schemas.microsoft.com/office/drawing/2010/main" spid="_x0000_s1039"/>
            </a:ext>
            <a:ext uri="{FF2B5EF4-FFF2-40B4-BE49-F238E27FC236}">
              <a16:creationId xmlns:a16="http://schemas.microsoft.com/office/drawing/2014/main" id="{00000000-0008-0000-0E00-000010000000}"/>
            </a:ext>
          </a:extLst>
        </xdr:cNvPr>
        <xdr:cNvSpPr/>
      </xdr:nvSpPr>
      <xdr:spPr bwMode="auto">
        <a:xfrm>
          <a:off x="3562350" y="838200"/>
          <a:ext cx="152400" cy="152400"/>
        </a:xfrm>
        <a:prstGeom prst="rect">
          <a:avLst/>
        </a:prstGeom>
        <a:noFill/>
        <a:ln w="9525">
          <a:miter lim="800000"/>
          <a:headEnd/>
          <a:tailEnd/>
        </a:ln>
      </xdr:spPr>
    </xdr:sp>
    <xdr:clientData/>
  </xdr:twoCellAnchor>
  <xdr:twoCellAnchor editAs="oneCell">
    <xdr:from>
      <xdr:col>0</xdr:col>
      <xdr:colOff>0</xdr:colOff>
      <xdr:row>5</xdr:row>
      <xdr:rowOff>0</xdr:rowOff>
    </xdr:from>
    <xdr:to>
      <xdr:col>0</xdr:col>
      <xdr:colOff>139700</xdr:colOff>
      <xdr:row>5</xdr:row>
      <xdr:rowOff>139700</xdr:rowOff>
    </xdr:to>
    <xdr:sp macro="" textlink="">
      <xdr:nvSpPr>
        <xdr:cNvPr id="17" name="Control 16" hidden="1">
          <a:extLst>
            <a:ext uri="{63B3BB69-23CF-44E3-9099-C40C66FF867C}">
              <a14:compatExt xmlns:a14="http://schemas.microsoft.com/office/drawing/2010/main" spid="_x0000_s1040"/>
            </a:ext>
            <a:ext uri="{FF2B5EF4-FFF2-40B4-BE49-F238E27FC236}">
              <a16:creationId xmlns:a16="http://schemas.microsoft.com/office/drawing/2014/main" id="{00000000-0008-0000-0E00-000011000000}"/>
            </a:ext>
          </a:extLst>
        </xdr:cNvPr>
        <xdr:cNvSpPr/>
      </xdr:nvSpPr>
      <xdr:spPr bwMode="auto">
        <a:xfrm>
          <a:off x="0" y="1047750"/>
          <a:ext cx="139700" cy="139700"/>
        </a:xfrm>
        <a:prstGeom prst="rect">
          <a:avLst/>
        </a:prstGeom>
        <a:noFill/>
        <a:ln w="9525">
          <a:miter lim="800000"/>
          <a:headEnd/>
          <a:tailEnd/>
        </a:ln>
      </xdr:spPr>
    </xdr:sp>
    <xdr:clientData/>
  </xdr:twoCellAnchor>
  <xdr:twoCellAnchor editAs="oneCell">
    <xdr:from>
      <xdr:col>2</xdr:col>
      <xdr:colOff>0</xdr:colOff>
      <xdr:row>5</xdr:row>
      <xdr:rowOff>0</xdr:rowOff>
    </xdr:from>
    <xdr:to>
      <xdr:col>2</xdr:col>
      <xdr:colOff>254000</xdr:colOff>
      <xdr:row>6</xdr:row>
      <xdr:rowOff>82550</xdr:rowOff>
    </xdr:to>
    <xdr:sp macro="" textlink="">
      <xdr:nvSpPr>
        <xdr:cNvPr id="18" name="Control 17" hidden="1">
          <a:extLst>
            <a:ext uri="{63B3BB69-23CF-44E3-9099-C40C66FF867C}">
              <a14:compatExt xmlns:a14="http://schemas.microsoft.com/office/drawing/2010/main" spid="_x0000_s1041"/>
            </a:ext>
            <a:ext uri="{FF2B5EF4-FFF2-40B4-BE49-F238E27FC236}">
              <a16:creationId xmlns:a16="http://schemas.microsoft.com/office/drawing/2014/main" id="{00000000-0008-0000-0E00-000012000000}"/>
            </a:ext>
          </a:extLst>
        </xdr:cNvPr>
        <xdr:cNvSpPr/>
      </xdr:nvSpPr>
      <xdr:spPr bwMode="auto">
        <a:xfrm>
          <a:off x="3562350" y="1047750"/>
          <a:ext cx="254000" cy="273050"/>
        </a:xfrm>
        <a:prstGeom prst="rect">
          <a:avLst/>
        </a:prstGeom>
        <a:noFill/>
        <a:ln w="9525">
          <a:miter lim="800000"/>
          <a:headEnd/>
          <a:tailEnd/>
        </a:ln>
      </xdr:spPr>
    </xdr:sp>
    <xdr:clientData/>
  </xdr:twoCellAnchor>
  <xdr:twoCellAnchor editAs="oneCell">
    <xdr:from>
      <xdr:col>2</xdr:col>
      <xdr:colOff>0</xdr:colOff>
      <xdr:row>5</xdr:row>
      <xdr:rowOff>0</xdr:rowOff>
    </xdr:from>
    <xdr:to>
      <xdr:col>2</xdr:col>
      <xdr:colOff>152400</xdr:colOff>
      <xdr:row>5</xdr:row>
      <xdr:rowOff>152400</xdr:rowOff>
    </xdr:to>
    <xdr:sp macro="" textlink="">
      <xdr:nvSpPr>
        <xdr:cNvPr id="19" name="Control 18" hidden="1">
          <a:extLst>
            <a:ext uri="{63B3BB69-23CF-44E3-9099-C40C66FF867C}">
              <a14:compatExt xmlns:a14="http://schemas.microsoft.com/office/drawing/2010/main" spid="_x0000_s1042"/>
            </a:ext>
            <a:ext uri="{FF2B5EF4-FFF2-40B4-BE49-F238E27FC236}">
              <a16:creationId xmlns:a16="http://schemas.microsoft.com/office/drawing/2014/main" id="{00000000-0008-0000-0E00-000013000000}"/>
            </a:ext>
          </a:extLst>
        </xdr:cNvPr>
        <xdr:cNvSpPr/>
      </xdr:nvSpPr>
      <xdr:spPr bwMode="auto">
        <a:xfrm>
          <a:off x="3562350" y="1047750"/>
          <a:ext cx="152400" cy="152400"/>
        </a:xfrm>
        <a:prstGeom prst="rect">
          <a:avLst/>
        </a:prstGeom>
        <a:noFill/>
        <a:ln w="9525">
          <a:miter lim="800000"/>
          <a:headEnd/>
          <a:tailEnd/>
        </a:ln>
      </xdr:spPr>
    </xdr:sp>
    <xdr:clientData/>
  </xdr:twoCellAnchor>
  <xdr:twoCellAnchor editAs="oneCell">
    <xdr:from>
      <xdr:col>2</xdr:col>
      <xdr:colOff>0</xdr:colOff>
      <xdr:row>5</xdr:row>
      <xdr:rowOff>0</xdr:rowOff>
    </xdr:from>
    <xdr:to>
      <xdr:col>2</xdr:col>
      <xdr:colOff>152400</xdr:colOff>
      <xdr:row>5</xdr:row>
      <xdr:rowOff>152400</xdr:rowOff>
    </xdr:to>
    <xdr:sp macro="" textlink="">
      <xdr:nvSpPr>
        <xdr:cNvPr id="20" name="Control 19" hidden="1">
          <a:extLst>
            <a:ext uri="{63B3BB69-23CF-44E3-9099-C40C66FF867C}">
              <a14:compatExt xmlns:a14="http://schemas.microsoft.com/office/drawing/2010/main" spid="_x0000_s1043"/>
            </a:ext>
            <a:ext uri="{FF2B5EF4-FFF2-40B4-BE49-F238E27FC236}">
              <a16:creationId xmlns:a16="http://schemas.microsoft.com/office/drawing/2014/main" id="{00000000-0008-0000-0E00-000014000000}"/>
            </a:ext>
          </a:extLst>
        </xdr:cNvPr>
        <xdr:cNvSpPr/>
      </xdr:nvSpPr>
      <xdr:spPr bwMode="auto">
        <a:xfrm>
          <a:off x="3562350" y="1047750"/>
          <a:ext cx="152400" cy="152400"/>
        </a:xfrm>
        <a:prstGeom prst="rect">
          <a:avLst/>
        </a:prstGeom>
        <a:noFill/>
        <a:ln w="9525">
          <a:miter lim="800000"/>
          <a:headEnd/>
          <a:tailEnd/>
        </a:ln>
      </xdr:spPr>
    </xdr:sp>
    <xdr:clientData/>
  </xdr:twoCellAnchor>
  <xdr:twoCellAnchor editAs="oneCell">
    <xdr:from>
      <xdr:col>0</xdr:col>
      <xdr:colOff>0</xdr:colOff>
      <xdr:row>6</xdr:row>
      <xdr:rowOff>0</xdr:rowOff>
    </xdr:from>
    <xdr:to>
      <xdr:col>0</xdr:col>
      <xdr:colOff>139700</xdr:colOff>
      <xdr:row>6</xdr:row>
      <xdr:rowOff>139700</xdr:rowOff>
    </xdr:to>
    <xdr:sp macro="" textlink="">
      <xdr:nvSpPr>
        <xdr:cNvPr id="21" name="Control 20" hidden="1">
          <a:extLst>
            <a:ext uri="{63B3BB69-23CF-44E3-9099-C40C66FF867C}">
              <a14:compatExt xmlns:a14="http://schemas.microsoft.com/office/drawing/2010/main" spid="_x0000_s1044"/>
            </a:ext>
            <a:ext uri="{FF2B5EF4-FFF2-40B4-BE49-F238E27FC236}">
              <a16:creationId xmlns:a16="http://schemas.microsoft.com/office/drawing/2014/main" id="{00000000-0008-0000-0E00-000015000000}"/>
            </a:ext>
          </a:extLst>
        </xdr:cNvPr>
        <xdr:cNvSpPr/>
      </xdr:nvSpPr>
      <xdr:spPr bwMode="auto">
        <a:xfrm>
          <a:off x="0" y="1257300"/>
          <a:ext cx="139700" cy="139700"/>
        </a:xfrm>
        <a:prstGeom prst="rect">
          <a:avLst/>
        </a:prstGeom>
        <a:noFill/>
        <a:ln w="9525">
          <a:miter lim="800000"/>
          <a:headEnd/>
          <a:tailEnd/>
        </a:ln>
      </xdr:spPr>
    </xdr:sp>
    <xdr:clientData/>
  </xdr:twoCellAnchor>
  <xdr:twoCellAnchor editAs="oneCell">
    <xdr:from>
      <xdr:col>2</xdr:col>
      <xdr:colOff>0</xdr:colOff>
      <xdr:row>6</xdr:row>
      <xdr:rowOff>0</xdr:rowOff>
    </xdr:from>
    <xdr:to>
      <xdr:col>2</xdr:col>
      <xdr:colOff>254000</xdr:colOff>
      <xdr:row>7</xdr:row>
      <xdr:rowOff>73025</xdr:rowOff>
    </xdr:to>
    <xdr:sp macro="" textlink="">
      <xdr:nvSpPr>
        <xdr:cNvPr id="22" name="Control 21" hidden="1">
          <a:extLst>
            <a:ext uri="{63B3BB69-23CF-44E3-9099-C40C66FF867C}">
              <a14:compatExt xmlns:a14="http://schemas.microsoft.com/office/drawing/2010/main" spid="_x0000_s1045"/>
            </a:ext>
            <a:ext uri="{FF2B5EF4-FFF2-40B4-BE49-F238E27FC236}">
              <a16:creationId xmlns:a16="http://schemas.microsoft.com/office/drawing/2014/main" id="{00000000-0008-0000-0E00-000016000000}"/>
            </a:ext>
          </a:extLst>
        </xdr:cNvPr>
        <xdr:cNvSpPr/>
      </xdr:nvSpPr>
      <xdr:spPr bwMode="auto">
        <a:xfrm>
          <a:off x="3562350" y="1257300"/>
          <a:ext cx="254000" cy="273050"/>
        </a:xfrm>
        <a:prstGeom prst="rect">
          <a:avLst/>
        </a:prstGeom>
        <a:noFill/>
        <a:ln w="9525">
          <a:miter lim="800000"/>
          <a:headEnd/>
          <a:tailEnd/>
        </a:ln>
      </xdr:spPr>
    </xdr:sp>
    <xdr:clientData/>
  </xdr:twoCellAnchor>
  <xdr:twoCellAnchor editAs="oneCell">
    <xdr:from>
      <xdr:col>2</xdr:col>
      <xdr:colOff>0</xdr:colOff>
      <xdr:row>6</xdr:row>
      <xdr:rowOff>0</xdr:rowOff>
    </xdr:from>
    <xdr:to>
      <xdr:col>2</xdr:col>
      <xdr:colOff>152400</xdr:colOff>
      <xdr:row>6</xdr:row>
      <xdr:rowOff>152400</xdr:rowOff>
    </xdr:to>
    <xdr:sp macro="" textlink="">
      <xdr:nvSpPr>
        <xdr:cNvPr id="23" name="Control 22" hidden="1">
          <a:extLst>
            <a:ext uri="{63B3BB69-23CF-44E3-9099-C40C66FF867C}">
              <a14:compatExt xmlns:a14="http://schemas.microsoft.com/office/drawing/2010/main" spid="_x0000_s1046"/>
            </a:ext>
            <a:ext uri="{FF2B5EF4-FFF2-40B4-BE49-F238E27FC236}">
              <a16:creationId xmlns:a16="http://schemas.microsoft.com/office/drawing/2014/main" id="{00000000-0008-0000-0E00-000017000000}"/>
            </a:ext>
          </a:extLst>
        </xdr:cNvPr>
        <xdr:cNvSpPr/>
      </xdr:nvSpPr>
      <xdr:spPr bwMode="auto">
        <a:xfrm>
          <a:off x="3562350" y="1257300"/>
          <a:ext cx="152400" cy="152400"/>
        </a:xfrm>
        <a:prstGeom prst="rect">
          <a:avLst/>
        </a:prstGeom>
        <a:noFill/>
        <a:ln w="9525">
          <a:miter lim="800000"/>
          <a:headEnd/>
          <a:tailEnd/>
        </a:ln>
      </xdr:spPr>
    </xdr:sp>
    <xdr:clientData/>
  </xdr:twoCellAnchor>
  <xdr:twoCellAnchor editAs="oneCell">
    <xdr:from>
      <xdr:col>2</xdr:col>
      <xdr:colOff>0</xdr:colOff>
      <xdr:row>6</xdr:row>
      <xdr:rowOff>0</xdr:rowOff>
    </xdr:from>
    <xdr:to>
      <xdr:col>2</xdr:col>
      <xdr:colOff>152400</xdr:colOff>
      <xdr:row>6</xdr:row>
      <xdr:rowOff>152400</xdr:rowOff>
    </xdr:to>
    <xdr:sp macro="" textlink="">
      <xdr:nvSpPr>
        <xdr:cNvPr id="24" name="Control 23" hidden="1">
          <a:extLst>
            <a:ext uri="{63B3BB69-23CF-44E3-9099-C40C66FF867C}">
              <a14:compatExt xmlns:a14="http://schemas.microsoft.com/office/drawing/2010/main" spid="_x0000_s1047"/>
            </a:ext>
            <a:ext uri="{FF2B5EF4-FFF2-40B4-BE49-F238E27FC236}">
              <a16:creationId xmlns:a16="http://schemas.microsoft.com/office/drawing/2014/main" id="{00000000-0008-0000-0E00-000018000000}"/>
            </a:ext>
          </a:extLst>
        </xdr:cNvPr>
        <xdr:cNvSpPr/>
      </xdr:nvSpPr>
      <xdr:spPr bwMode="auto">
        <a:xfrm>
          <a:off x="3562350" y="1257300"/>
          <a:ext cx="152400" cy="152400"/>
        </a:xfrm>
        <a:prstGeom prst="rect">
          <a:avLst/>
        </a:prstGeom>
        <a:noFill/>
        <a:ln w="9525">
          <a:miter lim="800000"/>
          <a:headEnd/>
          <a:tailEnd/>
        </a:ln>
      </xdr:spPr>
    </xdr:sp>
    <xdr:clientData/>
  </xdr:twoCellAnchor>
  <xdr:twoCellAnchor editAs="oneCell">
    <xdr:from>
      <xdr:col>0</xdr:col>
      <xdr:colOff>0</xdr:colOff>
      <xdr:row>7</xdr:row>
      <xdr:rowOff>0</xdr:rowOff>
    </xdr:from>
    <xdr:to>
      <xdr:col>0</xdr:col>
      <xdr:colOff>139700</xdr:colOff>
      <xdr:row>7</xdr:row>
      <xdr:rowOff>139700</xdr:rowOff>
    </xdr:to>
    <xdr:sp macro="" textlink="">
      <xdr:nvSpPr>
        <xdr:cNvPr id="25" name="Control 24" hidden="1">
          <a:extLst>
            <a:ext uri="{63B3BB69-23CF-44E3-9099-C40C66FF867C}">
              <a14:compatExt xmlns:a14="http://schemas.microsoft.com/office/drawing/2010/main" spid="_x0000_s1048"/>
            </a:ext>
            <a:ext uri="{FF2B5EF4-FFF2-40B4-BE49-F238E27FC236}">
              <a16:creationId xmlns:a16="http://schemas.microsoft.com/office/drawing/2014/main" id="{00000000-0008-0000-0E00-000019000000}"/>
            </a:ext>
          </a:extLst>
        </xdr:cNvPr>
        <xdr:cNvSpPr/>
      </xdr:nvSpPr>
      <xdr:spPr bwMode="auto">
        <a:xfrm>
          <a:off x="0" y="1466850"/>
          <a:ext cx="139700" cy="139700"/>
        </a:xfrm>
        <a:prstGeom prst="rect">
          <a:avLst/>
        </a:prstGeom>
        <a:noFill/>
        <a:ln w="9525">
          <a:miter lim="800000"/>
          <a:headEnd/>
          <a:tailEnd/>
        </a:ln>
      </xdr:spPr>
    </xdr:sp>
    <xdr:clientData/>
  </xdr:twoCellAnchor>
  <xdr:twoCellAnchor editAs="oneCell">
    <xdr:from>
      <xdr:col>2</xdr:col>
      <xdr:colOff>0</xdr:colOff>
      <xdr:row>7</xdr:row>
      <xdr:rowOff>0</xdr:rowOff>
    </xdr:from>
    <xdr:to>
      <xdr:col>2</xdr:col>
      <xdr:colOff>254000</xdr:colOff>
      <xdr:row>8</xdr:row>
      <xdr:rowOff>82550</xdr:rowOff>
    </xdr:to>
    <xdr:sp macro="" textlink="">
      <xdr:nvSpPr>
        <xdr:cNvPr id="26" name="Control 25" hidden="1">
          <a:extLst>
            <a:ext uri="{63B3BB69-23CF-44E3-9099-C40C66FF867C}">
              <a14:compatExt xmlns:a14="http://schemas.microsoft.com/office/drawing/2010/main" spid="_x0000_s1049"/>
            </a:ext>
            <a:ext uri="{FF2B5EF4-FFF2-40B4-BE49-F238E27FC236}">
              <a16:creationId xmlns:a16="http://schemas.microsoft.com/office/drawing/2014/main" id="{00000000-0008-0000-0E00-00001A000000}"/>
            </a:ext>
          </a:extLst>
        </xdr:cNvPr>
        <xdr:cNvSpPr/>
      </xdr:nvSpPr>
      <xdr:spPr bwMode="auto">
        <a:xfrm>
          <a:off x="3562350" y="1466850"/>
          <a:ext cx="254000" cy="273050"/>
        </a:xfrm>
        <a:prstGeom prst="rect">
          <a:avLst/>
        </a:prstGeom>
        <a:noFill/>
        <a:ln w="9525">
          <a:miter lim="800000"/>
          <a:headEnd/>
          <a:tailEnd/>
        </a:ln>
      </xdr:spPr>
    </xdr:sp>
    <xdr:clientData/>
  </xdr:twoCellAnchor>
  <xdr:twoCellAnchor editAs="oneCell">
    <xdr:from>
      <xdr:col>2</xdr:col>
      <xdr:colOff>0</xdr:colOff>
      <xdr:row>7</xdr:row>
      <xdr:rowOff>0</xdr:rowOff>
    </xdr:from>
    <xdr:to>
      <xdr:col>2</xdr:col>
      <xdr:colOff>152400</xdr:colOff>
      <xdr:row>7</xdr:row>
      <xdr:rowOff>152400</xdr:rowOff>
    </xdr:to>
    <xdr:sp macro="" textlink="">
      <xdr:nvSpPr>
        <xdr:cNvPr id="27" name="Control 26" hidden="1">
          <a:extLst>
            <a:ext uri="{63B3BB69-23CF-44E3-9099-C40C66FF867C}">
              <a14:compatExt xmlns:a14="http://schemas.microsoft.com/office/drawing/2010/main" spid="_x0000_s1050"/>
            </a:ext>
            <a:ext uri="{FF2B5EF4-FFF2-40B4-BE49-F238E27FC236}">
              <a16:creationId xmlns:a16="http://schemas.microsoft.com/office/drawing/2014/main" id="{00000000-0008-0000-0E00-00001B000000}"/>
            </a:ext>
          </a:extLst>
        </xdr:cNvPr>
        <xdr:cNvSpPr/>
      </xdr:nvSpPr>
      <xdr:spPr bwMode="auto">
        <a:xfrm>
          <a:off x="3562350" y="1466850"/>
          <a:ext cx="152400" cy="152400"/>
        </a:xfrm>
        <a:prstGeom prst="rect">
          <a:avLst/>
        </a:prstGeom>
        <a:noFill/>
        <a:ln w="9525">
          <a:miter lim="800000"/>
          <a:headEnd/>
          <a:tailEnd/>
        </a:ln>
      </xdr:spPr>
    </xdr:sp>
    <xdr:clientData/>
  </xdr:twoCellAnchor>
  <xdr:twoCellAnchor editAs="oneCell">
    <xdr:from>
      <xdr:col>2</xdr:col>
      <xdr:colOff>0</xdr:colOff>
      <xdr:row>7</xdr:row>
      <xdr:rowOff>0</xdr:rowOff>
    </xdr:from>
    <xdr:to>
      <xdr:col>2</xdr:col>
      <xdr:colOff>152400</xdr:colOff>
      <xdr:row>7</xdr:row>
      <xdr:rowOff>152400</xdr:rowOff>
    </xdr:to>
    <xdr:sp macro="" textlink="">
      <xdr:nvSpPr>
        <xdr:cNvPr id="28" name="Control 27" hidden="1">
          <a:extLst>
            <a:ext uri="{63B3BB69-23CF-44E3-9099-C40C66FF867C}">
              <a14:compatExt xmlns:a14="http://schemas.microsoft.com/office/drawing/2010/main" spid="_x0000_s1051"/>
            </a:ext>
            <a:ext uri="{FF2B5EF4-FFF2-40B4-BE49-F238E27FC236}">
              <a16:creationId xmlns:a16="http://schemas.microsoft.com/office/drawing/2014/main" id="{00000000-0008-0000-0E00-00001C000000}"/>
            </a:ext>
          </a:extLst>
        </xdr:cNvPr>
        <xdr:cNvSpPr/>
      </xdr:nvSpPr>
      <xdr:spPr bwMode="auto">
        <a:xfrm>
          <a:off x="3562350" y="1466850"/>
          <a:ext cx="152400" cy="152400"/>
        </a:xfrm>
        <a:prstGeom prst="rect">
          <a:avLst/>
        </a:prstGeom>
        <a:noFill/>
        <a:ln w="9525">
          <a:miter lim="800000"/>
          <a:headEnd/>
          <a:tailEnd/>
        </a:ln>
      </xdr:spPr>
    </xdr:sp>
    <xdr:clientData/>
  </xdr:twoCellAnchor>
  <xdr:twoCellAnchor editAs="oneCell">
    <xdr:from>
      <xdr:col>0</xdr:col>
      <xdr:colOff>0</xdr:colOff>
      <xdr:row>8</xdr:row>
      <xdr:rowOff>0</xdr:rowOff>
    </xdr:from>
    <xdr:to>
      <xdr:col>0</xdr:col>
      <xdr:colOff>139700</xdr:colOff>
      <xdr:row>8</xdr:row>
      <xdr:rowOff>139700</xdr:rowOff>
    </xdr:to>
    <xdr:sp macro="" textlink="">
      <xdr:nvSpPr>
        <xdr:cNvPr id="29" name="Control 28" hidden="1">
          <a:extLst>
            <a:ext uri="{63B3BB69-23CF-44E3-9099-C40C66FF867C}">
              <a14:compatExt xmlns:a14="http://schemas.microsoft.com/office/drawing/2010/main" spid="_x0000_s1052"/>
            </a:ext>
            <a:ext uri="{FF2B5EF4-FFF2-40B4-BE49-F238E27FC236}">
              <a16:creationId xmlns:a16="http://schemas.microsoft.com/office/drawing/2014/main" id="{00000000-0008-0000-0E00-00001D000000}"/>
            </a:ext>
          </a:extLst>
        </xdr:cNvPr>
        <xdr:cNvSpPr/>
      </xdr:nvSpPr>
      <xdr:spPr bwMode="auto">
        <a:xfrm>
          <a:off x="0" y="1676400"/>
          <a:ext cx="139700" cy="139700"/>
        </a:xfrm>
        <a:prstGeom prst="rect">
          <a:avLst/>
        </a:prstGeom>
        <a:noFill/>
        <a:ln w="9525">
          <a:miter lim="800000"/>
          <a:headEnd/>
          <a:tailEnd/>
        </a:ln>
      </xdr:spPr>
    </xdr:sp>
    <xdr:clientData/>
  </xdr:twoCellAnchor>
  <xdr:twoCellAnchor editAs="oneCell">
    <xdr:from>
      <xdr:col>2</xdr:col>
      <xdr:colOff>0</xdr:colOff>
      <xdr:row>8</xdr:row>
      <xdr:rowOff>0</xdr:rowOff>
    </xdr:from>
    <xdr:to>
      <xdr:col>2</xdr:col>
      <xdr:colOff>254000</xdr:colOff>
      <xdr:row>9</xdr:row>
      <xdr:rowOff>82550</xdr:rowOff>
    </xdr:to>
    <xdr:sp macro="" textlink="">
      <xdr:nvSpPr>
        <xdr:cNvPr id="30" name="Control 29" hidden="1">
          <a:extLst>
            <a:ext uri="{63B3BB69-23CF-44E3-9099-C40C66FF867C}">
              <a14:compatExt xmlns:a14="http://schemas.microsoft.com/office/drawing/2010/main" spid="_x0000_s1053"/>
            </a:ext>
            <a:ext uri="{FF2B5EF4-FFF2-40B4-BE49-F238E27FC236}">
              <a16:creationId xmlns:a16="http://schemas.microsoft.com/office/drawing/2014/main" id="{00000000-0008-0000-0E00-00001E000000}"/>
            </a:ext>
          </a:extLst>
        </xdr:cNvPr>
        <xdr:cNvSpPr/>
      </xdr:nvSpPr>
      <xdr:spPr bwMode="auto">
        <a:xfrm>
          <a:off x="3562350" y="1676400"/>
          <a:ext cx="254000" cy="273050"/>
        </a:xfrm>
        <a:prstGeom prst="rect">
          <a:avLst/>
        </a:prstGeom>
        <a:noFill/>
        <a:ln w="9525">
          <a:miter lim="800000"/>
          <a:headEnd/>
          <a:tailEnd/>
        </a:ln>
      </xdr:spPr>
    </xdr:sp>
    <xdr:clientData/>
  </xdr:twoCellAnchor>
  <xdr:twoCellAnchor editAs="oneCell">
    <xdr:from>
      <xdr:col>2</xdr:col>
      <xdr:colOff>0</xdr:colOff>
      <xdr:row>8</xdr:row>
      <xdr:rowOff>0</xdr:rowOff>
    </xdr:from>
    <xdr:to>
      <xdr:col>2</xdr:col>
      <xdr:colOff>152400</xdr:colOff>
      <xdr:row>8</xdr:row>
      <xdr:rowOff>152400</xdr:rowOff>
    </xdr:to>
    <xdr:sp macro="" textlink="">
      <xdr:nvSpPr>
        <xdr:cNvPr id="31" name="Control 30" hidden="1">
          <a:extLst>
            <a:ext uri="{63B3BB69-23CF-44E3-9099-C40C66FF867C}">
              <a14:compatExt xmlns:a14="http://schemas.microsoft.com/office/drawing/2010/main" spid="_x0000_s1054"/>
            </a:ext>
            <a:ext uri="{FF2B5EF4-FFF2-40B4-BE49-F238E27FC236}">
              <a16:creationId xmlns:a16="http://schemas.microsoft.com/office/drawing/2014/main" id="{00000000-0008-0000-0E00-00001F000000}"/>
            </a:ext>
          </a:extLst>
        </xdr:cNvPr>
        <xdr:cNvSpPr/>
      </xdr:nvSpPr>
      <xdr:spPr bwMode="auto">
        <a:xfrm>
          <a:off x="3562350" y="1676400"/>
          <a:ext cx="152400" cy="152400"/>
        </a:xfrm>
        <a:prstGeom prst="rect">
          <a:avLst/>
        </a:prstGeom>
        <a:noFill/>
        <a:ln w="9525">
          <a:miter lim="800000"/>
          <a:headEnd/>
          <a:tailEnd/>
        </a:ln>
      </xdr:spPr>
    </xdr:sp>
    <xdr:clientData/>
  </xdr:twoCellAnchor>
  <xdr:twoCellAnchor editAs="oneCell">
    <xdr:from>
      <xdr:col>2</xdr:col>
      <xdr:colOff>0</xdr:colOff>
      <xdr:row>8</xdr:row>
      <xdr:rowOff>0</xdr:rowOff>
    </xdr:from>
    <xdr:to>
      <xdr:col>2</xdr:col>
      <xdr:colOff>152400</xdr:colOff>
      <xdr:row>8</xdr:row>
      <xdr:rowOff>152400</xdr:rowOff>
    </xdr:to>
    <xdr:sp macro="" textlink="">
      <xdr:nvSpPr>
        <xdr:cNvPr id="32" name="Control 31" hidden="1">
          <a:extLst>
            <a:ext uri="{63B3BB69-23CF-44E3-9099-C40C66FF867C}">
              <a14:compatExt xmlns:a14="http://schemas.microsoft.com/office/drawing/2010/main" spid="_x0000_s1055"/>
            </a:ext>
            <a:ext uri="{FF2B5EF4-FFF2-40B4-BE49-F238E27FC236}">
              <a16:creationId xmlns:a16="http://schemas.microsoft.com/office/drawing/2014/main" id="{00000000-0008-0000-0E00-000020000000}"/>
            </a:ext>
          </a:extLst>
        </xdr:cNvPr>
        <xdr:cNvSpPr/>
      </xdr:nvSpPr>
      <xdr:spPr bwMode="auto">
        <a:xfrm>
          <a:off x="3562350" y="1676400"/>
          <a:ext cx="152400" cy="152400"/>
        </a:xfrm>
        <a:prstGeom prst="rect">
          <a:avLst/>
        </a:prstGeom>
        <a:noFill/>
        <a:ln w="9525">
          <a:miter lim="800000"/>
          <a:headEnd/>
          <a:tailEnd/>
        </a:ln>
      </xdr:spPr>
    </xdr:sp>
    <xdr:clientData/>
  </xdr:twoCellAnchor>
  <xdr:twoCellAnchor editAs="oneCell">
    <xdr:from>
      <xdr:col>0</xdr:col>
      <xdr:colOff>0</xdr:colOff>
      <xdr:row>9</xdr:row>
      <xdr:rowOff>0</xdr:rowOff>
    </xdr:from>
    <xdr:to>
      <xdr:col>0</xdr:col>
      <xdr:colOff>139700</xdr:colOff>
      <xdr:row>9</xdr:row>
      <xdr:rowOff>139700</xdr:rowOff>
    </xdr:to>
    <xdr:sp macro="" textlink="">
      <xdr:nvSpPr>
        <xdr:cNvPr id="33" name="Control 32" hidden="1">
          <a:extLst>
            <a:ext uri="{63B3BB69-23CF-44E3-9099-C40C66FF867C}">
              <a14:compatExt xmlns:a14="http://schemas.microsoft.com/office/drawing/2010/main" spid="_x0000_s1056"/>
            </a:ext>
            <a:ext uri="{FF2B5EF4-FFF2-40B4-BE49-F238E27FC236}">
              <a16:creationId xmlns:a16="http://schemas.microsoft.com/office/drawing/2014/main" id="{00000000-0008-0000-0E00-000021000000}"/>
            </a:ext>
          </a:extLst>
        </xdr:cNvPr>
        <xdr:cNvSpPr/>
      </xdr:nvSpPr>
      <xdr:spPr bwMode="auto">
        <a:xfrm>
          <a:off x="0" y="1885950"/>
          <a:ext cx="139700" cy="139700"/>
        </a:xfrm>
        <a:prstGeom prst="rect">
          <a:avLst/>
        </a:prstGeom>
        <a:noFill/>
        <a:ln w="9525">
          <a:miter lim="800000"/>
          <a:headEnd/>
          <a:tailEnd/>
        </a:ln>
      </xdr:spPr>
    </xdr:sp>
    <xdr:clientData/>
  </xdr:twoCellAnchor>
  <xdr:twoCellAnchor editAs="oneCell">
    <xdr:from>
      <xdr:col>2</xdr:col>
      <xdr:colOff>0</xdr:colOff>
      <xdr:row>9</xdr:row>
      <xdr:rowOff>0</xdr:rowOff>
    </xdr:from>
    <xdr:to>
      <xdr:col>2</xdr:col>
      <xdr:colOff>254000</xdr:colOff>
      <xdr:row>10</xdr:row>
      <xdr:rowOff>82550</xdr:rowOff>
    </xdr:to>
    <xdr:sp macro="" textlink="">
      <xdr:nvSpPr>
        <xdr:cNvPr id="34" name="Control 33" hidden="1">
          <a:extLst>
            <a:ext uri="{63B3BB69-23CF-44E3-9099-C40C66FF867C}">
              <a14:compatExt xmlns:a14="http://schemas.microsoft.com/office/drawing/2010/main" spid="_x0000_s1057"/>
            </a:ext>
            <a:ext uri="{FF2B5EF4-FFF2-40B4-BE49-F238E27FC236}">
              <a16:creationId xmlns:a16="http://schemas.microsoft.com/office/drawing/2014/main" id="{00000000-0008-0000-0E00-000022000000}"/>
            </a:ext>
          </a:extLst>
        </xdr:cNvPr>
        <xdr:cNvSpPr/>
      </xdr:nvSpPr>
      <xdr:spPr bwMode="auto">
        <a:xfrm>
          <a:off x="3562350" y="1885950"/>
          <a:ext cx="254000" cy="273050"/>
        </a:xfrm>
        <a:prstGeom prst="rect">
          <a:avLst/>
        </a:prstGeom>
        <a:noFill/>
        <a:ln w="9525">
          <a:miter lim="800000"/>
          <a:headEnd/>
          <a:tailEnd/>
        </a:ln>
      </xdr:spPr>
    </xdr:sp>
    <xdr:clientData/>
  </xdr:twoCellAnchor>
  <xdr:twoCellAnchor editAs="oneCell">
    <xdr:from>
      <xdr:col>2</xdr:col>
      <xdr:colOff>0</xdr:colOff>
      <xdr:row>9</xdr:row>
      <xdr:rowOff>0</xdr:rowOff>
    </xdr:from>
    <xdr:to>
      <xdr:col>2</xdr:col>
      <xdr:colOff>152400</xdr:colOff>
      <xdr:row>9</xdr:row>
      <xdr:rowOff>152400</xdr:rowOff>
    </xdr:to>
    <xdr:sp macro="" textlink="">
      <xdr:nvSpPr>
        <xdr:cNvPr id="35" name="Control 34" hidden="1">
          <a:extLst>
            <a:ext uri="{63B3BB69-23CF-44E3-9099-C40C66FF867C}">
              <a14:compatExt xmlns:a14="http://schemas.microsoft.com/office/drawing/2010/main" spid="_x0000_s1058"/>
            </a:ext>
            <a:ext uri="{FF2B5EF4-FFF2-40B4-BE49-F238E27FC236}">
              <a16:creationId xmlns:a16="http://schemas.microsoft.com/office/drawing/2014/main" id="{00000000-0008-0000-0E00-000023000000}"/>
            </a:ext>
          </a:extLst>
        </xdr:cNvPr>
        <xdr:cNvSpPr/>
      </xdr:nvSpPr>
      <xdr:spPr bwMode="auto">
        <a:xfrm>
          <a:off x="3562350" y="1885950"/>
          <a:ext cx="152400" cy="152400"/>
        </a:xfrm>
        <a:prstGeom prst="rect">
          <a:avLst/>
        </a:prstGeom>
        <a:noFill/>
        <a:ln w="9525">
          <a:miter lim="800000"/>
          <a:headEnd/>
          <a:tailEnd/>
        </a:ln>
      </xdr:spPr>
    </xdr:sp>
    <xdr:clientData/>
  </xdr:twoCellAnchor>
  <xdr:twoCellAnchor editAs="oneCell">
    <xdr:from>
      <xdr:col>2</xdr:col>
      <xdr:colOff>0</xdr:colOff>
      <xdr:row>9</xdr:row>
      <xdr:rowOff>0</xdr:rowOff>
    </xdr:from>
    <xdr:to>
      <xdr:col>2</xdr:col>
      <xdr:colOff>152400</xdr:colOff>
      <xdr:row>9</xdr:row>
      <xdr:rowOff>152400</xdr:rowOff>
    </xdr:to>
    <xdr:sp macro="" textlink="">
      <xdr:nvSpPr>
        <xdr:cNvPr id="36" name="Control 35" hidden="1">
          <a:extLst>
            <a:ext uri="{63B3BB69-23CF-44E3-9099-C40C66FF867C}">
              <a14:compatExt xmlns:a14="http://schemas.microsoft.com/office/drawing/2010/main" spid="_x0000_s1059"/>
            </a:ext>
            <a:ext uri="{FF2B5EF4-FFF2-40B4-BE49-F238E27FC236}">
              <a16:creationId xmlns:a16="http://schemas.microsoft.com/office/drawing/2014/main" id="{00000000-0008-0000-0E00-000024000000}"/>
            </a:ext>
          </a:extLst>
        </xdr:cNvPr>
        <xdr:cNvSpPr/>
      </xdr:nvSpPr>
      <xdr:spPr bwMode="auto">
        <a:xfrm>
          <a:off x="3562350" y="1885950"/>
          <a:ext cx="152400" cy="152400"/>
        </a:xfrm>
        <a:prstGeom prst="rect">
          <a:avLst/>
        </a:prstGeom>
        <a:noFill/>
        <a:ln w="9525">
          <a:miter lim="800000"/>
          <a:headEnd/>
          <a:tailEnd/>
        </a:ln>
      </xdr:spPr>
    </xdr:sp>
    <xdr:clientData/>
  </xdr:twoCellAnchor>
  <xdr:twoCellAnchor editAs="oneCell">
    <xdr:from>
      <xdr:col>0</xdr:col>
      <xdr:colOff>0</xdr:colOff>
      <xdr:row>10</xdr:row>
      <xdr:rowOff>0</xdr:rowOff>
    </xdr:from>
    <xdr:to>
      <xdr:col>0</xdr:col>
      <xdr:colOff>139700</xdr:colOff>
      <xdr:row>10</xdr:row>
      <xdr:rowOff>139700</xdr:rowOff>
    </xdr:to>
    <xdr:sp macro="" textlink="">
      <xdr:nvSpPr>
        <xdr:cNvPr id="37" name="Control 36" hidden="1">
          <a:extLst>
            <a:ext uri="{63B3BB69-23CF-44E3-9099-C40C66FF867C}">
              <a14:compatExt xmlns:a14="http://schemas.microsoft.com/office/drawing/2010/main" spid="_x0000_s1060"/>
            </a:ext>
            <a:ext uri="{FF2B5EF4-FFF2-40B4-BE49-F238E27FC236}">
              <a16:creationId xmlns:a16="http://schemas.microsoft.com/office/drawing/2014/main" id="{00000000-0008-0000-0E00-000025000000}"/>
            </a:ext>
          </a:extLst>
        </xdr:cNvPr>
        <xdr:cNvSpPr/>
      </xdr:nvSpPr>
      <xdr:spPr bwMode="auto">
        <a:xfrm>
          <a:off x="0" y="2095500"/>
          <a:ext cx="139700" cy="139700"/>
        </a:xfrm>
        <a:prstGeom prst="rect">
          <a:avLst/>
        </a:prstGeom>
        <a:noFill/>
        <a:ln w="9525">
          <a:miter lim="800000"/>
          <a:headEnd/>
          <a:tailEnd/>
        </a:ln>
      </xdr:spPr>
    </xdr:sp>
    <xdr:clientData/>
  </xdr:twoCellAnchor>
  <xdr:twoCellAnchor editAs="oneCell">
    <xdr:from>
      <xdr:col>2</xdr:col>
      <xdr:colOff>0</xdr:colOff>
      <xdr:row>10</xdr:row>
      <xdr:rowOff>0</xdr:rowOff>
    </xdr:from>
    <xdr:to>
      <xdr:col>2</xdr:col>
      <xdr:colOff>254000</xdr:colOff>
      <xdr:row>11</xdr:row>
      <xdr:rowOff>82550</xdr:rowOff>
    </xdr:to>
    <xdr:sp macro="" textlink="">
      <xdr:nvSpPr>
        <xdr:cNvPr id="38" name="Control 37" hidden="1">
          <a:extLst>
            <a:ext uri="{63B3BB69-23CF-44E3-9099-C40C66FF867C}">
              <a14:compatExt xmlns:a14="http://schemas.microsoft.com/office/drawing/2010/main" spid="_x0000_s1061"/>
            </a:ext>
            <a:ext uri="{FF2B5EF4-FFF2-40B4-BE49-F238E27FC236}">
              <a16:creationId xmlns:a16="http://schemas.microsoft.com/office/drawing/2014/main" id="{00000000-0008-0000-0E00-000026000000}"/>
            </a:ext>
          </a:extLst>
        </xdr:cNvPr>
        <xdr:cNvSpPr/>
      </xdr:nvSpPr>
      <xdr:spPr bwMode="auto">
        <a:xfrm>
          <a:off x="3562350" y="2095500"/>
          <a:ext cx="254000" cy="273050"/>
        </a:xfrm>
        <a:prstGeom prst="rect">
          <a:avLst/>
        </a:prstGeom>
        <a:noFill/>
        <a:ln w="9525">
          <a:miter lim="800000"/>
          <a:headEnd/>
          <a:tailEnd/>
        </a:ln>
      </xdr:spPr>
    </xdr:sp>
    <xdr:clientData/>
  </xdr:twoCellAnchor>
  <xdr:twoCellAnchor editAs="oneCell">
    <xdr:from>
      <xdr:col>2</xdr:col>
      <xdr:colOff>0</xdr:colOff>
      <xdr:row>10</xdr:row>
      <xdr:rowOff>0</xdr:rowOff>
    </xdr:from>
    <xdr:to>
      <xdr:col>2</xdr:col>
      <xdr:colOff>152400</xdr:colOff>
      <xdr:row>10</xdr:row>
      <xdr:rowOff>152400</xdr:rowOff>
    </xdr:to>
    <xdr:sp macro="" textlink="">
      <xdr:nvSpPr>
        <xdr:cNvPr id="39" name="Control 38" hidden="1">
          <a:extLst>
            <a:ext uri="{63B3BB69-23CF-44E3-9099-C40C66FF867C}">
              <a14:compatExt xmlns:a14="http://schemas.microsoft.com/office/drawing/2010/main" spid="_x0000_s1062"/>
            </a:ext>
            <a:ext uri="{FF2B5EF4-FFF2-40B4-BE49-F238E27FC236}">
              <a16:creationId xmlns:a16="http://schemas.microsoft.com/office/drawing/2014/main" id="{00000000-0008-0000-0E00-000027000000}"/>
            </a:ext>
          </a:extLst>
        </xdr:cNvPr>
        <xdr:cNvSpPr/>
      </xdr:nvSpPr>
      <xdr:spPr bwMode="auto">
        <a:xfrm>
          <a:off x="3562350" y="2095500"/>
          <a:ext cx="152400" cy="152400"/>
        </a:xfrm>
        <a:prstGeom prst="rect">
          <a:avLst/>
        </a:prstGeom>
        <a:noFill/>
        <a:ln w="9525">
          <a:miter lim="800000"/>
          <a:headEnd/>
          <a:tailEnd/>
        </a:ln>
      </xdr:spPr>
    </xdr:sp>
    <xdr:clientData/>
  </xdr:twoCellAnchor>
  <xdr:twoCellAnchor editAs="oneCell">
    <xdr:from>
      <xdr:col>2</xdr:col>
      <xdr:colOff>0</xdr:colOff>
      <xdr:row>10</xdr:row>
      <xdr:rowOff>0</xdr:rowOff>
    </xdr:from>
    <xdr:to>
      <xdr:col>2</xdr:col>
      <xdr:colOff>152400</xdr:colOff>
      <xdr:row>10</xdr:row>
      <xdr:rowOff>152400</xdr:rowOff>
    </xdr:to>
    <xdr:sp macro="" textlink="">
      <xdr:nvSpPr>
        <xdr:cNvPr id="40" name="Control 39" hidden="1">
          <a:extLst>
            <a:ext uri="{63B3BB69-23CF-44E3-9099-C40C66FF867C}">
              <a14:compatExt xmlns:a14="http://schemas.microsoft.com/office/drawing/2010/main" spid="_x0000_s1063"/>
            </a:ext>
            <a:ext uri="{FF2B5EF4-FFF2-40B4-BE49-F238E27FC236}">
              <a16:creationId xmlns:a16="http://schemas.microsoft.com/office/drawing/2014/main" id="{00000000-0008-0000-0E00-000028000000}"/>
            </a:ext>
          </a:extLst>
        </xdr:cNvPr>
        <xdr:cNvSpPr/>
      </xdr:nvSpPr>
      <xdr:spPr bwMode="auto">
        <a:xfrm>
          <a:off x="3562350" y="2095500"/>
          <a:ext cx="152400" cy="152400"/>
        </a:xfrm>
        <a:prstGeom prst="rect">
          <a:avLst/>
        </a:prstGeom>
        <a:noFill/>
        <a:ln w="9525">
          <a:miter lim="800000"/>
          <a:headEnd/>
          <a:tailEnd/>
        </a:ln>
      </xdr:spPr>
    </xdr:sp>
    <xdr:clientData/>
  </xdr:twoCellAnchor>
  <xdr:twoCellAnchor editAs="oneCell">
    <xdr:from>
      <xdr:col>0</xdr:col>
      <xdr:colOff>0</xdr:colOff>
      <xdr:row>11</xdr:row>
      <xdr:rowOff>0</xdr:rowOff>
    </xdr:from>
    <xdr:to>
      <xdr:col>0</xdr:col>
      <xdr:colOff>139700</xdr:colOff>
      <xdr:row>11</xdr:row>
      <xdr:rowOff>139700</xdr:rowOff>
    </xdr:to>
    <xdr:sp macro="" textlink="">
      <xdr:nvSpPr>
        <xdr:cNvPr id="41" name="Control 40" hidden="1">
          <a:extLst>
            <a:ext uri="{63B3BB69-23CF-44E3-9099-C40C66FF867C}">
              <a14:compatExt xmlns:a14="http://schemas.microsoft.com/office/drawing/2010/main" spid="_x0000_s1064"/>
            </a:ext>
            <a:ext uri="{FF2B5EF4-FFF2-40B4-BE49-F238E27FC236}">
              <a16:creationId xmlns:a16="http://schemas.microsoft.com/office/drawing/2014/main" id="{00000000-0008-0000-0E00-000029000000}"/>
            </a:ext>
          </a:extLst>
        </xdr:cNvPr>
        <xdr:cNvSpPr/>
      </xdr:nvSpPr>
      <xdr:spPr bwMode="auto">
        <a:xfrm>
          <a:off x="0" y="2305050"/>
          <a:ext cx="139700" cy="139700"/>
        </a:xfrm>
        <a:prstGeom prst="rect">
          <a:avLst/>
        </a:prstGeom>
        <a:noFill/>
        <a:ln w="9525">
          <a:miter lim="800000"/>
          <a:headEnd/>
          <a:tailEnd/>
        </a:ln>
      </xdr:spPr>
    </xdr:sp>
    <xdr:clientData/>
  </xdr:twoCellAnchor>
  <xdr:twoCellAnchor editAs="oneCell">
    <xdr:from>
      <xdr:col>2</xdr:col>
      <xdr:colOff>0</xdr:colOff>
      <xdr:row>11</xdr:row>
      <xdr:rowOff>0</xdr:rowOff>
    </xdr:from>
    <xdr:to>
      <xdr:col>2</xdr:col>
      <xdr:colOff>254000</xdr:colOff>
      <xdr:row>12</xdr:row>
      <xdr:rowOff>82550</xdr:rowOff>
    </xdr:to>
    <xdr:sp macro="" textlink="">
      <xdr:nvSpPr>
        <xdr:cNvPr id="42" name="Control 41" hidden="1">
          <a:extLst>
            <a:ext uri="{63B3BB69-23CF-44E3-9099-C40C66FF867C}">
              <a14:compatExt xmlns:a14="http://schemas.microsoft.com/office/drawing/2010/main" spid="_x0000_s1065"/>
            </a:ext>
            <a:ext uri="{FF2B5EF4-FFF2-40B4-BE49-F238E27FC236}">
              <a16:creationId xmlns:a16="http://schemas.microsoft.com/office/drawing/2014/main" id="{00000000-0008-0000-0E00-00002A000000}"/>
            </a:ext>
          </a:extLst>
        </xdr:cNvPr>
        <xdr:cNvSpPr/>
      </xdr:nvSpPr>
      <xdr:spPr bwMode="auto">
        <a:xfrm>
          <a:off x="3562350" y="2305050"/>
          <a:ext cx="254000" cy="273050"/>
        </a:xfrm>
        <a:prstGeom prst="rect">
          <a:avLst/>
        </a:prstGeom>
        <a:noFill/>
        <a:ln w="9525">
          <a:miter lim="800000"/>
          <a:headEnd/>
          <a:tailEnd/>
        </a:ln>
      </xdr:spPr>
    </xdr:sp>
    <xdr:clientData/>
  </xdr:twoCellAnchor>
  <xdr:twoCellAnchor editAs="oneCell">
    <xdr:from>
      <xdr:col>2</xdr:col>
      <xdr:colOff>0</xdr:colOff>
      <xdr:row>11</xdr:row>
      <xdr:rowOff>0</xdr:rowOff>
    </xdr:from>
    <xdr:to>
      <xdr:col>2</xdr:col>
      <xdr:colOff>152400</xdr:colOff>
      <xdr:row>11</xdr:row>
      <xdr:rowOff>152400</xdr:rowOff>
    </xdr:to>
    <xdr:sp macro="" textlink="">
      <xdr:nvSpPr>
        <xdr:cNvPr id="43" name="Control 42" hidden="1">
          <a:extLst>
            <a:ext uri="{63B3BB69-23CF-44E3-9099-C40C66FF867C}">
              <a14:compatExt xmlns:a14="http://schemas.microsoft.com/office/drawing/2010/main" spid="_x0000_s1066"/>
            </a:ext>
            <a:ext uri="{FF2B5EF4-FFF2-40B4-BE49-F238E27FC236}">
              <a16:creationId xmlns:a16="http://schemas.microsoft.com/office/drawing/2014/main" id="{00000000-0008-0000-0E00-00002B000000}"/>
            </a:ext>
          </a:extLst>
        </xdr:cNvPr>
        <xdr:cNvSpPr/>
      </xdr:nvSpPr>
      <xdr:spPr bwMode="auto">
        <a:xfrm>
          <a:off x="3562350" y="2305050"/>
          <a:ext cx="152400" cy="152400"/>
        </a:xfrm>
        <a:prstGeom prst="rect">
          <a:avLst/>
        </a:prstGeom>
        <a:noFill/>
        <a:ln w="9525">
          <a:miter lim="800000"/>
          <a:headEnd/>
          <a:tailEnd/>
        </a:ln>
      </xdr:spPr>
    </xdr:sp>
    <xdr:clientData/>
  </xdr:twoCellAnchor>
  <xdr:twoCellAnchor editAs="oneCell">
    <xdr:from>
      <xdr:col>2</xdr:col>
      <xdr:colOff>0</xdr:colOff>
      <xdr:row>11</xdr:row>
      <xdr:rowOff>0</xdr:rowOff>
    </xdr:from>
    <xdr:to>
      <xdr:col>2</xdr:col>
      <xdr:colOff>152400</xdr:colOff>
      <xdr:row>11</xdr:row>
      <xdr:rowOff>152400</xdr:rowOff>
    </xdr:to>
    <xdr:sp macro="" textlink="">
      <xdr:nvSpPr>
        <xdr:cNvPr id="44" name="Control 43" hidden="1">
          <a:extLst>
            <a:ext uri="{63B3BB69-23CF-44E3-9099-C40C66FF867C}">
              <a14:compatExt xmlns:a14="http://schemas.microsoft.com/office/drawing/2010/main" spid="_x0000_s1067"/>
            </a:ext>
            <a:ext uri="{FF2B5EF4-FFF2-40B4-BE49-F238E27FC236}">
              <a16:creationId xmlns:a16="http://schemas.microsoft.com/office/drawing/2014/main" id="{00000000-0008-0000-0E00-00002C000000}"/>
            </a:ext>
          </a:extLst>
        </xdr:cNvPr>
        <xdr:cNvSpPr/>
      </xdr:nvSpPr>
      <xdr:spPr bwMode="auto">
        <a:xfrm>
          <a:off x="3562350" y="2305050"/>
          <a:ext cx="152400" cy="152400"/>
        </a:xfrm>
        <a:prstGeom prst="rect">
          <a:avLst/>
        </a:prstGeom>
        <a:noFill/>
        <a:ln w="9525">
          <a:miter lim="800000"/>
          <a:headEnd/>
          <a:tailEnd/>
        </a:ln>
      </xdr:spPr>
    </xdr:sp>
    <xdr:clientData/>
  </xdr:twoCellAnchor>
  <xdr:twoCellAnchor editAs="oneCell">
    <xdr:from>
      <xdr:col>0</xdr:col>
      <xdr:colOff>0</xdr:colOff>
      <xdr:row>12</xdr:row>
      <xdr:rowOff>0</xdr:rowOff>
    </xdr:from>
    <xdr:to>
      <xdr:col>0</xdr:col>
      <xdr:colOff>139700</xdr:colOff>
      <xdr:row>12</xdr:row>
      <xdr:rowOff>139700</xdr:rowOff>
    </xdr:to>
    <xdr:sp macro="" textlink="">
      <xdr:nvSpPr>
        <xdr:cNvPr id="45" name="Control 44" hidden="1">
          <a:extLst>
            <a:ext uri="{63B3BB69-23CF-44E3-9099-C40C66FF867C}">
              <a14:compatExt xmlns:a14="http://schemas.microsoft.com/office/drawing/2010/main" spid="_x0000_s1068"/>
            </a:ext>
            <a:ext uri="{FF2B5EF4-FFF2-40B4-BE49-F238E27FC236}">
              <a16:creationId xmlns:a16="http://schemas.microsoft.com/office/drawing/2014/main" id="{00000000-0008-0000-0E00-00002D000000}"/>
            </a:ext>
          </a:extLst>
        </xdr:cNvPr>
        <xdr:cNvSpPr/>
      </xdr:nvSpPr>
      <xdr:spPr bwMode="auto">
        <a:xfrm>
          <a:off x="0" y="2514600"/>
          <a:ext cx="139700" cy="139700"/>
        </a:xfrm>
        <a:prstGeom prst="rect">
          <a:avLst/>
        </a:prstGeom>
        <a:noFill/>
        <a:ln w="9525">
          <a:miter lim="800000"/>
          <a:headEnd/>
          <a:tailEnd/>
        </a:ln>
      </xdr:spPr>
    </xdr:sp>
    <xdr:clientData/>
  </xdr:twoCellAnchor>
  <xdr:twoCellAnchor editAs="oneCell">
    <xdr:from>
      <xdr:col>2</xdr:col>
      <xdr:colOff>0</xdr:colOff>
      <xdr:row>12</xdr:row>
      <xdr:rowOff>0</xdr:rowOff>
    </xdr:from>
    <xdr:to>
      <xdr:col>2</xdr:col>
      <xdr:colOff>254000</xdr:colOff>
      <xdr:row>13</xdr:row>
      <xdr:rowOff>82550</xdr:rowOff>
    </xdr:to>
    <xdr:sp macro="" textlink="">
      <xdr:nvSpPr>
        <xdr:cNvPr id="46" name="Control 45" hidden="1">
          <a:extLst>
            <a:ext uri="{63B3BB69-23CF-44E3-9099-C40C66FF867C}">
              <a14:compatExt xmlns:a14="http://schemas.microsoft.com/office/drawing/2010/main" spid="_x0000_s1069"/>
            </a:ext>
            <a:ext uri="{FF2B5EF4-FFF2-40B4-BE49-F238E27FC236}">
              <a16:creationId xmlns:a16="http://schemas.microsoft.com/office/drawing/2014/main" id="{00000000-0008-0000-0E00-00002E000000}"/>
            </a:ext>
          </a:extLst>
        </xdr:cNvPr>
        <xdr:cNvSpPr/>
      </xdr:nvSpPr>
      <xdr:spPr bwMode="auto">
        <a:xfrm>
          <a:off x="3562350" y="2514600"/>
          <a:ext cx="254000" cy="273050"/>
        </a:xfrm>
        <a:prstGeom prst="rect">
          <a:avLst/>
        </a:prstGeom>
        <a:noFill/>
        <a:ln w="9525">
          <a:miter lim="800000"/>
          <a:headEnd/>
          <a:tailEnd/>
        </a:ln>
      </xdr:spPr>
    </xdr:sp>
    <xdr:clientData/>
  </xdr:twoCellAnchor>
  <xdr:twoCellAnchor editAs="oneCell">
    <xdr:from>
      <xdr:col>2</xdr:col>
      <xdr:colOff>0</xdr:colOff>
      <xdr:row>12</xdr:row>
      <xdr:rowOff>0</xdr:rowOff>
    </xdr:from>
    <xdr:to>
      <xdr:col>2</xdr:col>
      <xdr:colOff>152400</xdr:colOff>
      <xdr:row>12</xdr:row>
      <xdr:rowOff>152400</xdr:rowOff>
    </xdr:to>
    <xdr:sp macro="" textlink="">
      <xdr:nvSpPr>
        <xdr:cNvPr id="47" name="Control 46" hidden="1">
          <a:extLst>
            <a:ext uri="{63B3BB69-23CF-44E3-9099-C40C66FF867C}">
              <a14:compatExt xmlns:a14="http://schemas.microsoft.com/office/drawing/2010/main" spid="_x0000_s1070"/>
            </a:ext>
            <a:ext uri="{FF2B5EF4-FFF2-40B4-BE49-F238E27FC236}">
              <a16:creationId xmlns:a16="http://schemas.microsoft.com/office/drawing/2014/main" id="{00000000-0008-0000-0E00-00002F000000}"/>
            </a:ext>
          </a:extLst>
        </xdr:cNvPr>
        <xdr:cNvSpPr/>
      </xdr:nvSpPr>
      <xdr:spPr bwMode="auto">
        <a:xfrm>
          <a:off x="3562350" y="2514600"/>
          <a:ext cx="152400" cy="152400"/>
        </a:xfrm>
        <a:prstGeom prst="rect">
          <a:avLst/>
        </a:prstGeom>
        <a:noFill/>
        <a:ln w="9525">
          <a:miter lim="800000"/>
          <a:headEnd/>
          <a:tailEnd/>
        </a:ln>
      </xdr:spPr>
    </xdr:sp>
    <xdr:clientData/>
  </xdr:twoCellAnchor>
  <xdr:twoCellAnchor editAs="oneCell">
    <xdr:from>
      <xdr:col>2</xdr:col>
      <xdr:colOff>0</xdr:colOff>
      <xdr:row>12</xdr:row>
      <xdr:rowOff>0</xdr:rowOff>
    </xdr:from>
    <xdr:to>
      <xdr:col>2</xdr:col>
      <xdr:colOff>152400</xdr:colOff>
      <xdr:row>12</xdr:row>
      <xdr:rowOff>152400</xdr:rowOff>
    </xdr:to>
    <xdr:sp macro="" textlink="">
      <xdr:nvSpPr>
        <xdr:cNvPr id="48" name="Control 47" hidden="1">
          <a:extLst>
            <a:ext uri="{63B3BB69-23CF-44E3-9099-C40C66FF867C}">
              <a14:compatExt xmlns:a14="http://schemas.microsoft.com/office/drawing/2010/main" spid="_x0000_s1071"/>
            </a:ext>
            <a:ext uri="{FF2B5EF4-FFF2-40B4-BE49-F238E27FC236}">
              <a16:creationId xmlns:a16="http://schemas.microsoft.com/office/drawing/2014/main" id="{00000000-0008-0000-0E00-000030000000}"/>
            </a:ext>
          </a:extLst>
        </xdr:cNvPr>
        <xdr:cNvSpPr/>
      </xdr:nvSpPr>
      <xdr:spPr bwMode="auto">
        <a:xfrm>
          <a:off x="3562350" y="2514600"/>
          <a:ext cx="152400" cy="152400"/>
        </a:xfrm>
        <a:prstGeom prst="rect">
          <a:avLst/>
        </a:prstGeom>
        <a:noFill/>
        <a:ln w="9525">
          <a:miter lim="800000"/>
          <a:headEnd/>
          <a:tailEnd/>
        </a:ln>
      </xdr:spPr>
    </xdr:sp>
    <xdr:clientData/>
  </xdr:twoCellAnchor>
  <xdr:twoCellAnchor editAs="oneCell">
    <xdr:from>
      <xdr:col>0</xdr:col>
      <xdr:colOff>0</xdr:colOff>
      <xdr:row>13</xdr:row>
      <xdr:rowOff>0</xdr:rowOff>
    </xdr:from>
    <xdr:to>
      <xdr:col>0</xdr:col>
      <xdr:colOff>139700</xdr:colOff>
      <xdr:row>13</xdr:row>
      <xdr:rowOff>139700</xdr:rowOff>
    </xdr:to>
    <xdr:sp macro="" textlink="">
      <xdr:nvSpPr>
        <xdr:cNvPr id="49" name="Control 48" hidden="1">
          <a:extLst>
            <a:ext uri="{63B3BB69-23CF-44E3-9099-C40C66FF867C}">
              <a14:compatExt xmlns:a14="http://schemas.microsoft.com/office/drawing/2010/main" spid="_x0000_s1072"/>
            </a:ext>
            <a:ext uri="{FF2B5EF4-FFF2-40B4-BE49-F238E27FC236}">
              <a16:creationId xmlns:a16="http://schemas.microsoft.com/office/drawing/2014/main" id="{00000000-0008-0000-0E00-000031000000}"/>
            </a:ext>
          </a:extLst>
        </xdr:cNvPr>
        <xdr:cNvSpPr/>
      </xdr:nvSpPr>
      <xdr:spPr bwMode="auto">
        <a:xfrm>
          <a:off x="0" y="2724150"/>
          <a:ext cx="139700" cy="139700"/>
        </a:xfrm>
        <a:prstGeom prst="rect">
          <a:avLst/>
        </a:prstGeom>
        <a:noFill/>
        <a:ln w="9525">
          <a:miter lim="800000"/>
          <a:headEnd/>
          <a:tailEnd/>
        </a:ln>
      </xdr:spPr>
    </xdr:sp>
    <xdr:clientData/>
  </xdr:twoCellAnchor>
  <xdr:twoCellAnchor editAs="oneCell">
    <xdr:from>
      <xdr:col>2</xdr:col>
      <xdr:colOff>0</xdr:colOff>
      <xdr:row>13</xdr:row>
      <xdr:rowOff>0</xdr:rowOff>
    </xdr:from>
    <xdr:to>
      <xdr:col>2</xdr:col>
      <xdr:colOff>254000</xdr:colOff>
      <xdr:row>14</xdr:row>
      <xdr:rowOff>82550</xdr:rowOff>
    </xdr:to>
    <xdr:sp macro="" textlink="">
      <xdr:nvSpPr>
        <xdr:cNvPr id="50" name="Control 49" hidden="1">
          <a:extLst>
            <a:ext uri="{63B3BB69-23CF-44E3-9099-C40C66FF867C}">
              <a14:compatExt xmlns:a14="http://schemas.microsoft.com/office/drawing/2010/main" spid="_x0000_s1073"/>
            </a:ext>
            <a:ext uri="{FF2B5EF4-FFF2-40B4-BE49-F238E27FC236}">
              <a16:creationId xmlns:a16="http://schemas.microsoft.com/office/drawing/2014/main" id="{00000000-0008-0000-0E00-000032000000}"/>
            </a:ext>
          </a:extLst>
        </xdr:cNvPr>
        <xdr:cNvSpPr/>
      </xdr:nvSpPr>
      <xdr:spPr bwMode="auto">
        <a:xfrm>
          <a:off x="3562350" y="2724150"/>
          <a:ext cx="254000" cy="273050"/>
        </a:xfrm>
        <a:prstGeom prst="rect">
          <a:avLst/>
        </a:prstGeom>
        <a:noFill/>
        <a:ln w="9525">
          <a:miter lim="800000"/>
          <a:headEnd/>
          <a:tailEnd/>
        </a:ln>
      </xdr:spPr>
    </xdr:sp>
    <xdr:clientData/>
  </xdr:twoCellAnchor>
  <xdr:twoCellAnchor editAs="oneCell">
    <xdr:from>
      <xdr:col>2</xdr:col>
      <xdr:colOff>0</xdr:colOff>
      <xdr:row>13</xdr:row>
      <xdr:rowOff>0</xdr:rowOff>
    </xdr:from>
    <xdr:to>
      <xdr:col>2</xdr:col>
      <xdr:colOff>152400</xdr:colOff>
      <xdr:row>13</xdr:row>
      <xdr:rowOff>152400</xdr:rowOff>
    </xdr:to>
    <xdr:sp macro="" textlink="">
      <xdr:nvSpPr>
        <xdr:cNvPr id="51" name="Control 50" hidden="1">
          <a:extLst>
            <a:ext uri="{63B3BB69-23CF-44E3-9099-C40C66FF867C}">
              <a14:compatExt xmlns:a14="http://schemas.microsoft.com/office/drawing/2010/main" spid="_x0000_s1074"/>
            </a:ext>
            <a:ext uri="{FF2B5EF4-FFF2-40B4-BE49-F238E27FC236}">
              <a16:creationId xmlns:a16="http://schemas.microsoft.com/office/drawing/2014/main" id="{00000000-0008-0000-0E00-000033000000}"/>
            </a:ext>
          </a:extLst>
        </xdr:cNvPr>
        <xdr:cNvSpPr/>
      </xdr:nvSpPr>
      <xdr:spPr bwMode="auto">
        <a:xfrm>
          <a:off x="3562350" y="2724150"/>
          <a:ext cx="152400" cy="152400"/>
        </a:xfrm>
        <a:prstGeom prst="rect">
          <a:avLst/>
        </a:prstGeom>
        <a:noFill/>
        <a:ln w="9525">
          <a:miter lim="800000"/>
          <a:headEnd/>
          <a:tailEnd/>
        </a:ln>
      </xdr:spPr>
    </xdr:sp>
    <xdr:clientData/>
  </xdr:twoCellAnchor>
  <xdr:twoCellAnchor editAs="oneCell">
    <xdr:from>
      <xdr:col>2</xdr:col>
      <xdr:colOff>0</xdr:colOff>
      <xdr:row>13</xdr:row>
      <xdr:rowOff>0</xdr:rowOff>
    </xdr:from>
    <xdr:to>
      <xdr:col>2</xdr:col>
      <xdr:colOff>152400</xdr:colOff>
      <xdr:row>13</xdr:row>
      <xdr:rowOff>152400</xdr:rowOff>
    </xdr:to>
    <xdr:sp macro="" textlink="">
      <xdr:nvSpPr>
        <xdr:cNvPr id="52" name="Control 51" hidden="1">
          <a:extLst>
            <a:ext uri="{63B3BB69-23CF-44E3-9099-C40C66FF867C}">
              <a14:compatExt xmlns:a14="http://schemas.microsoft.com/office/drawing/2010/main" spid="_x0000_s1075"/>
            </a:ext>
            <a:ext uri="{FF2B5EF4-FFF2-40B4-BE49-F238E27FC236}">
              <a16:creationId xmlns:a16="http://schemas.microsoft.com/office/drawing/2014/main" id="{00000000-0008-0000-0E00-000034000000}"/>
            </a:ext>
          </a:extLst>
        </xdr:cNvPr>
        <xdr:cNvSpPr/>
      </xdr:nvSpPr>
      <xdr:spPr bwMode="auto">
        <a:xfrm>
          <a:off x="3562350" y="2724150"/>
          <a:ext cx="152400" cy="152400"/>
        </a:xfrm>
        <a:prstGeom prst="rect">
          <a:avLst/>
        </a:prstGeom>
        <a:noFill/>
        <a:ln w="9525">
          <a:miter lim="800000"/>
          <a:headEnd/>
          <a:tailEnd/>
        </a:ln>
      </xdr:spPr>
    </xdr:sp>
    <xdr:clientData/>
  </xdr:twoCellAnchor>
  <xdr:twoCellAnchor editAs="oneCell">
    <xdr:from>
      <xdr:col>0</xdr:col>
      <xdr:colOff>0</xdr:colOff>
      <xdr:row>14</xdr:row>
      <xdr:rowOff>0</xdr:rowOff>
    </xdr:from>
    <xdr:to>
      <xdr:col>0</xdr:col>
      <xdr:colOff>139700</xdr:colOff>
      <xdr:row>14</xdr:row>
      <xdr:rowOff>139700</xdr:rowOff>
    </xdr:to>
    <xdr:sp macro="" textlink="">
      <xdr:nvSpPr>
        <xdr:cNvPr id="53" name="Control 52" hidden="1">
          <a:extLst>
            <a:ext uri="{63B3BB69-23CF-44E3-9099-C40C66FF867C}">
              <a14:compatExt xmlns:a14="http://schemas.microsoft.com/office/drawing/2010/main" spid="_x0000_s1076"/>
            </a:ext>
            <a:ext uri="{FF2B5EF4-FFF2-40B4-BE49-F238E27FC236}">
              <a16:creationId xmlns:a16="http://schemas.microsoft.com/office/drawing/2014/main" id="{00000000-0008-0000-0E00-000035000000}"/>
            </a:ext>
          </a:extLst>
        </xdr:cNvPr>
        <xdr:cNvSpPr/>
      </xdr:nvSpPr>
      <xdr:spPr bwMode="auto">
        <a:xfrm>
          <a:off x="0" y="2933700"/>
          <a:ext cx="139700" cy="139700"/>
        </a:xfrm>
        <a:prstGeom prst="rect">
          <a:avLst/>
        </a:prstGeom>
        <a:noFill/>
        <a:ln w="9525">
          <a:miter lim="800000"/>
          <a:headEnd/>
          <a:tailEnd/>
        </a:ln>
      </xdr:spPr>
    </xdr:sp>
    <xdr:clientData/>
  </xdr:twoCellAnchor>
  <xdr:twoCellAnchor editAs="oneCell">
    <xdr:from>
      <xdr:col>2</xdr:col>
      <xdr:colOff>0</xdr:colOff>
      <xdr:row>14</xdr:row>
      <xdr:rowOff>0</xdr:rowOff>
    </xdr:from>
    <xdr:to>
      <xdr:col>2</xdr:col>
      <xdr:colOff>254000</xdr:colOff>
      <xdr:row>15</xdr:row>
      <xdr:rowOff>82550</xdr:rowOff>
    </xdr:to>
    <xdr:sp macro="" textlink="">
      <xdr:nvSpPr>
        <xdr:cNvPr id="54" name="Control 53" hidden="1">
          <a:extLst>
            <a:ext uri="{63B3BB69-23CF-44E3-9099-C40C66FF867C}">
              <a14:compatExt xmlns:a14="http://schemas.microsoft.com/office/drawing/2010/main" spid="_x0000_s1077"/>
            </a:ext>
            <a:ext uri="{FF2B5EF4-FFF2-40B4-BE49-F238E27FC236}">
              <a16:creationId xmlns:a16="http://schemas.microsoft.com/office/drawing/2014/main" id="{00000000-0008-0000-0E00-000036000000}"/>
            </a:ext>
          </a:extLst>
        </xdr:cNvPr>
        <xdr:cNvSpPr/>
      </xdr:nvSpPr>
      <xdr:spPr bwMode="auto">
        <a:xfrm>
          <a:off x="3562350" y="2933700"/>
          <a:ext cx="254000" cy="273050"/>
        </a:xfrm>
        <a:prstGeom prst="rect">
          <a:avLst/>
        </a:prstGeom>
        <a:noFill/>
        <a:ln w="9525">
          <a:miter lim="800000"/>
          <a:headEnd/>
          <a:tailEnd/>
        </a:ln>
      </xdr:spPr>
    </xdr:sp>
    <xdr:clientData/>
  </xdr:twoCellAnchor>
  <xdr:twoCellAnchor editAs="oneCell">
    <xdr:from>
      <xdr:col>2</xdr:col>
      <xdr:colOff>0</xdr:colOff>
      <xdr:row>14</xdr:row>
      <xdr:rowOff>0</xdr:rowOff>
    </xdr:from>
    <xdr:to>
      <xdr:col>2</xdr:col>
      <xdr:colOff>152400</xdr:colOff>
      <xdr:row>14</xdr:row>
      <xdr:rowOff>152400</xdr:rowOff>
    </xdr:to>
    <xdr:sp macro="" textlink="">
      <xdr:nvSpPr>
        <xdr:cNvPr id="55" name="Control 54" hidden="1">
          <a:extLst>
            <a:ext uri="{63B3BB69-23CF-44E3-9099-C40C66FF867C}">
              <a14:compatExt xmlns:a14="http://schemas.microsoft.com/office/drawing/2010/main" spid="_x0000_s1078"/>
            </a:ext>
            <a:ext uri="{FF2B5EF4-FFF2-40B4-BE49-F238E27FC236}">
              <a16:creationId xmlns:a16="http://schemas.microsoft.com/office/drawing/2014/main" id="{00000000-0008-0000-0E00-000037000000}"/>
            </a:ext>
          </a:extLst>
        </xdr:cNvPr>
        <xdr:cNvSpPr/>
      </xdr:nvSpPr>
      <xdr:spPr bwMode="auto">
        <a:xfrm>
          <a:off x="3562350" y="2933700"/>
          <a:ext cx="152400" cy="152400"/>
        </a:xfrm>
        <a:prstGeom prst="rect">
          <a:avLst/>
        </a:prstGeom>
        <a:noFill/>
        <a:ln w="9525">
          <a:miter lim="800000"/>
          <a:headEnd/>
          <a:tailEnd/>
        </a:ln>
      </xdr:spPr>
    </xdr:sp>
    <xdr:clientData/>
  </xdr:twoCellAnchor>
  <xdr:twoCellAnchor editAs="oneCell">
    <xdr:from>
      <xdr:col>2</xdr:col>
      <xdr:colOff>0</xdr:colOff>
      <xdr:row>14</xdr:row>
      <xdr:rowOff>0</xdr:rowOff>
    </xdr:from>
    <xdr:to>
      <xdr:col>2</xdr:col>
      <xdr:colOff>152400</xdr:colOff>
      <xdr:row>14</xdr:row>
      <xdr:rowOff>152400</xdr:rowOff>
    </xdr:to>
    <xdr:sp macro="" textlink="">
      <xdr:nvSpPr>
        <xdr:cNvPr id="56" name="Control 55" hidden="1">
          <a:extLst>
            <a:ext uri="{63B3BB69-23CF-44E3-9099-C40C66FF867C}">
              <a14:compatExt xmlns:a14="http://schemas.microsoft.com/office/drawing/2010/main" spid="_x0000_s1079"/>
            </a:ext>
            <a:ext uri="{FF2B5EF4-FFF2-40B4-BE49-F238E27FC236}">
              <a16:creationId xmlns:a16="http://schemas.microsoft.com/office/drawing/2014/main" id="{00000000-0008-0000-0E00-000038000000}"/>
            </a:ext>
          </a:extLst>
        </xdr:cNvPr>
        <xdr:cNvSpPr/>
      </xdr:nvSpPr>
      <xdr:spPr bwMode="auto">
        <a:xfrm>
          <a:off x="3562350" y="2933700"/>
          <a:ext cx="152400" cy="152400"/>
        </a:xfrm>
        <a:prstGeom prst="rect">
          <a:avLst/>
        </a:prstGeom>
        <a:noFill/>
        <a:ln w="9525">
          <a:miter lim="800000"/>
          <a:headEnd/>
          <a:tailEnd/>
        </a:ln>
      </xdr:spPr>
    </xdr:sp>
    <xdr:clientData/>
  </xdr:twoCellAnchor>
  <xdr:twoCellAnchor editAs="oneCell">
    <xdr:from>
      <xdr:col>0</xdr:col>
      <xdr:colOff>0</xdr:colOff>
      <xdr:row>15</xdr:row>
      <xdr:rowOff>0</xdr:rowOff>
    </xdr:from>
    <xdr:to>
      <xdr:col>0</xdr:col>
      <xdr:colOff>139700</xdr:colOff>
      <xdr:row>15</xdr:row>
      <xdr:rowOff>139700</xdr:rowOff>
    </xdr:to>
    <xdr:sp macro="" textlink="">
      <xdr:nvSpPr>
        <xdr:cNvPr id="57" name="Control 56" hidden="1">
          <a:extLst>
            <a:ext uri="{63B3BB69-23CF-44E3-9099-C40C66FF867C}">
              <a14:compatExt xmlns:a14="http://schemas.microsoft.com/office/drawing/2010/main" spid="_x0000_s1080"/>
            </a:ext>
            <a:ext uri="{FF2B5EF4-FFF2-40B4-BE49-F238E27FC236}">
              <a16:creationId xmlns:a16="http://schemas.microsoft.com/office/drawing/2014/main" id="{00000000-0008-0000-0E00-000039000000}"/>
            </a:ext>
          </a:extLst>
        </xdr:cNvPr>
        <xdr:cNvSpPr/>
      </xdr:nvSpPr>
      <xdr:spPr bwMode="auto">
        <a:xfrm>
          <a:off x="0" y="3143250"/>
          <a:ext cx="139700" cy="139700"/>
        </a:xfrm>
        <a:prstGeom prst="rect">
          <a:avLst/>
        </a:prstGeom>
        <a:noFill/>
        <a:ln w="9525">
          <a:miter lim="800000"/>
          <a:headEnd/>
          <a:tailEnd/>
        </a:ln>
      </xdr:spPr>
    </xdr:sp>
    <xdr:clientData/>
  </xdr:twoCellAnchor>
  <xdr:twoCellAnchor editAs="oneCell">
    <xdr:from>
      <xdr:col>2</xdr:col>
      <xdr:colOff>0</xdr:colOff>
      <xdr:row>15</xdr:row>
      <xdr:rowOff>0</xdr:rowOff>
    </xdr:from>
    <xdr:to>
      <xdr:col>2</xdr:col>
      <xdr:colOff>254000</xdr:colOff>
      <xdr:row>16</xdr:row>
      <xdr:rowOff>82550</xdr:rowOff>
    </xdr:to>
    <xdr:sp macro="" textlink="">
      <xdr:nvSpPr>
        <xdr:cNvPr id="58" name="Control 57" hidden="1">
          <a:extLst>
            <a:ext uri="{63B3BB69-23CF-44E3-9099-C40C66FF867C}">
              <a14:compatExt xmlns:a14="http://schemas.microsoft.com/office/drawing/2010/main" spid="_x0000_s1081"/>
            </a:ext>
            <a:ext uri="{FF2B5EF4-FFF2-40B4-BE49-F238E27FC236}">
              <a16:creationId xmlns:a16="http://schemas.microsoft.com/office/drawing/2014/main" id="{00000000-0008-0000-0E00-00003A000000}"/>
            </a:ext>
          </a:extLst>
        </xdr:cNvPr>
        <xdr:cNvSpPr/>
      </xdr:nvSpPr>
      <xdr:spPr bwMode="auto">
        <a:xfrm>
          <a:off x="3562350" y="3143250"/>
          <a:ext cx="254000" cy="273050"/>
        </a:xfrm>
        <a:prstGeom prst="rect">
          <a:avLst/>
        </a:prstGeom>
        <a:noFill/>
        <a:ln w="9525">
          <a:miter lim="800000"/>
          <a:headEnd/>
          <a:tailEnd/>
        </a:ln>
      </xdr:spPr>
    </xdr:sp>
    <xdr:clientData/>
  </xdr:twoCellAnchor>
  <xdr:twoCellAnchor editAs="oneCell">
    <xdr:from>
      <xdr:col>2</xdr:col>
      <xdr:colOff>0</xdr:colOff>
      <xdr:row>15</xdr:row>
      <xdr:rowOff>0</xdr:rowOff>
    </xdr:from>
    <xdr:to>
      <xdr:col>2</xdr:col>
      <xdr:colOff>152400</xdr:colOff>
      <xdr:row>15</xdr:row>
      <xdr:rowOff>152400</xdr:rowOff>
    </xdr:to>
    <xdr:sp macro="" textlink="">
      <xdr:nvSpPr>
        <xdr:cNvPr id="59" name="Control 58" hidden="1">
          <a:extLst>
            <a:ext uri="{63B3BB69-23CF-44E3-9099-C40C66FF867C}">
              <a14:compatExt xmlns:a14="http://schemas.microsoft.com/office/drawing/2010/main" spid="_x0000_s1082"/>
            </a:ext>
            <a:ext uri="{FF2B5EF4-FFF2-40B4-BE49-F238E27FC236}">
              <a16:creationId xmlns:a16="http://schemas.microsoft.com/office/drawing/2014/main" id="{00000000-0008-0000-0E00-00003B000000}"/>
            </a:ext>
          </a:extLst>
        </xdr:cNvPr>
        <xdr:cNvSpPr/>
      </xdr:nvSpPr>
      <xdr:spPr bwMode="auto">
        <a:xfrm>
          <a:off x="3562350" y="3143250"/>
          <a:ext cx="152400" cy="152400"/>
        </a:xfrm>
        <a:prstGeom prst="rect">
          <a:avLst/>
        </a:prstGeom>
        <a:noFill/>
        <a:ln w="9525">
          <a:miter lim="800000"/>
          <a:headEnd/>
          <a:tailEnd/>
        </a:ln>
      </xdr:spPr>
    </xdr:sp>
    <xdr:clientData/>
  </xdr:twoCellAnchor>
  <xdr:twoCellAnchor editAs="oneCell">
    <xdr:from>
      <xdr:col>2</xdr:col>
      <xdr:colOff>0</xdr:colOff>
      <xdr:row>15</xdr:row>
      <xdr:rowOff>0</xdr:rowOff>
    </xdr:from>
    <xdr:to>
      <xdr:col>2</xdr:col>
      <xdr:colOff>152400</xdr:colOff>
      <xdr:row>15</xdr:row>
      <xdr:rowOff>152400</xdr:rowOff>
    </xdr:to>
    <xdr:sp macro="" textlink="">
      <xdr:nvSpPr>
        <xdr:cNvPr id="60" name="Control 59" hidden="1">
          <a:extLst>
            <a:ext uri="{63B3BB69-23CF-44E3-9099-C40C66FF867C}">
              <a14:compatExt xmlns:a14="http://schemas.microsoft.com/office/drawing/2010/main" spid="_x0000_s1083"/>
            </a:ext>
            <a:ext uri="{FF2B5EF4-FFF2-40B4-BE49-F238E27FC236}">
              <a16:creationId xmlns:a16="http://schemas.microsoft.com/office/drawing/2014/main" id="{00000000-0008-0000-0E00-00003C000000}"/>
            </a:ext>
          </a:extLst>
        </xdr:cNvPr>
        <xdr:cNvSpPr/>
      </xdr:nvSpPr>
      <xdr:spPr bwMode="auto">
        <a:xfrm>
          <a:off x="3562350" y="3143250"/>
          <a:ext cx="152400" cy="152400"/>
        </a:xfrm>
        <a:prstGeom prst="rect">
          <a:avLst/>
        </a:prstGeom>
        <a:noFill/>
        <a:ln w="9525">
          <a:miter lim="800000"/>
          <a:headEnd/>
          <a:tailEnd/>
        </a:ln>
      </xdr:spPr>
    </xdr:sp>
    <xdr:clientData/>
  </xdr:twoCellAnchor>
  <xdr:twoCellAnchor editAs="oneCell">
    <xdr:from>
      <xdr:col>0</xdr:col>
      <xdr:colOff>0</xdr:colOff>
      <xdr:row>16</xdr:row>
      <xdr:rowOff>0</xdr:rowOff>
    </xdr:from>
    <xdr:to>
      <xdr:col>0</xdr:col>
      <xdr:colOff>139700</xdr:colOff>
      <xdr:row>16</xdr:row>
      <xdr:rowOff>139700</xdr:rowOff>
    </xdr:to>
    <xdr:sp macro="" textlink="">
      <xdr:nvSpPr>
        <xdr:cNvPr id="61" name="Control 60" hidden="1">
          <a:extLst>
            <a:ext uri="{63B3BB69-23CF-44E3-9099-C40C66FF867C}">
              <a14:compatExt xmlns:a14="http://schemas.microsoft.com/office/drawing/2010/main" spid="_x0000_s1084"/>
            </a:ext>
            <a:ext uri="{FF2B5EF4-FFF2-40B4-BE49-F238E27FC236}">
              <a16:creationId xmlns:a16="http://schemas.microsoft.com/office/drawing/2014/main" id="{00000000-0008-0000-0E00-00003D000000}"/>
            </a:ext>
          </a:extLst>
        </xdr:cNvPr>
        <xdr:cNvSpPr/>
      </xdr:nvSpPr>
      <xdr:spPr bwMode="auto">
        <a:xfrm>
          <a:off x="0" y="3352800"/>
          <a:ext cx="139700" cy="139700"/>
        </a:xfrm>
        <a:prstGeom prst="rect">
          <a:avLst/>
        </a:prstGeom>
        <a:noFill/>
        <a:ln w="9525">
          <a:miter lim="800000"/>
          <a:headEnd/>
          <a:tailEnd/>
        </a:ln>
      </xdr:spPr>
    </xdr:sp>
    <xdr:clientData/>
  </xdr:twoCellAnchor>
  <xdr:twoCellAnchor editAs="oneCell">
    <xdr:from>
      <xdr:col>2</xdr:col>
      <xdr:colOff>0</xdr:colOff>
      <xdr:row>16</xdr:row>
      <xdr:rowOff>0</xdr:rowOff>
    </xdr:from>
    <xdr:to>
      <xdr:col>2</xdr:col>
      <xdr:colOff>254000</xdr:colOff>
      <xdr:row>17</xdr:row>
      <xdr:rowOff>82550</xdr:rowOff>
    </xdr:to>
    <xdr:sp macro="" textlink="">
      <xdr:nvSpPr>
        <xdr:cNvPr id="62" name="Control 61" hidden="1">
          <a:extLst>
            <a:ext uri="{63B3BB69-23CF-44E3-9099-C40C66FF867C}">
              <a14:compatExt xmlns:a14="http://schemas.microsoft.com/office/drawing/2010/main" spid="_x0000_s1085"/>
            </a:ext>
            <a:ext uri="{FF2B5EF4-FFF2-40B4-BE49-F238E27FC236}">
              <a16:creationId xmlns:a16="http://schemas.microsoft.com/office/drawing/2014/main" id="{00000000-0008-0000-0E00-00003E000000}"/>
            </a:ext>
          </a:extLst>
        </xdr:cNvPr>
        <xdr:cNvSpPr/>
      </xdr:nvSpPr>
      <xdr:spPr bwMode="auto">
        <a:xfrm>
          <a:off x="3562350" y="3352800"/>
          <a:ext cx="254000" cy="273050"/>
        </a:xfrm>
        <a:prstGeom prst="rect">
          <a:avLst/>
        </a:prstGeom>
        <a:noFill/>
        <a:ln w="9525">
          <a:miter lim="800000"/>
          <a:headEnd/>
          <a:tailEnd/>
        </a:ln>
      </xdr:spPr>
    </xdr:sp>
    <xdr:clientData/>
  </xdr:twoCellAnchor>
  <xdr:twoCellAnchor editAs="oneCell">
    <xdr:from>
      <xdr:col>2</xdr:col>
      <xdr:colOff>0</xdr:colOff>
      <xdr:row>16</xdr:row>
      <xdr:rowOff>0</xdr:rowOff>
    </xdr:from>
    <xdr:to>
      <xdr:col>2</xdr:col>
      <xdr:colOff>152400</xdr:colOff>
      <xdr:row>16</xdr:row>
      <xdr:rowOff>152400</xdr:rowOff>
    </xdr:to>
    <xdr:sp macro="" textlink="">
      <xdr:nvSpPr>
        <xdr:cNvPr id="63" name="Control 62" hidden="1">
          <a:extLst>
            <a:ext uri="{63B3BB69-23CF-44E3-9099-C40C66FF867C}">
              <a14:compatExt xmlns:a14="http://schemas.microsoft.com/office/drawing/2010/main" spid="_x0000_s1086"/>
            </a:ext>
            <a:ext uri="{FF2B5EF4-FFF2-40B4-BE49-F238E27FC236}">
              <a16:creationId xmlns:a16="http://schemas.microsoft.com/office/drawing/2014/main" id="{00000000-0008-0000-0E00-00003F000000}"/>
            </a:ext>
          </a:extLst>
        </xdr:cNvPr>
        <xdr:cNvSpPr/>
      </xdr:nvSpPr>
      <xdr:spPr bwMode="auto">
        <a:xfrm>
          <a:off x="3562350" y="3352800"/>
          <a:ext cx="152400" cy="152400"/>
        </a:xfrm>
        <a:prstGeom prst="rect">
          <a:avLst/>
        </a:prstGeom>
        <a:noFill/>
        <a:ln w="9525">
          <a:miter lim="800000"/>
          <a:headEnd/>
          <a:tailEnd/>
        </a:ln>
      </xdr:spPr>
    </xdr:sp>
    <xdr:clientData/>
  </xdr:twoCellAnchor>
  <xdr:twoCellAnchor editAs="oneCell">
    <xdr:from>
      <xdr:col>2</xdr:col>
      <xdr:colOff>0</xdr:colOff>
      <xdr:row>16</xdr:row>
      <xdr:rowOff>0</xdr:rowOff>
    </xdr:from>
    <xdr:to>
      <xdr:col>2</xdr:col>
      <xdr:colOff>152400</xdr:colOff>
      <xdr:row>16</xdr:row>
      <xdr:rowOff>152400</xdr:rowOff>
    </xdr:to>
    <xdr:sp macro="" textlink="">
      <xdr:nvSpPr>
        <xdr:cNvPr id="64" name="Control 63" hidden="1">
          <a:extLst>
            <a:ext uri="{63B3BB69-23CF-44E3-9099-C40C66FF867C}">
              <a14:compatExt xmlns:a14="http://schemas.microsoft.com/office/drawing/2010/main" spid="_x0000_s1087"/>
            </a:ext>
            <a:ext uri="{FF2B5EF4-FFF2-40B4-BE49-F238E27FC236}">
              <a16:creationId xmlns:a16="http://schemas.microsoft.com/office/drawing/2014/main" id="{00000000-0008-0000-0E00-000040000000}"/>
            </a:ext>
          </a:extLst>
        </xdr:cNvPr>
        <xdr:cNvSpPr/>
      </xdr:nvSpPr>
      <xdr:spPr bwMode="auto">
        <a:xfrm>
          <a:off x="3562350" y="3352800"/>
          <a:ext cx="152400" cy="152400"/>
        </a:xfrm>
        <a:prstGeom prst="rect">
          <a:avLst/>
        </a:prstGeom>
        <a:noFill/>
        <a:ln w="9525">
          <a:miter lim="800000"/>
          <a:headEnd/>
          <a:tailEnd/>
        </a:ln>
      </xdr:spPr>
    </xdr:sp>
    <xdr:clientData/>
  </xdr:twoCellAnchor>
  <xdr:twoCellAnchor editAs="oneCell">
    <xdr:from>
      <xdr:col>0</xdr:col>
      <xdr:colOff>0</xdr:colOff>
      <xdr:row>17</xdr:row>
      <xdr:rowOff>0</xdr:rowOff>
    </xdr:from>
    <xdr:to>
      <xdr:col>0</xdr:col>
      <xdr:colOff>139700</xdr:colOff>
      <xdr:row>17</xdr:row>
      <xdr:rowOff>139700</xdr:rowOff>
    </xdr:to>
    <xdr:sp macro="" textlink="">
      <xdr:nvSpPr>
        <xdr:cNvPr id="65" name="Control 64" hidden="1">
          <a:extLst>
            <a:ext uri="{63B3BB69-23CF-44E3-9099-C40C66FF867C}">
              <a14:compatExt xmlns:a14="http://schemas.microsoft.com/office/drawing/2010/main" spid="_x0000_s1088"/>
            </a:ext>
            <a:ext uri="{FF2B5EF4-FFF2-40B4-BE49-F238E27FC236}">
              <a16:creationId xmlns:a16="http://schemas.microsoft.com/office/drawing/2014/main" id="{00000000-0008-0000-0E00-000041000000}"/>
            </a:ext>
          </a:extLst>
        </xdr:cNvPr>
        <xdr:cNvSpPr/>
      </xdr:nvSpPr>
      <xdr:spPr bwMode="auto">
        <a:xfrm>
          <a:off x="0" y="3562350"/>
          <a:ext cx="139700" cy="139700"/>
        </a:xfrm>
        <a:prstGeom prst="rect">
          <a:avLst/>
        </a:prstGeom>
        <a:noFill/>
        <a:ln w="9525">
          <a:miter lim="800000"/>
          <a:headEnd/>
          <a:tailEnd/>
        </a:ln>
      </xdr:spPr>
    </xdr:sp>
    <xdr:clientData/>
  </xdr:twoCellAnchor>
  <xdr:twoCellAnchor editAs="oneCell">
    <xdr:from>
      <xdr:col>2</xdr:col>
      <xdr:colOff>0</xdr:colOff>
      <xdr:row>17</xdr:row>
      <xdr:rowOff>0</xdr:rowOff>
    </xdr:from>
    <xdr:to>
      <xdr:col>2</xdr:col>
      <xdr:colOff>254000</xdr:colOff>
      <xdr:row>18</xdr:row>
      <xdr:rowOff>82550</xdr:rowOff>
    </xdr:to>
    <xdr:sp macro="" textlink="">
      <xdr:nvSpPr>
        <xdr:cNvPr id="66" name="Control 65" hidden="1">
          <a:extLst>
            <a:ext uri="{63B3BB69-23CF-44E3-9099-C40C66FF867C}">
              <a14:compatExt xmlns:a14="http://schemas.microsoft.com/office/drawing/2010/main" spid="_x0000_s1089"/>
            </a:ext>
            <a:ext uri="{FF2B5EF4-FFF2-40B4-BE49-F238E27FC236}">
              <a16:creationId xmlns:a16="http://schemas.microsoft.com/office/drawing/2014/main" id="{00000000-0008-0000-0E00-000042000000}"/>
            </a:ext>
          </a:extLst>
        </xdr:cNvPr>
        <xdr:cNvSpPr/>
      </xdr:nvSpPr>
      <xdr:spPr bwMode="auto">
        <a:xfrm>
          <a:off x="3562350" y="3562350"/>
          <a:ext cx="254000" cy="273050"/>
        </a:xfrm>
        <a:prstGeom prst="rect">
          <a:avLst/>
        </a:prstGeom>
        <a:noFill/>
        <a:ln w="9525">
          <a:miter lim="800000"/>
          <a:headEnd/>
          <a:tailEnd/>
        </a:ln>
      </xdr:spPr>
    </xdr:sp>
    <xdr:clientData/>
  </xdr:twoCellAnchor>
  <xdr:twoCellAnchor editAs="oneCell">
    <xdr:from>
      <xdr:col>2</xdr:col>
      <xdr:colOff>0</xdr:colOff>
      <xdr:row>17</xdr:row>
      <xdr:rowOff>0</xdr:rowOff>
    </xdr:from>
    <xdr:to>
      <xdr:col>2</xdr:col>
      <xdr:colOff>152400</xdr:colOff>
      <xdr:row>17</xdr:row>
      <xdr:rowOff>152400</xdr:rowOff>
    </xdr:to>
    <xdr:sp macro="" textlink="">
      <xdr:nvSpPr>
        <xdr:cNvPr id="67" name="Control 66" hidden="1">
          <a:extLst>
            <a:ext uri="{63B3BB69-23CF-44E3-9099-C40C66FF867C}">
              <a14:compatExt xmlns:a14="http://schemas.microsoft.com/office/drawing/2010/main" spid="_x0000_s1090"/>
            </a:ext>
            <a:ext uri="{FF2B5EF4-FFF2-40B4-BE49-F238E27FC236}">
              <a16:creationId xmlns:a16="http://schemas.microsoft.com/office/drawing/2014/main" id="{00000000-0008-0000-0E00-000043000000}"/>
            </a:ext>
          </a:extLst>
        </xdr:cNvPr>
        <xdr:cNvSpPr/>
      </xdr:nvSpPr>
      <xdr:spPr bwMode="auto">
        <a:xfrm>
          <a:off x="3562350" y="3562350"/>
          <a:ext cx="152400" cy="152400"/>
        </a:xfrm>
        <a:prstGeom prst="rect">
          <a:avLst/>
        </a:prstGeom>
        <a:noFill/>
        <a:ln w="9525">
          <a:miter lim="800000"/>
          <a:headEnd/>
          <a:tailEnd/>
        </a:ln>
      </xdr:spPr>
    </xdr:sp>
    <xdr:clientData/>
  </xdr:twoCellAnchor>
  <xdr:twoCellAnchor editAs="oneCell">
    <xdr:from>
      <xdr:col>2</xdr:col>
      <xdr:colOff>0</xdr:colOff>
      <xdr:row>17</xdr:row>
      <xdr:rowOff>0</xdr:rowOff>
    </xdr:from>
    <xdr:to>
      <xdr:col>2</xdr:col>
      <xdr:colOff>152400</xdr:colOff>
      <xdr:row>17</xdr:row>
      <xdr:rowOff>152400</xdr:rowOff>
    </xdr:to>
    <xdr:sp macro="" textlink="">
      <xdr:nvSpPr>
        <xdr:cNvPr id="68" name="Control 67" hidden="1">
          <a:extLst>
            <a:ext uri="{63B3BB69-23CF-44E3-9099-C40C66FF867C}">
              <a14:compatExt xmlns:a14="http://schemas.microsoft.com/office/drawing/2010/main" spid="_x0000_s1091"/>
            </a:ext>
            <a:ext uri="{FF2B5EF4-FFF2-40B4-BE49-F238E27FC236}">
              <a16:creationId xmlns:a16="http://schemas.microsoft.com/office/drawing/2014/main" id="{00000000-0008-0000-0E00-000044000000}"/>
            </a:ext>
          </a:extLst>
        </xdr:cNvPr>
        <xdr:cNvSpPr/>
      </xdr:nvSpPr>
      <xdr:spPr bwMode="auto">
        <a:xfrm>
          <a:off x="3562350" y="3562350"/>
          <a:ext cx="152400" cy="152400"/>
        </a:xfrm>
        <a:prstGeom prst="rect">
          <a:avLst/>
        </a:prstGeom>
        <a:noFill/>
        <a:ln w="9525">
          <a:miter lim="800000"/>
          <a:headEnd/>
          <a:tailEnd/>
        </a:ln>
      </xdr:spPr>
    </xdr:sp>
    <xdr:clientData/>
  </xdr:twoCellAnchor>
  <xdr:twoCellAnchor editAs="oneCell">
    <xdr:from>
      <xdr:col>0</xdr:col>
      <xdr:colOff>0</xdr:colOff>
      <xdr:row>18</xdr:row>
      <xdr:rowOff>0</xdr:rowOff>
    </xdr:from>
    <xdr:to>
      <xdr:col>0</xdr:col>
      <xdr:colOff>139700</xdr:colOff>
      <xdr:row>18</xdr:row>
      <xdr:rowOff>139700</xdr:rowOff>
    </xdr:to>
    <xdr:sp macro="" textlink="">
      <xdr:nvSpPr>
        <xdr:cNvPr id="69" name="Control 68" hidden="1">
          <a:extLst>
            <a:ext uri="{63B3BB69-23CF-44E3-9099-C40C66FF867C}">
              <a14:compatExt xmlns:a14="http://schemas.microsoft.com/office/drawing/2010/main" spid="_x0000_s1092"/>
            </a:ext>
            <a:ext uri="{FF2B5EF4-FFF2-40B4-BE49-F238E27FC236}">
              <a16:creationId xmlns:a16="http://schemas.microsoft.com/office/drawing/2014/main" id="{00000000-0008-0000-0E00-000045000000}"/>
            </a:ext>
          </a:extLst>
        </xdr:cNvPr>
        <xdr:cNvSpPr/>
      </xdr:nvSpPr>
      <xdr:spPr bwMode="auto">
        <a:xfrm>
          <a:off x="0" y="3771900"/>
          <a:ext cx="139700" cy="139700"/>
        </a:xfrm>
        <a:prstGeom prst="rect">
          <a:avLst/>
        </a:prstGeom>
        <a:noFill/>
        <a:ln w="9525">
          <a:miter lim="800000"/>
          <a:headEnd/>
          <a:tailEnd/>
        </a:ln>
      </xdr:spPr>
    </xdr:sp>
    <xdr:clientData/>
  </xdr:twoCellAnchor>
  <xdr:twoCellAnchor editAs="oneCell">
    <xdr:from>
      <xdr:col>2</xdr:col>
      <xdr:colOff>0</xdr:colOff>
      <xdr:row>18</xdr:row>
      <xdr:rowOff>0</xdr:rowOff>
    </xdr:from>
    <xdr:to>
      <xdr:col>2</xdr:col>
      <xdr:colOff>254000</xdr:colOff>
      <xdr:row>19</xdr:row>
      <xdr:rowOff>82550</xdr:rowOff>
    </xdr:to>
    <xdr:sp macro="" textlink="">
      <xdr:nvSpPr>
        <xdr:cNvPr id="70" name="Control 69" hidden="1">
          <a:extLst>
            <a:ext uri="{63B3BB69-23CF-44E3-9099-C40C66FF867C}">
              <a14:compatExt xmlns:a14="http://schemas.microsoft.com/office/drawing/2010/main" spid="_x0000_s1093"/>
            </a:ext>
            <a:ext uri="{FF2B5EF4-FFF2-40B4-BE49-F238E27FC236}">
              <a16:creationId xmlns:a16="http://schemas.microsoft.com/office/drawing/2014/main" id="{00000000-0008-0000-0E00-000046000000}"/>
            </a:ext>
          </a:extLst>
        </xdr:cNvPr>
        <xdr:cNvSpPr/>
      </xdr:nvSpPr>
      <xdr:spPr bwMode="auto">
        <a:xfrm>
          <a:off x="3562350" y="3771900"/>
          <a:ext cx="254000" cy="273050"/>
        </a:xfrm>
        <a:prstGeom prst="rect">
          <a:avLst/>
        </a:prstGeom>
        <a:noFill/>
        <a:ln w="9525">
          <a:miter lim="800000"/>
          <a:headEnd/>
          <a:tailEnd/>
        </a:ln>
      </xdr:spPr>
    </xdr:sp>
    <xdr:clientData/>
  </xdr:twoCellAnchor>
  <xdr:twoCellAnchor editAs="oneCell">
    <xdr:from>
      <xdr:col>2</xdr:col>
      <xdr:colOff>0</xdr:colOff>
      <xdr:row>18</xdr:row>
      <xdr:rowOff>0</xdr:rowOff>
    </xdr:from>
    <xdr:to>
      <xdr:col>2</xdr:col>
      <xdr:colOff>152400</xdr:colOff>
      <xdr:row>18</xdr:row>
      <xdr:rowOff>152400</xdr:rowOff>
    </xdr:to>
    <xdr:sp macro="" textlink="">
      <xdr:nvSpPr>
        <xdr:cNvPr id="71" name="Control 70" hidden="1">
          <a:extLst>
            <a:ext uri="{63B3BB69-23CF-44E3-9099-C40C66FF867C}">
              <a14:compatExt xmlns:a14="http://schemas.microsoft.com/office/drawing/2010/main" spid="_x0000_s1094"/>
            </a:ext>
            <a:ext uri="{FF2B5EF4-FFF2-40B4-BE49-F238E27FC236}">
              <a16:creationId xmlns:a16="http://schemas.microsoft.com/office/drawing/2014/main" id="{00000000-0008-0000-0E00-000047000000}"/>
            </a:ext>
          </a:extLst>
        </xdr:cNvPr>
        <xdr:cNvSpPr/>
      </xdr:nvSpPr>
      <xdr:spPr bwMode="auto">
        <a:xfrm>
          <a:off x="3562350" y="3771900"/>
          <a:ext cx="152400" cy="152400"/>
        </a:xfrm>
        <a:prstGeom prst="rect">
          <a:avLst/>
        </a:prstGeom>
        <a:noFill/>
        <a:ln w="9525">
          <a:miter lim="800000"/>
          <a:headEnd/>
          <a:tailEnd/>
        </a:ln>
      </xdr:spPr>
    </xdr:sp>
    <xdr:clientData/>
  </xdr:twoCellAnchor>
  <xdr:twoCellAnchor editAs="oneCell">
    <xdr:from>
      <xdr:col>2</xdr:col>
      <xdr:colOff>0</xdr:colOff>
      <xdr:row>18</xdr:row>
      <xdr:rowOff>0</xdr:rowOff>
    </xdr:from>
    <xdr:to>
      <xdr:col>2</xdr:col>
      <xdr:colOff>152400</xdr:colOff>
      <xdr:row>18</xdr:row>
      <xdr:rowOff>152400</xdr:rowOff>
    </xdr:to>
    <xdr:sp macro="" textlink="">
      <xdr:nvSpPr>
        <xdr:cNvPr id="72" name="Control 71" hidden="1">
          <a:extLst>
            <a:ext uri="{63B3BB69-23CF-44E3-9099-C40C66FF867C}">
              <a14:compatExt xmlns:a14="http://schemas.microsoft.com/office/drawing/2010/main" spid="_x0000_s1095"/>
            </a:ext>
            <a:ext uri="{FF2B5EF4-FFF2-40B4-BE49-F238E27FC236}">
              <a16:creationId xmlns:a16="http://schemas.microsoft.com/office/drawing/2014/main" id="{00000000-0008-0000-0E00-000048000000}"/>
            </a:ext>
          </a:extLst>
        </xdr:cNvPr>
        <xdr:cNvSpPr/>
      </xdr:nvSpPr>
      <xdr:spPr bwMode="auto">
        <a:xfrm>
          <a:off x="3562350" y="3771900"/>
          <a:ext cx="152400" cy="152400"/>
        </a:xfrm>
        <a:prstGeom prst="rect">
          <a:avLst/>
        </a:prstGeom>
        <a:noFill/>
        <a:ln w="9525">
          <a:miter lim="800000"/>
          <a:headEnd/>
          <a:tailEnd/>
        </a:ln>
      </xdr:spPr>
    </xdr:sp>
    <xdr:clientData/>
  </xdr:twoCellAnchor>
  <xdr:twoCellAnchor editAs="oneCell">
    <xdr:from>
      <xdr:col>0</xdr:col>
      <xdr:colOff>0</xdr:colOff>
      <xdr:row>19</xdr:row>
      <xdr:rowOff>0</xdr:rowOff>
    </xdr:from>
    <xdr:to>
      <xdr:col>0</xdr:col>
      <xdr:colOff>139700</xdr:colOff>
      <xdr:row>19</xdr:row>
      <xdr:rowOff>139700</xdr:rowOff>
    </xdr:to>
    <xdr:sp macro="" textlink="">
      <xdr:nvSpPr>
        <xdr:cNvPr id="73" name="Control 72" hidden="1">
          <a:extLst>
            <a:ext uri="{63B3BB69-23CF-44E3-9099-C40C66FF867C}">
              <a14:compatExt xmlns:a14="http://schemas.microsoft.com/office/drawing/2010/main" spid="_x0000_s1096"/>
            </a:ext>
            <a:ext uri="{FF2B5EF4-FFF2-40B4-BE49-F238E27FC236}">
              <a16:creationId xmlns:a16="http://schemas.microsoft.com/office/drawing/2014/main" id="{00000000-0008-0000-0E00-000049000000}"/>
            </a:ext>
          </a:extLst>
        </xdr:cNvPr>
        <xdr:cNvSpPr/>
      </xdr:nvSpPr>
      <xdr:spPr bwMode="auto">
        <a:xfrm>
          <a:off x="0" y="3981450"/>
          <a:ext cx="139700" cy="139700"/>
        </a:xfrm>
        <a:prstGeom prst="rect">
          <a:avLst/>
        </a:prstGeom>
        <a:noFill/>
        <a:ln w="9525">
          <a:miter lim="800000"/>
          <a:headEnd/>
          <a:tailEnd/>
        </a:ln>
      </xdr:spPr>
    </xdr:sp>
    <xdr:clientData/>
  </xdr:twoCellAnchor>
  <xdr:twoCellAnchor editAs="oneCell">
    <xdr:from>
      <xdr:col>2</xdr:col>
      <xdr:colOff>0</xdr:colOff>
      <xdr:row>19</xdr:row>
      <xdr:rowOff>0</xdr:rowOff>
    </xdr:from>
    <xdr:to>
      <xdr:col>2</xdr:col>
      <xdr:colOff>254000</xdr:colOff>
      <xdr:row>20</xdr:row>
      <xdr:rowOff>82550</xdr:rowOff>
    </xdr:to>
    <xdr:sp macro="" textlink="">
      <xdr:nvSpPr>
        <xdr:cNvPr id="74" name="Control 73" hidden="1">
          <a:extLst>
            <a:ext uri="{63B3BB69-23CF-44E3-9099-C40C66FF867C}">
              <a14:compatExt xmlns:a14="http://schemas.microsoft.com/office/drawing/2010/main" spid="_x0000_s1097"/>
            </a:ext>
            <a:ext uri="{FF2B5EF4-FFF2-40B4-BE49-F238E27FC236}">
              <a16:creationId xmlns:a16="http://schemas.microsoft.com/office/drawing/2014/main" id="{00000000-0008-0000-0E00-00004A000000}"/>
            </a:ext>
          </a:extLst>
        </xdr:cNvPr>
        <xdr:cNvSpPr/>
      </xdr:nvSpPr>
      <xdr:spPr bwMode="auto">
        <a:xfrm>
          <a:off x="3562350" y="3981450"/>
          <a:ext cx="254000" cy="273050"/>
        </a:xfrm>
        <a:prstGeom prst="rect">
          <a:avLst/>
        </a:prstGeom>
        <a:noFill/>
        <a:ln w="9525">
          <a:miter lim="800000"/>
          <a:headEnd/>
          <a:tailEnd/>
        </a:ln>
      </xdr:spPr>
    </xdr:sp>
    <xdr:clientData/>
  </xdr:twoCellAnchor>
  <xdr:twoCellAnchor editAs="oneCell">
    <xdr:from>
      <xdr:col>2</xdr:col>
      <xdr:colOff>0</xdr:colOff>
      <xdr:row>19</xdr:row>
      <xdr:rowOff>0</xdr:rowOff>
    </xdr:from>
    <xdr:to>
      <xdr:col>2</xdr:col>
      <xdr:colOff>152400</xdr:colOff>
      <xdr:row>19</xdr:row>
      <xdr:rowOff>152400</xdr:rowOff>
    </xdr:to>
    <xdr:sp macro="" textlink="">
      <xdr:nvSpPr>
        <xdr:cNvPr id="75" name="Control 74" hidden="1">
          <a:extLst>
            <a:ext uri="{63B3BB69-23CF-44E3-9099-C40C66FF867C}">
              <a14:compatExt xmlns:a14="http://schemas.microsoft.com/office/drawing/2010/main" spid="_x0000_s1098"/>
            </a:ext>
            <a:ext uri="{FF2B5EF4-FFF2-40B4-BE49-F238E27FC236}">
              <a16:creationId xmlns:a16="http://schemas.microsoft.com/office/drawing/2014/main" id="{00000000-0008-0000-0E00-00004B000000}"/>
            </a:ext>
          </a:extLst>
        </xdr:cNvPr>
        <xdr:cNvSpPr/>
      </xdr:nvSpPr>
      <xdr:spPr bwMode="auto">
        <a:xfrm>
          <a:off x="3562350" y="3981450"/>
          <a:ext cx="152400" cy="152400"/>
        </a:xfrm>
        <a:prstGeom prst="rect">
          <a:avLst/>
        </a:prstGeom>
        <a:noFill/>
        <a:ln w="9525">
          <a:miter lim="800000"/>
          <a:headEnd/>
          <a:tailEnd/>
        </a:ln>
      </xdr:spPr>
    </xdr:sp>
    <xdr:clientData/>
  </xdr:twoCellAnchor>
  <xdr:twoCellAnchor editAs="oneCell">
    <xdr:from>
      <xdr:col>2</xdr:col>
      <xdr:colOff>0</xdr:colOff>
      <xdr:row>19</xdr:row>
      <xdr:rowOff>0</xdr:rowOff>
    </xdr:from>
    <xdr:to>
      <xdr:col>2</xdr:col>
      <xdr:colOff>152400</xdr:colOff>
      <xdr:row>19</xdr:row>
      <xdr:rowOff>152400</xdr:rowOff>
    </xdr:to>
    <xdr:sp macro="" textlink="">
      <xdr:nvSpPr>
        <xdr:cNvPr id="76" name="Control 75" hidden="1">
          <a:extLst>
            <a:ext uri="{63B3BB69-23CF-44E3-9099-C40C66FF867C}">
              <a14:compatExt xmlns:a14="http://schemas.microsoft.com/office/drawing/2010/main" spid="_x0000_s1099"/>
            </a:ext>
            <a:ext uri="{FF2B5EF4-FFF2-40B4-BE49-F238E27FC236}">
              <a16:creationId xmlns:a16="http://schemas.microsoft.com/office/drawing/2014/main" id="{00000000-0008-0000-0E00-00004C000000}"/>
            </a:ext>
          </a:extLst>
        </xdr:cNvPr>
        <xdr:cNvSpPr/>
      </xdr:nvSpPr>
      <xdr:spPr bwMode="auto">
        <a:xfrm>
          <a:off x="3562350" y="3981450"/>
          <a:ext cx="152400" cy="152400"/>
        </a:xfrm>
        <a:prstGeom prst="rect">
          <a:avLst/>
        </a:prstGeom>
        <a:noFill/>
        <a:ln w="9525">
          <a:miter lim="800000"/>
          <a:headEnd/>
          <a:tailEnd/>
        </a:ln>
      </xdr:spPr>
    </xdr:sp>
    <xdr:clientData/>
  </xdr:twoCellAnchor>
  <xdr:twoCellAnchor editAs="oneCell">
    <xdr:from>
      <xdr:col>0</xdr:col>
      <xdr:colOff>0</xdr:colOff>
      <xdr:row>20</xdr:row>
      <xdr:rowOff>0</xdr:rowOff>
    </xdr:from>
    <xdr:to>
      <xdr:col>0</xdr:col>
      <xdr:colOff>139700</xdr:colOff>
      <xdr:row>20</xdr:row>
      <xdr:rowOff>139700</xdr:rowOff>
    </xdr:to>
    <xdr:sp macro="" textlink="">
      <xdr:nvSpPr>
        <xdr:cNvPr id="77" name="Control 76" hidden="1">
          <a:extLst>
            <a:ext uri="{63B3BB69-23CF-44E3-9099-C40C66FF867C}">
              <a14:compatExt xmlns:a14="http://schemas.microsoft.com/office/drawing/2010/main" spid="_x0000_s1100"/>
            </a:ext>
            <a:ext uri="{FF2B5EF4-FFF2-40B4-BE49-F238E27FC236}">
              <a16:creationId xmlns:a16="http://schemas.microsoft.com/office/drawing/2014/main" id="{00000000-0008-0000-0E00-00004D000000}"/>
            </a:ext>
          </a:extLst>
        </xdr:cNvPr>
        <xdr:cNvSpPr/>
      </xdr:nvSpPr>
      <xdr:spPr bwMode="auto">
        <a:xfrm>
          <a:off x="0" y="4191000"/>
          <a:ext cx="139700" cy="139700"/>
        </a:xfrm>
        <a:prstGeom prst="rect">
          <a:avLst/>
        </a:prstGeom>
        <a:noFill/>
        <a:ln w="9525">
          <a:miter lim="800000"/>
          <a:headEnd/>
          <a:tailEnd/>
        </a:ln>
      </xdr:spPr>
    </xdr:sp>
    <xdr:clientData/>
  </xdr:twoCellAnchor>
  <xdr:twoCellAnchor editAs="oneCell">
    <xdr:from>
      <xdr:col>2</xdr:col>
      <xdr:colOff>0</xdr:colOff>
      <xdr:row>20</xdr:row>
      <xdr:rowOff>0</xdr:rowOff>
    </xdr:from>
    <xdr:to>
      <xdr:col>2</xdr:col>
      <xdr:colOff>254000</xdr:colOff>
      <xdr:row>21</xdr:row>
      <xdr:rowOff>82550</xdr:rowOff>
    </xdr:to>
    <xdr:sp macro="" textlink="">
      <xdr:nvSpPr>
        <xdr:cNvPr id="78" name="Control 77" hidden="1">
          <a:extLst>
            <a:ext uri="{63B3BB69-23CF-44E3-9099-C40C66FF867C}">
              <a14:compatExt xmlns:a14="http://schemas.microsoft.com/office/drawing/2010/main" spid="_x0000_s1101"/>
            </a:ext>
            <a:ext uri="{FF2B5EF4-FFF2-40B4-BE49-F238E27FC236}">
              <a16:creationId xmlns:a16="http://schemas.microsoft.com/office/drawing/2014/main" id="{00000000-0008-0000-0E00-00004E000000}"/>
            </a:ext>
          </a:extLst>
        </xdr:cNvPr>
        <xdr:cNvSpPr/>
      </xdr:nvSpPr>
      <xdr:spPr bwMode="auto">
        <a:xfrm>
          <a:off x="3562350" y="4191000"/>
          <a:ext cx="254000" cy="273050"/>
        </a:xfrm>
        <a:prstGeom prst="rect">
          <a:avLst/>
        </a:prstGeom>
        <a:noFill/>
        <a:ln w="9525">
          <a:miter lim="800000"/>
          <a:headEnd/>
          <a:tailEnd/>
        </a:ln>
      </xdr:spPr>
    </xdr:sp>
    <xdr:clientData/>
  </xdr:twoCellAnchor>
  <xdr:twoCellAnchor editAs="oneCell">
    <xdr:from>
      <xdr:col>2</xdr:col>
      <xdr:colOff>0</xdr:colOff>
      <xdr:row>20</xdr:row>
      <xdr:rowOff>0</xdr:rowOff>
    </xdr:from>
    <xdr:to>
      <xdr:col>2</xdr:col>
      <xdr:colOff>152400</xdr:colOff>
      <xdr:row>20</xdr:row>
      <xdr:rowOff>152400</xdr:rowOff>
    </xdr:to>
    <xdr:sp macro="" textlink="">
      <xdr:nvSpPr>
        <xdr:cNvPr id="79" name="Control 78" hidden="1">
          <a:extLst>
            <a:ext uri="{63B3BB69-23CF-44E3-9099-C40C66FF867C}">
              <a14:compatExt xmlns:a14="http://schemas.microsoft.com/office/drawing/2010/main" spid="_x0000_s1102"/>
            </a:ext>
            <a:ext uri="{FF2B5EF4-FFF2-40B4-BE49-F238E27FC236}">
              <a16:creationId xmlns:a16="http://schemas.microsoft.com/office/drawing/2014/main" id="{00000000-0008-0000-0E00-00004F000000}"/>
            </a:ext>
          </a:extLst>
        </xdr:cNvPr>
        <xdr:cNvSpPr/>
      </xdr:nvSpPr>
      <xdr:spPr bwMode="auto">
        <a:xfrm>
          <a:off x="3562350" y="4191000"/>
          <a:ext cx="152400" cy="152400"/>
        </a:xfrm>
        <a:prstGeom prst="rect">
          <a:avLst/>
        </a:prstGeom>
        <a:noFill/>
        <a:ln w="9525">
          <a:miter lim="800000"/>
          <a:headEnd/>
          <a:tailEnd/>
        </a:ln>
      </xdr:spPr>
    </xdr:sp>
    <xdr:clientData/>
  </xdr:twoCellAnchor>
  <xdr:twoCellAnchor editAs="oneCell">
    <xdr:from>
      <xdr:col>2</xdr:col>
      <xdr:colOff>0</xdr:colOff>
      <xdr:row>20</xdr:row>
      <xdr:rowOff>0</xdr:rowOff>
    </xdr:from>
    <xdr:to>
      <xdr:col>2</xdr:col>
      <xdr:colOff>152400</xdr:colOff>
      <xdr:row>20</xdr:row>
      <xdr:rowOff>152400</xdr:rowOff>
    </xdr:to>
    <xdr:sp macro="" textlink="">
      <xdr:nvSpPr>
        <xdr:cNvPr id="80" name="Control 79" hidden="1">
          <a:extLst>
            <a:ext uri="{63B3BB69-23CF-44E3-9099-C40C66FF867C}">
              <a14:compatExt xmlns:a14="http://schemas.microsoft.com/office/drawing/2010/main" spid="_x0000_s1103"/>
            </a:ext>
            <a:ext uri="{FF2B5EF4-FFF2-40B4-BE49-F238E27FC236}">
              <a16:creationId xmlns:a16="http://schemas.microsoft.com/office/drawing/2014/main" id="{00000000-0008-0000-0E00-000050000000}"/>
            </a:ext>
          </a:extLst>
        </xdr:cNvPr>
        <xdr:cNvSpPr/>
      </xdr:nvSpPr>
      <xdr:spPr bwMode="auto">
        <a:xfrm>
          <a:off x="3562350" y="4191000"/>
          <a:ext cx="152400" cy="152400"/>
        </a:xfrm>
        <a:prstGeom prst="rect">
          <a:avLst/>
        </a:prstGeom>
        <a:noFill/>
        <a:ln w="9525">
          <a:miter lim="800000"/>
          <a:headEnd/>
          <a:tailEnd/>
        </a:ln>
      </xdr:spPr>
    </xdr:sp>
    <xdr:clientData/>
  </xdr:twoCellAnchor>
  <xdr:twoCellAnchor editAs="oneCell">
    <xdr:from>
      <xdr:col>2</xdr:col>
      <xdr:colOff>0</xdr:colOff>
      <xdr:row>21</xdr:row>
      <xdr:rowOff>0</xdr:rowOff>
    </xdr:from>
    <xdr:to>
      <xdr:col>2</xdr:col>
      <xdr:colOff>254000</xdr:colOff>
      <xdr:row>22</xdr:row>
      <xdr:rowOff>82550</xdr:rowOff>
    </xdr:to>
    <xdr:sp macro="" textlink="">
      <xdr:nvSpPr>
        <xdr:cNvPr id="81" name="Control 80" hidden="1">
          <a:extLst>
            <a:ext uri="{63B3BB69-23CF-44E3-9099-C40C66FF867C}">
              <a14:compatExt xmlns:a14="http://schemas.microsoft.com/office/drawing/2010/main" spid="_x0000_s1104"/>
            </a:ext>
            <a:ext uri="{FF2B5EF4-FFF2-40B4-BE49-F238E27FC236}">
              <a16:creationId xmlns:a16="http://schemas.microsoft.com/office/drawing/2014/main" id="{00000000-0008-0000-0E00-000051000000}"/>
            </a:ext>
          </a:extLst>
        </xdr:cNvPr>
        <xdr:cNvSpPr/>
      </xdr:nvSpPr>
      <xdr:spPr bwMode="auto">
        <a:xfrm>
          <a:off x="3562350" y="4400550"/>
          <a:ext cx="254000" cy="273050"/>
        </a:xfrm>
        <a:prstGeom prst="rect">
          <a:avLst/>
        </a:prstGeom>
        <a:noFill/>
        <a:ln w="9525">
          <a:miter lim="800000"/>
          <a:headEnd/>
          <a:tailEnd/>
        </a:ln>
      </xdr:spPr>
    </xdr:sp>
    <xdr:clientData/>
  </xdr:twoCellAnchor>
  <xdr:twoCellAnchor editAs="oneCell">
    <xdr:from>
      <xdr:col>2</xdr:col>
      <xdr:colOff>0</xdr:colOff>
      <xdr:row>21</xdr:row>
      <xdr:rowOff>0</xdr:rowOff>
    </xdr:from>
    <xdr:to>
      <xdr:col>2</xdr:col>
      <xdr:colOff>152400</xdr:colOff>
      <xdr:row>21</xdr:row>
      <xdr:rowOff>152400</xdr:rowOff>
    </xdr:to>
    <xdr:sp macro="" textlink="">
      <xdr:nvSpPr>
        <xdr:cNvPr id="82" name="Control 81" hidden="1">
          <a:extLst>
            <a:ext uri="{63B3BB69-23CF-44E3-9099-C40C66FF867C}">
              <a14:compatExt xmlns:a14="http://schemas.microsoft.com/office/drawing/2010/main" spid="_x0000_s1105"/>
            </a:ext>
            <a:ext uri="{FF2B5EF4-FFF2-40B4-BE49-F238E27FC236}">
              <a16:creationId xmlns:a16="http://schemas.microsoft.com/office/drawing/2014/main" id="{00000000-0008-0000-0E00-000052000000}"/>
            </a:ext>
          </a:extLst>
        </xdr:cNvPr>
        <xdr:cNvSpPr/>
      </xdr:nvSpPr>
      <xdr:spPr bwMode="auto">
        <a:xfrm>
          <a:off x="3562350" y="4400550"/>
          <a:ext cx="152400" cy="152400"/>
        </a:xfrm>
        <a:prstGeom prst="rect">
          <a:avLst/>
        </a:prstGeom>
        <a:noFill/>
        <a:ln w="9525">
          <a:miter lim="800000"/>
          <a:headEnd/>
          <a:tailEnd/>
        </a:ln>
      </xdr:spPr>
    </xdr:sp>
    <xdr:clientData/>
  </xdr:twoCellAnchor>
  <xdr:twoCellAnchor editAs="oneCell">
    <xdr:from>
      <xdr:col>2</xdr:col>
      <xdr:colOff>0</xdr:colOff>
      <xdr:row>21</xdr:row>
      <xdr:rowOff>0</xdr:rowOff>
    </xdr:from>
    <xdr:to>
      <xdr:col>2</xdr:col>
      <xdr:colOff>152400</xdr:colOff>
      <xdr:row>21</xdr:row>
      <xdr:rowOff>152400</xdr:rowOff>
    </xdr:to>
    <xdr:sp macro="" textlink="">
      <xdr:nvSpPr>
        <xdr:cNvPr id="83" name="Control 82" hidden="1">
          <a:extLst>
            <a:ext uri="{63B3BB69-23CF-44E3-9099-C40C66FF867C}">
              <a14:compatExt xmlns:a14="http://schemas.microsoft.com/office/drawing/2010/main" spid="_x0000_s1106"/>
            </a:ext>
            <a:ext uri="{FF2B5EF4-FFF2-40B4-BE49-F238E27FC236}">
              <a16:creationId xmlns:a16="http://schemas.microsoft.com/office/drawing/2014/main" id="{00000000-0008-0000-0E00-000053000000}"/>
            </a:ext>
          </a:extLst>
        </xdr:cNvPr>
        <xdr:cNvSpPr/>
      </xdr:nvSpPr>
      <xdr:spPr bwMode="auto">
        <a:xfrm>
          <a:off x="3562350" y="4400550"/>
          <a:ext cx="152400" cy="152400"/>
        </a:xfrm>
        <a:prstGeom prst="rect">
          <a:avLst/>
        </a:prstGeom>
        <a:noFill/>
        <a:ln w="9525">
          <a:miter lim="800000"/>
          <a:headEnd/>
          <a:tailEnd/>
        </a:ln>
      </xdr:spPr>
    </xdr:sp>
    <xdr:clientData/>
  </xdr:twoCellAnchor>
  <xdr:twoCellAnchor editAs="oneCell">
    <xdr:from>
      <xdr:col>0</xdr:col>
      <xdr:colOff>0</xdr:colOff>
      <xdr:row>22</xdr:row>
      <xdr:rowOff>0</xdr:rowOff>
    </xdr:from>
    <xdr:to>
      <xdr:col>0</xdr:col>
      <xdr:colOff>139700</xdr:colOff>
      <xdr:row>22</xdr:row>
      <xdr:rowOff>139700</xdr:rowOff>
    </xdr:to>
    <xdr:sp macro="" textlink="">
      <xdr:nvSpPr>
        <xdr:cNvPr id="84" name="Control 83" hidden="1">
          <a:extLst>
            <a:ext uri="{63B3BB69-23CF-44E3-9099-C40C66FF867C}">
              <a14:compatExt xmlns:a14="http://schemas.microsoft.com/office/drawing/2010/main" spid="_x0000_s1107"/>
            </a:ext>
            <a:ext uri="{FF2B5EF4-FFF2-40B4-BE49-F238E27FC236}">
              <a16:creationId xmlns:a16="http://schemas.microsoft.com/office/drawing/2014/main" id="{00000000-0008-0000-0E00-000054000000}"/>
            </a:ext>
          </a:extLst>
        </xdr:cNvPr>
        <xdr:cNvSpPr/>
      </xdr:nvSpPr>
      <xdr:spPr bwMode="auto">
        <a:xfrm>
          <a:off x="0" y="4610100"/>
          <a:ext cx="139700" cy="139700"/>
        </a:xfrm>
        <a:prstGeom prst="rect">
          <a:avLst/>
        </a:prstGeom>
        <a:noFill/>
        <a:ln w="9525">
          <a:miter lim="800000"/>
          <a:headEnd/>
          <a:tailEnd/>
        </a:ln>
      </xdr:spPr>
    </xdr:sp>
    <xdr:clientData/>
  </xdr:twoCellAnchor>
  <xdr:twoCellAnchor editAs="oneCell">
    <xdr:from>
      <xdr:col>2</xdr:col>
      <xdr:colOff>0</xdr:colOff>
      <xdr:row>22</xdr:row>
      <xdr:rowOff>0</xdr:rowOff>
    </xdr:from>
    <xdr:to>
      <xdr:col>2</xdr:col>
      <xdr:colOff>254000</xdr:colOff>
      <xdr:row>23</xdr:row>
      <xdr:rowOff>82550</xdr:rowOff>
    </xdr:to>
    <xdr:sp macro="" textlink="">
      <xdr:nvSpPr>
        <xdr:cNvPr id="85" name="Control 84" hidden="1">
          <a:extLst>
            <a:ext uri="{63B3BB69-23CF-44E3-9099-C40C66FF867C}">
              <a14:compatExt xmlns:a14="http://schemas.microsoft.com/office/drawing/2010/main" spid="_x0000_s1108"/>
            </a:ext>
            <a:ext uri="{FF2B5EF4-FFF2-40B4-BE49-F238E27FC236}">
              <a16:creationId xmlns:a16="http://schemas.microsoft.com/office/drawing/2014/main" id="{00000000-0008-0000-0E00-000055000000}"/>
            </a:ext>
          </a:extLst>
        </xdr:cNvPr>
        <xdr:cNvSpPr/>
      </xdr:nvSpPr>
      <xdr:spPr bwMode="auto">
        <a:xfrm>
          <a:off x="3562350" y="4610100"/>
          <a:ext cx="254000" cy="273050"/>
        </a:xfrm>
        <a:prstGeom prst="rect">
          <a:avLst/>
        </a:prstGeom>
        <a:noFill/>
        <a:ln w="9525">
          <a:miter lim="800000"/>
          <a:headEnd/>
          <a:tailEnd/>
        </a:ln>
      </xdr:spPr>
    </xdr:sp>
    <xdr:clientData/>
  </xdr:twoCellAnchor>
  <xdr:twoCellAnchor editAs="oneCell">
    <xdr:from>
      <xdr:col>2</xdr:col>
      <xdr:colOff>0</xdr:colOff>
      <xdr:row>22</xdr:row>
      <xdr:rowOff>0</xdr:rowOff>
    </xdr:from>
    <xdr:to>
      <xdr:col>2</xdr:col>
      <xdr:colOff>152400</xdr:colOff>
      <xdr:row>22</xdr:row>
      <xdr:rowOff>152400</xdr:rowOff>
    </xdr:to>
    <xdr:sp macro="" textlink="">
      <xdr:nvSpPr>
        <xdr:cNvPr id="86" name="Control 85" hidden="1">
          <a:extLst>
            <a:ext uri="{63B3BB69-23CF-44E3-9099-C40C66FF867C}">
              <a14:compatExt xmlns:a14="http://schemas.microsoft.com/office/drawing/2010/main" spid="_x0000_s1109"/>
            </a:ext>
            <a:ext uri="{FF2B5EF4-FFF2-40B4-BE49-F238E27FC236}">
              <a16:creationId xmlns:a16="http://schemas.microsoft.com/office/drawing/2014/main" id="{00000000-0008-0000-0E00-000056000000}"/>
            </a:ext>
          </a:extLst>
        </xdr:cNvPr>
        <xdr:cNvSpPr/>
      </xdr:nvSpPr>
      <xdr:spPr bwMode="auto">
        <a:xfrm>
          <a:off x="3562350" y="4610100"/>
          <a:ext cx="152400" cy="152400"/>
        </a:xfrm>
        <a:prstGeom prst="rect">
          <a:avLst/>
        </a:prstGeom>
        <a:noFill/>
        <a:ln w="9525">
          <a:miter lim="800000"/>
          <a:headEnd/>
          <a:tailEnd/>
        </a:ln>
      </xdr:spPr>
    </xdr:sp>
    <xdr:clientData/>
  </xdr:twoCellAnchor>
  <xdr:twoCellAnchor editAs="oneCell">
    <xdr:from>
      <xdr:col>2</xdr:col>
      <xdr:colOff>0</xdr:colOff>
      <xdr:row>22</xdr:row>
      <xdr:rowOff>0</xdr:rowOff>
    </xdr:from>
    <xdr:to>
      <xdr:col>2</xdr:col>
      <xdr:colOff>152400</xdr:colOff>
      <xdr:row>22</xdr:row>
      <xdr:rowOff>152400</xdr:rowOff>
    </xdr:to>
    <xdr:sp macro="" textlink="">
      <xdr:nvSpPr>
        <xdr:cNvPr id="87" name="Control 86" hidden="1">
          <a:extLst>
            <a:ext uri="{63B3BB69-23CF-44E3-9099-C40C66FF867C}">
              <a14:compatExt xmlns:a14="http://schemas.microsoft.com/office/drawing/2010/main" spid="_x0000_s1110"/>
            </a:ext>
            <a:ext uri="{FF2B5EF4-FFF2-40B4-BE49-F238E27FC236}">
              <a16:creationId xmlns:a16="http://schemas.microsoft.com/office/drawing/2014/main" id="{00000000-0008-0000-0E00-000057000000}"/>
            </a:ext>
          </a:extLst>
        </xdr:cNvPr>
        <xdr:cNvSpPr/>
      </xdr:nvSpPr>
      <xdr:spPr bwMode="auto">
        <a:xfrm>
          <a:off x="3562350" y="4610100"/>
          <a:ext cx="152400" cy="152400"/>
        </a:xfrm>
        <a:prstGeom prst="rect">
          <a:avLst/>
        </a:prstGeom>
        <a:noFill/>
        <a:ln w="9525">
          <a:miter lim="800000"/>
          <a:headEnd/>
          <a:tailEnd/>
        </a:ln>
      </xdr:spPr>
    </xdr:sp>
    <xdr:clientData/>
  </xdr:twoCellAnchor>
  <xdr:twoCellAnchor editAs="oneCell">
    <xdr:from>
      <xdr:col>0</xdr:col>
      <xdr:colOff>0</xdr:colOff>
      <xdr:row>23</xdr:row>
      <xdr:rowOff>0</xdr:rowOff>
    </xdr:from>
    <xdr:to>
      <xdr:col>0</xdr:col>
      <xdr:colOff>139700</xdr:colOff>
      <xdr:row>23</xdr:row>
      <xdr:rowOff>139700</xdr:rowOff>
    </xdr:to>
    <xdr:sp macro="" textlink="">
      <xdr:nvSpPr>
        <xdr:cNvPr id="88" name="Control 87" hidden="1">
          <a:extLst>
            <a:ext uri="{63B3BB69-23CF-44E3-9099-C40C66FF867C}">
              <a14:compatExt xmlns:a14="http://schemas.microsoft.com/office/drawing/2010/main" spid="_x0000_s1111"/>
            </a:ext>
            <a:ext uri="{FF2B5EF4-FFF2-40B4-BE49-F238E27FC236}">
              <a16:creationId xmlns:a16="http://schemas.microsoft.com/office/drawing/2014/main" id="{00000000-0008-0000-0E00-000058000000}"/>
            </a:ext>
          </a:extLst>
        </xdr:cNvPr>
        <xdr:cNvSpPr/>
      </xdr:nvSpPr>
      <xdr:spPr bwMode="auto">
        <a:xfrm>
          <a:off x="0" y="4819650"/>
          <a:ext cx="139700" cy="139700"/>
        </a:xfrm>
        <a:prstGeom prst="rect">
          <a:avLst/>
        </a:prstGeom>
        <a:noFill/>
        <a:ln w="9525">
          <a:miter lim="800000"/>
          <a:headEnd/>
          <a:tailEnd/>
        </a:ln>
      </xdr:spPr>
    </xdr:sp>
    <xdr:clientData/>
  </xdr:twoCellAnchor>
  <xdr:twoCellAnchor editAs="oneCell">
    <xdr:from>
      <xdr:col>2</xdr:col>
      <xdr:colOff>0</xdr:colOff>
      <xdr:row>23</xdr:row>
      <xdr:rowOff>0</xdr:rowOff>
    </xdr:from>
    <xdr:to>
      <xdr:col>2</xdr:col>
      <xdr:colOff>254000</xdr:colOff>
      <xdr:row>24</xdr:row>
      <xdr:rowOff>82550</xdr:rowOff>
    </xdr:to>
    <xdr:sp macro="" textlink="">
      <xdr:nvSpPr>
        <xdr:cNvPr id="89" name="Control 88" hidden="1">
          <a:extLst>
            <a:ext uri="{63B3BB69-23CF-44E3-9099-C40C66FF867C}">
              <a14:compatExt xmlns:a14="http://schemas.microsoft.com/office/drawing/2010/main" spid="_x0000_s1112"/>
            </a:ext>
            <a:ext uri="{FF2B5EF4-FFF2-40B4-BE49-F238E27FC236}">
              <a16:creationId xmlns:a16="http://schemas.microsoft.com/office/drawing/2014/main" id="{00000000-0008-0000-0E00-000059000000}"/>
            </a:ext>
          </a:extLst>
        </xdr:cNvPr>
        <xdr:cNvSpPr/>
      </xdr:nvSpPr>
      <xdr:spPr bwMode="auto">
        <a:xfrm>
          <a:off x="3562350" y="4819650"/>
          <a:ext cx="254000" cy="273050"/>
        </a:xfrm>
        <a:prstGeom prst="rect">
          <a:avLst/>
        </a:prstGeom>
        <a:noFill/>
        <a:ln w="9525">
          <a:miter lim="800000"/>
          <a:headEnd/>
          <a:tailEnd/>
        </a:ln>
      </xdr:spPr>
    </xdr:sp>
    <xdr:clientData/>
  </xdr:twoCellAnchor>
  <xdr:twoCellAnchor editAs="oneCell">
    <xdr:from>
      <xdr:col>2</xdr:col>
      <xdr:colOff>0</xdr:colOff>
      <xdr:row>23</xdr:row>
      <xdr:rowOff>0</xdr:rowOff>
    </xdr:from>
    <xdr:to>
      <xdr:col>2</xdr:col>
      <xdr:colOff>152400</xdr:colOff>
      <xdr:row>23</xdr:row>
      <xdr:rowOff>152400</xdr:rowOff>
    </xdr:to>
    <xdr:sp macro="" textlink="">
      <xdr:nvSpPr>
        <xdr:cNvPr id="90" name="Control 89" hidden="1">
          <a:extLst>
            <a:ext uri="{63B3BB69-23CF-44E3-9099-C40C66FF867C}">
              <a14:compatExt xmlns:a14="http://schemas.microsoft.com/office/drawing/2010/main" spid="_x0000_s1113"/>
            </a:ext>
            <a:ext uri="{FF2B5EF4-FFF2-40B4-BE49-F238E27FC236}">
              <a16:creationId xmlns:a16="http://schemas.microsoft.com/office/drawing/2014/main" id="{00000000-0008-0000-0E00-00005A000000}"/>
            </a:ext>
          </a:extLst>
        </xdr:cNvPr>
        <xdr:cNvSpPr/>
      </xdr:nvSpPr>
      <xdr:spPr bwMode="auto">
        <a:xfrm>
          <a:off x="3562350" y="4819650"/>
          <a:ext cx="152400" cy="152400"/>
        </a:xfrm>
        <a:prstGeom prst="rect">
          <a:avLst/>
        </a:prstGeom>
        <a:noFill/>
        <a:ln w="9525">
          <a:miter lim="800000"/>
          <a:headEnd/>
          <a:tailEnd/>
        </a:ln>
      </xdr:spPr>
    </xdr:sp>
    <xdr:clientData/>
  </xdr:twoCellAnchor>
  <xdr:twoCellAnchor editAs="oneCell">
    <xdr:from>
      <xdr:col>2</xdr:col>
      <xdr:colOff>0</xdr:colOff>
      <xdr:row>23</xdr:row>
      <xdr:rowOff>0</xdr:rowOff>
    </xdr:from>
    <xdr:to>
      <xdr:col>2</xdr:col>
      <xdr:colOff>152400</xdr:colOff>
      <xdr:row>23</xdr:row>
      <xdr:rowOff>152400</xdr:rowOff>
    </xdr:to>
    <xdr:sp macro="" textlink="">
      <xdr:nvSpPr>
        <xdr:cNvPr id="91" name="Control 90" hidden="1">
          <a:extLst>
            <a:ext uri="{63B3BB69-23CF-44E3-9099-C40C66FF867C}">
              <a14:compatExt xmlns:a14="http://schemas.microsoft.com/office/drawing/2010/main" spid="_x0000_s1114"/>
            </a:ext>
            <a:ext uri="{FF2B5EF4-FFF2-40B4-BE49-F238E27FC236}">
              <a16:creationId xmlns:a16="http://schemas.microsoft.com/office/drawing/2014/main" id="{00000000-0008-0000-0E00-00005B000000}"/>
            </a:ext>
          </a:extLst>
        </xdr:cNvPr>
        <xdr:cNvSpPr/>
      </xdr:nvSpPr>
      <xdr:spPr bwMode="auto">
        <a:xfrm>
          <a:off x="3562350" y="4819650"/>
          <a:ext cx="152400" cy="152400"/>
        </a:xfrm>
        <a:prstGeom prst="rect">
          <a:avLst/>
        </a:prstGeom>
        <a:noFill/>
        <a:ln w="9525">
          <a:miter lim="800000"/>
          <a:headEnd/>
          <a:tailEnd/>
        </a:ln>
      </xdr:spPr>
    </xdr:sp>
    <xdr:clientData/>
  </xdr:twoCellAnchor>
  <xdr:twoCellAnchor editAs="oneCell">
    <xdr:from>
      <xdr:col>0</xdr:col>
      <xdr:colOff>0</xdr:colOff>
      <xdr:row>24</xdr:row>
      <xdr:rowOff>0</xdr:rowOff>
    </xdr:from>
    <xdr:to>
      <xdr:col>0</xdr:col>
      <xdr:colOff>139700</xdr:colOff>
      <xdr:row>24</xdr:row>
      <xdr:rowOff>139700</xdr:rowOff>
    </xdr:to>
    <xdr:sp macro="" textlink="">
      <xdr:nvSpPr>
        <xdr:cNvPr id="92" name="Control 91" hidden="1">
          <a:extLst>
            <a:ext uri="{63B3BB69-23CF-44E3-9099-C40C66FF867C}">
              <a14:compatExt xmlns:a14="http://schemas.microsoft.com/office/drawing/2010/main" spid="_x0000_s1115"/>
            </a:ext>
            <a:ext uri="{FF2B5EF4-FFF2-40B4-BE49-F238E27FC236}">
              <a16:creationId xmlns:a16="http://schemas.microsoft.com/office/drawing/2014/main" id="{00000000-0008-0000-0E00-00005C000000}"/>
            </a:ext>
          </a:extLst>
        </xdr:cNvPr>
        <xdr:cNvSpPr/>
      </xdr:nvSpPr>
      <xdr:spPr bwMode="auto">
        <a:xfrm>
          <a:off x="0" y="5029200"/>
          <a:ext cx="139700" cy="139700"/>
        </a:xfrm>
        <a:prstGeom prst="rect">
          <a:avLst/>
        </a:prstGeom>
        <a:noFill/>
        <a:ln w="9525">
          <a:miter lim="800000"/>
          <a:headEnd/>
          <a:tailEnd/>
        </a:ln>
      </xdr:spPr>
    </xdr:sp>
    <xdr:clientData/>
  </xdr:twoCellAnchor>
  <xdr:twoCellAnchor editAs="oneCell">
    <xdr:from>
      <xdr:col>2</xdr:col>
      <xdr:colOff>0</xdr:colOff>
      <xdr:row>24</xdr:row>
      <xdr:rowOff>0</xdr:rowOff>
    </xdr:from>
    <xdr:to>
      <xdr:col>2</xdr:col>
      <xdr:colOff>254000</xdr:colOff>
      <xdr:row>25</xdr:row>
      <xdr:rowOff>82550</xdr:rowOff>
    </xdr:to>
    <xdr:sp macro="" textlink="">
      <xdr:nvSpPr>
        <xdr:cNvPr id="93" name="Control 92" hidden="1">
          <a:extLst>
            <a:ext uri="{63B3BB69-23CF-44E3-9099-C40C66FF867C}">
              <a14:compatExt xmlns:a14="http://schemas.microsoft.com/office/drawing/2010/main" spid="_x0000_s1116"/>
            </a:ext>
            <a:ext uri="{FF2B5EF4-FFF2-40B4-BE49-F238E27FC236}">
              <a16:creationId xmlns:a16="http://schemas.microsoft.com/office/drawing/2014/main" id="{00000000-0008-0000-0E00-00005D000000}"/>
            </a:ext>
          </a:extLst>
        </xdr:cNvPr>
        <xdr:cNvSpPr/>
      </xdr:nvSpPr>
      <xdr:spPr bwMode="auto">
        <a:xfrm>
          <a:off x="3562350" y="5029200"/>
          <a:ext cx="254000" cy="273050"/>
        </a:xfrm>
        <a:prstGeom prst="rect">
          <a:avLst/>
        </a:prstGeom>
        <a:noFill/>
        <a:ln w="9525">
          <a:miter lim="800000"/>
          <a:headEnd/>
          <a:tailEnd/>
        </a:ln>
      </xdr:spPr>
    </xdr:sp>
    <xdr:clientData/>
  </xdr:twoCellAnchor>
  <xdr:twoCellAnchor editAs="oneCell">
    <xdr:from>
      <xdr:col>2</xdr:col>
      <xdr:colOff>0</xdr:colOff>
      <xdr:row>24</xdr:row>
      <xdr:rowOff>0</xdr:rowOff>
    </xdr:from>
    <xdr:to>
      <xdr:col>2</xdr:col>
      <xdr:colOff>152400</xdr:colOff>
      <xdr:row>24</xdr:row>
      <xdr:rowOff>152400</xdr:rowOff>
    </xdr:to>
    <xdr:sp macro="" textlink="">
      <xdr:nvSpPr>
        <xdr:cNvPr id="94" name="Control 93" hidden="1">
          <a:extLst>
            <a:ext uri="{63B3BB69-23CF-44E3-9099-C40C66FF867C}">
              <a14:compatExt xmlns:a14="http://schemas.microsoft.com/office/drawing/2010/main" spid="_x0000_s1117"/>
            </a:ext>
            <a:ext uri="{FF2B5EF4-FFF2-40B4-BE49-F238E27FC236}">
              <a16:creationId xmlns:a16="http://schemas.microsoft.com/office/drawing/2014/main" id="{00000000-0008-0000-0E00-00005E000000}"/>
            </a:ext>
          </a:extLst>
        </xdr:cNvPr>
        <xdr:cNvSpPr/>
      </xdr:nvSpPr>
      <xdr:spPr bwMode="auto">
        <a:xfrm>
          <a:off x="3562350" y="5029200"/>
          <a:ext cx="152400" cy="152400"/>
        </a:xfrm>
        <a:prstGeom prst="rect">
          <a:avLst/>
        </a:prstGeom>
        <a:noFill/>
        <a:ln w="9525">
          <a:miter lim="800000"/>
          <a:headEnd/>
          <a:tailEnd/>
        </a:ln>
      </xdr:spPr>
    </xdr:sp>
    <xdr:clientData/>
  </xdr:twoCellAnchor>
  <xdr:twoCellAnchor editAs="oneCell">
    <xdr:from>
      <xdr:col>2</xdr:col>
      <xdr:colOff>0</xdr:colOff>
      <xdr:row>24</xdr:row>
      <xdr:rowOff>0</xdr:rowOff>
    </xdr:from>
    <xdr:to>
      <xdr:col>2</xdr:col>
      <xdr:colOff>152400</xdr:colOff>
      <xdr:row>24</xdr:row>
      <xdr:rowOff>152400</xdr:rowOff>
    </xdr:to>
    <xdr:sp macro="" textlink="">
      <xdr:nvSpPr>
        <xdr:cNvPr id="95" name="Control 94" hidden="1">
          <a:extLst>
            <a:ext uri="{63B3BB69-23CF-44E3-9099-C40C66FF867C}">
              <a14:compatExt xmlns:a14="http://schemas.microsoft.com/office/drawing/2010/main" spid="_x0000_s1118"/>
            </a:ext>
            <a:ext uri="{FF2B5EF4-FFF2-40B4-BE49-F238E27FC236}">
              <a16:creationId xmlns:a16="http://schemas.microsoft.com/office/drawing/2014/main" id="{00000000-0008-0000-0E00-00005F000000}"/>
            </a:ext>
          </a:extLst>
        </xdr:cNvPr>
        <xdr:cNvSpPr/>
      </xdr:nvSpPr>
      <xdr:spPr bwMode="auto">
        <a:xfrm>
          <a:off x="3562350" y="5029200"/>
          <a:ext cx="152400" cy="152400"/>
        </a:xfrm>
        <a:prstGeom prst="rect">
          <a:avLst/>
        </a:prstGeom>
        <a:noFill/>
        <a:ln w="9525">
          <a:miter lim="800000"/>
          <a:headEnd/>
          <a:tailEnd/>
        </a:ln>
      </xdr:spPr>
    </xdr:sp>
    <xdr:clientData/>
  </xdr:twoCellAnchor>
  <xdr:twoCellAnchor editAs="oneCell">
    <xdr:from>
      <xdr:col>0</xdr:col>
      <xdr:colOff>0</xdr:colOff>
      <xdr:row>25</xdr:row>
      <xdr:rowOff>0</xdr:rowOff>
    </xdr:from>
    <xdr:to>
      <xdr:col>0</xdr:col>
      <xdr:colOff>139700</xdr:colOff>
      <xdr:row>25</xdr:row>
      <xdr:rowOff>139700</xdr:rowOff>
    </xdr:to>
    <xdr:sp macro="" textlink="">
      <xdr:nvSpPr>
        <xdr:cNvPr id="96" name="Control 95" hidden="1">
          <a:extLst>
            <a:ext uri="{63B3BB69-23CF-44E3-9099-C40C66FF867C}">
              <a14:compatExt xmlns:a14="http://schemas.microsoft.com/office/drawing/2010/main" spid="_x0000_s1119"/>
            </a:ext>
            <a:ext uri="{FF2B5EF4-FFF2-40B4-BE49-F238E27FC236}">
              <a16:creationId xmlns:a16="http://schemas.microsoft.com/office/drawing/2014/main" id="{00000000-0008-0000-0E00-000060000000}"/>
            </a:ext>
          </a:extLst>
        </xdr:cNvPr>
        <xdr:cNvSpPr/>
      </xdr:nvSpPr>
      <xdr:spPr bwMode="auto">
        <a:xfrm>
          <a:off x="0" y="5238750"/>
          <a:ext cx="139700" cy="139700"/>
        </a:xfrm>
        <a:prstGeom prst="rect">
          <a:avLst/>
        </a:prstGeom>
        <a:noFill/>
        <a:ln w="9525">
          <a:miter lim="800000"/>
          <a:headEnd/>
          <a:tailEnd/>
        </a:ln>
      </xdr:spPr>
    </xdr:sp>
    <xdr:clientData/>
  </xdr:twoCellAnchor>
  <xdr:twoCellAnchor editAs="oneCell">
    <xdr:from>
      <xdr:col>2</xdr:col>
      <xdr:colOff>0</xdr:colOff>
      <xdr:row>25</xdr:row>
      <xdr:rowOff>0</xdr:rowOff>
    </xdr:from>
    <xdr:to>
      <xdr:col>2</xdr:col>
      <xdr:colOff>254000</xdr:colOff>
      <xdr:row>26</xdr:row>
      <xdr:rowOff>82550</xdr:rowOff>
    </xdr:to>
    <xdr:sp macro="" textlink="">
      <xdr:nvSpPr>
        <xdr:cNvPr id="97" name="Control 96" hidden="1">
          <a:extLst>
            <a:ext uri="{63B3BB69-23CF-44E3-9099-C40C66FF867C}">
              <a14:compatExt xmlns:a14="http://schemas.microsoft.com/office/drawing/2010/main" spid="_x0000_s1120"/>
            </a:ext>
            <a:ext uri="{FF2B5EF4-FFF2-40B4-BE49-F238E27FC236}">
              <a16:creationId xmlns:a16="http://schemas.microsoft.com/office/drawing/2014/main" id="{00000000-0008-0000-0E00-000061000000}"/>
            </a:ext>
          </a:extLst>
        </xdr:cNvPr>
        <xdr:cNvSpPr/>
      </xdr:nvSpPr>
      <xdr:spPr bwMode="auto">
        <a:xfrm>
          <a:off x="3562350" y="5238750"/>
          <a:ext cx="254000" cy="273050"/>
        </a:xfrm>
        <a:prstGeom prst="rect">
          <a:avLst/>
        </a:prstGeom>
        <a:noFill/>
        <a:ln w="9525">
          <a:miter lim="800000"/>
          <a:headEnd/>
          <a:tailEnd/>
        </a:ln>
      </xdr:spPr>
    </xdr:sp>
    <xdr:clientData/>
  </xdr:twoCellAnchor>
  <xdr:twoCellAnchor editAs="oneCell">
    <xdr:from>
      <xdr:col>2</xdr:col>
      <xdr:colOff>0</xdr:colOff>
      <xdr:row>25</xdr:row>
      <xdr:rowOff>0</xdr:rowOff>
    </xdr:from>
    <xdr:to>
      <xdr:col>2</xdr:col>
      <xdr:colOff>152400</xdr:colOff>
      <xdr:row>25</xdr:row>
      <xdr:rowOff>152400</xdr:rowOff>
    </xdr:to>
    <xdr:sp macro="" textlink="">
      <xdr:nvSpPr>
        <xdr:cNvPr id="98" name="Control 97" hidden="1">
          <a:extLst>
            <a:ext uri="{63B3BB69-23CF-44E3-9099-C40C66FF867C}">
              <a14:compatExt xmlns:a14="http://schemas.microsoft.com/office/drawing/2010/main" spid="_x0000_s1121"/>
            </a:ext>
            <a:ext uri="{FF2B5EF4-FFF2-40B4-BE49-F238E27FC236}">
              <a16:creationId xmlns:a16="http://schemas.microsoft.com/office/drawing/2014/main" id="{00000000-0008-0000-0E00-000062000000}"/>
            </a:ext>
          </a:extLst>
        </xdr:cNvPr>
        <xdr:cNvSpPr/>
      </xdr:nvSpPr>
      <xdr:spPr bwMode="auto">
        <a:xfrm>
          <a:off x="3562350" y="5238750"/>
          <a:ext cx="152400" cy="152400"/>
        </a:xfrm>
        <a:prstGeom prst="rect">
          <a:avLst/>
        </a:prstGeom>
        <a:noFill/>
        <a:ln w="9525">
          <a:miter lim="800000"/>
          <a:headEnd/>
          <a:tailEnd/>
        </a:ln>
      </xdr:spPr>
    </xdr:sp>
    <xdr:clientData/>
  </xdr:twoCellAnchor>
  <xdr:twoCellAnchor editAs="oneCell">
    <xdr:from>
      <xdr:col>2</xdr:col>
      <xdr:colOff>0</xdr:colOff>
      <xdr:row>25</xdr:row>
      <xdr:rowOff>0</xdr:rowOff>
    </xdr:from>
    <xdr:to>
      <xdr:col>2</xdr:col>
      <xdr:colOff>152400</xdr:colOff>
      <xdr:row>25</xdr:row>
      <xdr:rowOff>152400</xdr:rowOff>
    </xdr:to>
    <xdr:sp macro="" textlink="">
      <xdr:nvSpPr>
        <xdr:cNvPr id="99" name="Control 98" hidden="1">
          <a:extLst>
            <a:ext uri="{63B3BB69-23CF-44E3-9099-C40C66FF867C}">
              <a14:compatExt xmlns:a14="http://schemas.microsoft.com/office/drawing/2010/main" spid="_x0000_s1122"/>
            </a:ext>
            <a:ext uri="{FF2B5EF4-FFF2-40B4-BE49-F238E27FC236}">
              <a16:creationId xmlns:a16="http://schemas.microsoft.com/office/drawing/2014/main" id="{00000000-0008-0000-0E00-000063000000}"/>
            </a:ext>
          </a:extLst>
        </xdr:cNvPr>
        <xdr:cNvSpPr/>
      </xdr:nvSpPr>
      <xdr:spPr bwMode="auto">
        <a:xfrm>
          <a:off x="3562350" y="5238750"/>
          <a:ext cx="152400" cy="152400"/>
        </a:xfrm>
        <a:prstGeom prst="rect">
          <a:avLst/>
        </a:prstGeom>
        <a:noFill/>
        <a:ln w="9525">
          <a:miter lim="800000"/>
          <a:headEnd/>
          <a:tailEnd/>
        </a:ln>
      </xdr:spPr>
    </xdr:sp>
    <xdr:clientData/>
  </xdr:twoCellAnchor>
  <xdr:twoCellAnchor editAs="oneCell">
    <xdr:from>
      <xdr:col>0</xdr:col>
      <xdr:colOff>0</xdr:colOff>
      <xdr:row>26</xdr:row>
      <xdr:rowOff>0</xdr:rowOff>
    </xdr:from>
    <xdr:to>
      <xdr:col>0</xdr:col>
      <xdr:colOff>139700</xdr:colOff>
      <xdr:row>26</xdr:row>
      <xdr:rowOff>139700</xdr:rowOff>
    </xdr:to>
    <xdr:sp macro="" textlink="">
      <xdr:nvSpPr>
        <xdr:cNvPr id="100" name="Control 99" hidden="1">
          <a:extLst>
            <a:ext uri="{63B3BB69-23CF-44E3-9099-C40C66FF867C}">
              <a14:compatExt xmlns:a14="http://schemas.microsoft.com/office/drawing/2010/main" spid="_x0000_s1123"/>
            </a:ext>
            <a:ext uri="{FF2B5EF4-FFF2-40B4-BE49-F238E27FC236}">
              <a16:creationId xmlns:a16="http://schemas.microsoft.com/office/drawing/2014/main" id="{00000000-0008-0000-0E00-000064000000}"/>
            </a:ext>
          </a:extLst>
        </xdr:cNvPr>
        <xdr:cNvSpPr/>
      </xdr:nvSpPr>
      <xdr:spPr bwMode="auto">
        <a:xfrm>
          <a:off x="0" y="5448300"/>
          <a:ext cx="139700" cy="139700"/>
        </a:xfrm>
        <a:prstGeom prst="rect">
          <a:avLst/>
        </a:prstGeom>
        <a:noFill/>
        <a:ln w="9525">
          <a:miter lim="800000"/>
          <a:headEnd/>
          <a:tailEnd/>
        </a:ln>
      </xdr:spPr>
    </xdr:sp>
    <xdr:clientData/>
  </xdr:twoCellAnchor>
  <xdr:twoCellAnchor editAs="oneCell">
    <xdr:from>
      <xdr:col>2</xdr:col>
      <xdr:colOff>0</xdr:colOff>
      <xdr:row>26</xdr:row>
      <xdr:rowOff>0</xdr:rowOff>
    </xdr:from>
    <xdr:to>
      <xdr:col>2</xdr:col>
      <xdr:colOff>254000</xdr:colOff>
      <xdr:row>27</xdr:row>
      <xdr:rowOff>82550</xdr:rowOff>
    </xdr:to>
    <xdr:sp macro="" textlink="">
      <xdr:nvSpPr>
        <xdr:cNvPr id="101" name="Control 100" hidden="1">
          <a:extLst>
            <a:ext uri="{63B3BB69-23CF-44E3-9099-C40C66FF867C}">
              <a14:compatExt xmlns:a14="http://schemas.microsoft.com/office/drawing/2010/main" spid="_x0000_s1124"/>
            </a:ext>
            <a:ext uri="{FF2B5EF4-FFF2-40B4-BE49-F238E27FC236}">
              <a16:creationId xmlns:a16="http://schemas.microsoft.com/office/drawing/2014/main" id="{00000000-0008-0000-0E00-000065000000}"/>
            </a:ext>
          </a:extLst>
        </xdr:cNvPr>
        <xdr:cNvSpPr/>
      </xdr:nvSpPr>
      <xdr:spPr bwMode="auto">
        <a:xfrm>
          <a:off x="3562350" y="5448300"/>
          <a:ext cx="254000" cy="273050"/>
        </a:xfrm>
        <a:prstGeom prst="rect">
          <a:avLst/>
        </a:prstGeom>
        <a:noFill/>
        <a:ln w="9525">
          <a:miter lim="800000"/>
          <a:headEnd/>
          <a:tailEnd/>
        </a:ln>
      </xdr:spPr>
    </xdr:sp>
    <xdr:clientData/>
  </xdr:twoCellAnchor>
  <xdr:twoCellAnchor editAs="oneCell">
    <xdr:from>
      <xdr:col>2</xdr:col>
      <xdr:colOff>0</xdr:colOff>
      <xdr:row>26</xdr:row>
      <xdr:rowOff>0</xdr:rowOff>
    </xdr:from>
    <xdr:to>
      <xdr:col>2</xdr:col>
      <xdr:colOff>152400</xdr:colOff>
      <xdr:row>26</xdr:row>
      <xdr:rowOff>152400</xdr:rowOff>
    </xdr:to>
    <xdr:sp macro="" textlink="">
      <xdr:nvSpPr>
        <xdr:cNvPr id="102" name="Control 101" hidden="1">
          <a:extLst>
            <a:ext uri="{63B3BB69-23CF-44E3-9099-C40C66FF867C}">
              <a14:compatExt xmlns:a14="http://schemas.microsoft.com/office/drawing/2010/main" spid="_x0000_s1125"/>
            </a:ext>
            <a:ext uri="{FF2B5EF4-FFF2-40B4-BE49-F238E27FC236}">
              <a16:creationId xmlns:a16="http://schemas.microsoft.com/office/drawing/2014/main" id="{00000000-0008-0000-0E00-000066000000}"/>
            </a:ext>
          </a:extLst>
        </xdr:cNvPr>
        <xdr:cNvSpPr/>
      </xdr:nvSpPr>
      <xdr:spPr bwMode="auto">
        <a:xfrm>
          <a:off x="3562350" y="5448300"/>
          <a:ext cx="152400" cy="152400"/>
        </a:xfrm>
        <a:prstGeom prst="rect">
          <a:avLst/>
        </a:prstGeom>
        <a:noFill/>
        <a:ln w="9525">
          <a:miter lim="800000"/>
          <a:headEnd/>
          <a:tailEnd/>
        </a:ln>
      </xdr:spPr>
    </xdr:sp>
    <xdr:clientData/>
  </xdr:twoCellAnchor>
  <xdr:twoCellAnchor editAs="oneCell">
    <xdr:from>
      <xdr:col>2</xdr:col>
      <xdr:colOff>0</xdr:colOff>
      <xdr:row>26</xdr:row>
      <xdr:rowOff>0</xdr:rowOff>
    </xdr:from>
    <xdr:to>
      <xdr:col>2</xdr:col>
      <xdr:colOff>152400</xdr:colOff>
      <xdr:row>26</xdr:row>
      <xdr:rowOff>152400</xdr:rowOff>
    </xdr:to>
    <xdr:sp macro="" textlink="">
      <xdr:nvSpPr>
        <xdr:cNvPr id="103" name="Control 102" hidden="1">
          <a:extLst>
            <a:ext uri="{63B3BB69-23CF-44E3-9099-C40C66FF867C}">
              <a14:compatExt xmlns:a14="http://schemas.microsoft.com/office/drawing/2010/main" spid="_x0000_s1126"/>
            </a:ext>
            <a:ext uri="{FF2B5EF4-FFF2-40B4-BE49-F238E27FC236}">
              <a16:creationId xmlns:a16="http://schemas.microsoft.com/office/drawing/2014/main" id="{00000000-0008-0000-0E00-000067000000}"/>
            </a:ext>
          </a:extLst>
        </xdr:cNvPr>
        <xdr:cNvSpPr/>
      </xdr:nvSpPr>
      <xdr:spPr bwMode="auto">
        <a:xfrm>
          <a:off x="3562350" y="5448300"/>
          <a:ext cx="152400" cy="152400"/>
        </a:xfrm>
        <a:prstGeom prst="rect">
          <a:avLst/>
        </a:prstGeom>
        <a:noFill/>
        <a:ln w="9525">
          <a:miter lim="800000"/>
          <a:headEnd/>
          <a:tailEnd/>
        </a:ln>
      </xdr:spPr>
    </xdr:sp>
    <xdr:clientData/>
  </xdr:twoCellAnchor>
  <xdr:twoCellAnchor editAs="oneCell">
    <xdr:from>
      <xdr:col>0</xdr:col>
      <xdr:colOff>0</xdr:colOff>
      <xdr:row>27</xdr:row>
      <xdr:rowOff>0</xdr:rowOff>
    </xdr:from>
    <xdr:to>
      <xdr:col>0</xdr:col>
      <xdr:colOff>139700</xdr:colOff>
      <xdr:row>27</xdr:row>
      <xdr:rowOff>139700</xdr:rowOff>
    </xdr:to>
    <xdr:sp macro="" textlink="">
      <xdr:nvSpPr>
        <xdr:cNvPr id="104" name="Control 103" hidden="1">
          <a:extLst>
            <a:ext uri="{63B3BB69-23CF-44E3-9099-C40C66FF867C}">
              <a14:compatExt xmlns:a14="http://schemas.microsoft.com/office/drawing/2010/main" spid="_x0000_s1127"/>
            </a:ext>
            <a:ext uri="{FF2B5EF4-FFF2-40B4-BE49-F238E27FC236}">
              <a16:creationId xmlns:a16="http://schemas.microsoft.com/office/drawing/2014/main" id="{00000000-0008-0000-0E00-000068000000}"/>
            </a:ext>
          </a:extLst>
        </xdr:cNvPr>
        <xdr:cNvSpPr/>
      </xdr:nvSpPr>
      <xdr:spPr bwMode="auto">
        <a:xfrm>
          <a:off x="0" y="5657850"/>
          <a:ext cx="139700" cy="139700"/>
        </a:xfrm>
        <a:prstGeom prst="rect">
          <a:avLst/>
        </a:prstGeom>
        <a:noFill/>
        <a:ln w="9525">
          <a:miter lim="800000"/>
          <a:headEnd/>
          <a:tailEnd/>
        </a:ln>
      </xdr:spPr>
    </xdr:sp>
    <xdr:clientData/>
  </xdr:twoCellAnchor>
  <xdr:twoCellAnchor editAs="oneCell">
    <xdr:from>
      <xdr:col>2</xdr:col>
      <xdr:colOff>0</xdr:colOff>
      <xdr:row>27</xdr:row>
      <xdr:rowOff>0</xdr:rowOff>
    </xdr:from>
    <xdr:to>
      <xdr:col>2</xdr:col>
      <xdr:colOff>254000</xdr:colOff>
      <xdr:row>28</xdr:row>
      <xdr:rowOff>82550</xdr:rowOff>
    </xdr:to>
    <xdr:sp macro="" textlink="">
      <xdr:nvSpPr>
        <xdr:cNvPr id="105" name="Control 104" hidden="1">
          <a:extLst>
            <a:ext uri="{63B3BB69-23CF-44E3-9099-C40C66FF867C}">
              <a14:compatExt xmlns:a14="http://schemas.microsoft.com/office/drawing/2010/main" spid="_x0000_s1128"/>
            </a:ext>
            <a:ext uri="{FF2B5EF4-FFF2-40B4-BE49-F238E27FC236}">
              <a16:creationId xmlns:a16="http://schemas.microsoft.com/office/drawing/2014/main" id="{00000000-0008-0000-0E00-000069000000}"/>
            </a:ext>
          </a:extLst>
        </xdr:cNvPr>
        <xdr:cNvSpPr/>
      </xdr:nvSpPr>
      <xdr:spPr bwMode="auto">
        <a:xfrm>
          <a:off x="3562350" y="5657850"/>
          <a:ext cx="254000" cy="273050"/>
        </a:xfrm>
        <a:prstGeom prst="rect">
          <a:avLst/>
        </a:prstGeom>
        <a:noFill/>
        <a:ln w="9525">
          <a:miter lim="800000"/>
          <a:headEnd/>
          <a:tailEnd/>
        </a:ln>
      </xdr:spPr>
    </xdr:sp>
    <xdr:clientData/>
  </xdr:twoCellAnchor>
  <xdr:twoCellAnchor editAs="oneCell">
    <xdr:from>
      <xdr:col>2</xdr:col>
      <xdr:colOff>0</xdr:colOff>
      <xdr:row>27</xdr:row>
      <xdr:rowOff>0</xdr:rowOff>
    </xdr:from>
    <xdr:to>
      <xdr:col>2</xdr:col>
      <xdr:colOff>152400</xdr:colOff>
      <xdr:row>27</xdr:row>
      <xdr:rowOff>152400</xdr:rowOff>
    </xdr:to>
    <xdr:sp macro="" textlink="">
      <xdr:nvSpPr>
        <xdr:cNvPr id="106" name="Control 105" hidden="1">
          <a:extLst>
            <a:ext uri="{63B3BB69-23CF-44E3-9099-C40C66FF867C}">
              <a14:compatExt xmlns:a14="http://schemas.microsoft.com/office/drawing/2010/main" spid="_x0000_s1129"/>
            </a:ext>
            <a:ext uri="{FF2B5EF4-FFF2-40B4-BE49-F238E27FC236}">
              <a16:creationId xmlns:a16="http://schemas.microsoft.com/office/drawing/2014/main" id="{00000000-0008-0000-0E00-00006A000000}"/>
            </a:ext>
          </a:extLst>
        </xdr:cNvPr>
        <xdr:cNvSpPr/>
      </xdr:nvSpPr>
      <xdr:spPr bwMode="auto">
        <a:xfrm>
          <a:off x="3562350" y="5657850"/>
          <a:ext cx="152400" cy="152400"/>
        </a:xfrm>
        <a:prstGeom prst="rect">
          <a:avLst/>
        </a:prstGeom>
        <a:noFill/>
        <a:ln w="9525">
          <a:miter lim="800000"/>
          <a:headEnd/>
          <a:tailEnd/>
        </a:ln>
      </xdr:spPr>
    </xdr:sp>
    <xdr:clientData/>
  </xdr:twoCellAnchor>
  <xdr:twoCellAnchor editAs="oneCell">
    <xdr:from>
      <xdr:col>2</xdr:col>
      <xdr:colOff>0</xdr:colOff>
      <xdr:row>27</xdr:row>
      <xdr:rowOff>0</xdr:rowOff>
    </xdr:from>
    <xdr:to>
      <xdr:col>2</xdr:col>
      <xdr:colOff>152400</xdr:colOff>
      <xdr:row>27</xdr:row>
      <xdr:rowOff>152400</xdr:rowOff>
    </xdr:to>
    <xdr:sp macro="" textlink="">
      <xdr:nvSpPr>
        <xdr:cNvPr id="107" name="Control 106" hidden="1">
          <a:extLst>
            <a:ext uri="{63B3BB69-23CF-44E3-9099-C40C66FF867C}">
              <a14:compatExt xmlns:a14="http://schemas.microsoft.com/office/drawing/2010/main" spid="_x0000_s1130"/>
            </a:ext>
            <a:ext uri="{FF2B5EF4-FFF2-40B4-BE49-F238E27FC236}">
              <a16:creationId xmlns:a16="http://schemas.microsoft.com/office/drawing/2014/main" id="{00000000-0008-0000-0E00-00006B000000}"/>
            </a:ext>
          </a:extLst>
        </xdr:cNvPr>
        <xdr:cNvSpPr/>
      </xdr:nvSpPr>
      <xdr:spPr bwMode="auto">
        <a:xfrm>
          <a:off x="3562350" y="5657850"/>
          <a:ext cx="152400" cy="152400"/>
        </a:xfrm>
        <a:prstGeom prst="rect">
          <a:avLst/>
        </a:prstGeom>
        <a:noFill/>
        <a:ln w="9525">
          <a:miter lim="800000"/>
          <a:headEnd/>
          <a:tailEnd/>
        </a:ln>
      </xdr:spPr>
    </xdr:sp>
    <xdr:clientData/>
  </xdr:twoCellAnchor>
  <xdr:twoCellAnchor editAs="oneCell">
    <xdr:from>
      <xdr:col>0</xdr:col>
      <xdr:colOff>0</xdr:colOff>
      <xdr:row>28</xdr:row>
      <xdr:rowOff>0</xdr:rowOff>
    </xdr:from>
    <xdr:to>
      <xdr:col>0</xdr:col>
      <xdr:colOff>139700</xdr:colOff>
      <xdr:row>28</xdr:row>
      <xdr:rowOff>139700</xdr:rowOff>
    </xdr:to>
    <xdr:sp macro="" textlink="">
      <xdr:nvSpPr>
        <xdr:cNvPr id="108" name="Control 107" hidden="1">
          <a:extLst>
            <a:ext uri="{63B3BB69-23CF-44E3-9099-C40C66FF867C}">
              <a14:compatExt xmlns:a14="http://schemas.microsoft.com/office/drawing/2010/main" spid="_x0000_s1131"/>
            </a:ext>
            <a:ext uri="{FF2B5EF4-FFF2-40B4-BE49-F238E27FC236}">
              <a16:creationId xmlns:a16="http://schemas.microsoft.com/office/drawing/2014/main" id="{00000000-0008-0000-0E00-00006C000000}"/>
            </a:ext>
          </a:extLst>
        </xdr:cNvPr>
        <xdr:cNvSpPr/>
      </xdr:nvSpPr>
      <xdr:spPr bwMode="auto">
        <a:xfrm>
          <a:off x="0" y="5867400"/>
          <a:ext cx="139700" cy="139700"/>
        </a:xfrm>
        <a:prstGeom prst="rect">
          <a:avLst/>
        </a:prstGeom>
        <a:noFill/>
        <a:ln w="9525">
          <a:miter lim="800000"/>
          <a:headEnd/>
          <a:tailEnd/>
        </a:ln>
      </xdr:spPr>
    </xdr:sp>
    <xdr:clientData/>
  </xdr:twoCellAnchor>
  <xdr:twoCellAnchor editAs="oneCell">
    <xdr:from>
      <xdr:col>2</xdr:col>
      <xdr:colOff>0</xdr:colOff>
      <xdr:row>28</xdr:row>
      <xdr:rowOff>0</xdr:rowOff>
    </xdr:from>
    <xdr:to>
      <xdr:col>2</xdr:col>
      <xdr:colOff>254000</xdr:colOff>
      <xdr:row>29</xdr:row>
      <xdr:rowOff>82550</xdr:rowOff>
    </xdr:to>
    <xdr:sp macro="" textlink="">
      <xdr:nvSpPr>
        <xdr:cNvPr id="109" name="Control 108" hidden="1">
          <a:extLst>
            <a:ext uri="{63B3BB69-23CF-44E3-9099-C40C66FF867C}">
              <a14:compatExt xmlns:a14="http://schemas.microsoft.com/office/drawing/2010/main" spid="_x0000_s1132"/>
            </a:ext>
            <a:ext uri="{FF2B5EF4-FFF2-40B4-BE49-F238E27FC236}">
              <a16:creationId xmlns:a16="http://schemas.microsoft.com/office/drawing/2014/main" id="{00000000-0008-0000-0E00-00006D000000}"/>
            </a:ext>
          </a:extLst>
        </xdr:cNvPr>
        <xdr:cNvSpPr/>
      </xdr:nvSpPr>
      <xdr:spPr bwMode="auto">
        <a:xfrm>
          <a:off x="3562350" y="5867400"/>
          <a:ext cx="254000" cy="273050"/>
        </a:xfrm>
        <a:prstGeom prst="rect">
          <a:avLst/>
        </a:prstGeom>
        <a:noFill/>
        <a:ln w="9525">
          <a:miter lim="800000"/>
          <a:headEnd/>
          <a:tailEnd/>
        </a:ln>
      </xdr:spPr>
    </xdr:sp>
    <xdr:clientData/>
  </xdr:twoCellAnchor>
  <xdr:twoCellAnchor editAs="oneCell">
    <xdr:from>
      <xdr:col>2</xdr:col>
      <xdr:colOff>0</xdr:colOff>
      <xdr:row>28</xdr:row>
      <xdr:rowOff>0</xdr:rowOff>
    </xdr:from>
    <xdr:to>
      <xdr:col>2</xdr:col>
      <xdr:colOff>152400</xdr:colOff>
      <xdr:row>28</xdr:row>
      <xdr:rowOff>152400</xdr:rowOff>
    </xdr:to>
    <xdr:sp macro="" textlink="">
      <xdr:nvSpPr>
        <xdr:cNvPr id="110" name="Control 109" hidden="1">
          <a:extLst>
            <a:ext uri="{63B3BB69-23CF-44E3-9099-C40C66FF867C}">
              <a14:compatExt xmlns:a14="http://schemas.microsoft.com/office/drawing/2010/main" spid="_x0000_s1133"/>
            </a:ext>
            <a:ext uri="{FF2B5EF4-FFF2-40B4-BE49-F238E27FC236}">
              <a16:creationId xmlns:a16="http://schemas.microsoft.com/office/drawing/2014/main" id="{00000000-0008-0000-0E00-00006E000000}"/>
            </a:ext>
          </a:extLst>
        </xdr:cNvPr>
        <xdr:cNvSpPr/>
      </xdr:nvSpPr>
      <xdr:spPr bwMode="auto">
        <a:xfrm>
          <a:off x="3562350" y="5867400"/>
          <a:ext cx="152400" cy="152400"/>
        </a:xfrm>
        <a:prstGeom prst="rect">
          <a:avLst/>
        </a:prstGeom>
        <a:noFill/>
        <a:ln w="9525">
          <a:miter lim="800000"/>
          <a:headEnd/>
          <a:tailEnd/>
        </a:ln>
      </xdr:spPr>
    </xdr:sp>
    <xdr:clientData/>
  </xdr:twoCellAnchor>
  <xdr:twoCellAnchor editAs="oneCell">
    <xdr:from>
      <xdr:col>2</xdr:col>
      <xdr:colOff>0</xdr:colOff>
      <xdr:row>28</xdr:row>
      <xdr:rowOff>0</xdr:rowOff>
    </xdr:from>
    <xdr:to>
      <xdr:col>2</xdr:col>
      <xdr:colOff>152400</xdr:colOff>
      <xdr:row>28</xdr:row>
      <xdr:rowOff>152400</xdr:rowOff>
    </xdr:to>
    <xdr:sp macro="" textlink="">
      <xdr:nvSpPr>
        <xdr:cNvPr id="111" name="Control 110" hidden="1">
          <a:extLst>
            <a:ext uri="{63B3BB69-23CF-44E3-9099-C40C66FF867C}">
              <a14:compatExt xmlns:a14="http://schemas.microsoft.com/office/drawing/2010/main" spid="_x0000_s1134"/>
            </a:ext>
            <a:ext uri="{FF2B5EF4-FFF2-40B4-BE49-F238E27FC236}">
              <a16:creationId xmlns:a16="http://schemas.microsoft.com/office/drawing/2014/main" id="{00000000-0008-0000-0E00-00006F000000}"/>
            </a:ext>
          </a:extLst>
        </xdr:cNvPr>
        <xdr:cNvSpPr/>
      </xdr:nvSpPr>
      <xdr:spPr bwMode="auto">
        <a:xfrm>
          <a:off x="3562350" y="5867400"/>
          <a:ext cx="152400" cy="152400"/>
        </a:xfrm>
        <a:prstGeom prst="rect">
          <a:avLst/>
        </a:prstGeom>
        <a:noFill/>
        <a:ln w="9525">
          <a:miter lim="800000"/>
          <a:headEnd/>
          <a:tailEnd/>
        </a:ln>
      </xdr:spPr>
    </xdr:sp>
    <xdr:clientData/>
  </xdr:twoCellAnchor>
  <xdr:twoCellAnchor editAs="oneCell">
    <xdr:from>
      <xdr:col>0</xdr:col>
      <xdr:colOff>0</xdr:colOff>
      <xdr:row>29</xdr:row>
      <xdr:rowOff>0</xdr:rowOff>
    </xdr:from>
    <xdr:to>
      <xdr:col>0</xdr:col>
      <xdr:colOff>139700</xdr:colOff>
      <xdr:row>29</xdr:row>
      <xdr:rowOff>139700</xdr:rowOff>
    </xdr:to>
    <xdr:sp macro="" textlink="">
      <xdr:nvSpPr>
        <xdr:cNvPr id="112" name="Control 111" hidden="1">
          <a:extLst>
            <a:ext uri="{63B3BB69-23CF-44E3-9099-C40C66FF867C}">
              <a14:compatExt xmlns:a14="http://schemas.microsoft.com/office/drawing/2010/main" spid="_x0000_s1135"/>
            </a:ext>
            <a:ext uri="{FF2B5EF4-FFF2-40B4-BE49-F238E27FC236}">
              <a16:creationId xmlns:a16="http://schemas.microsoft.com/office/drawing/2014/main" id="{00000000-0008-0000-0E00-000070000000}"/>
            </a:ext>
          </a:extLst>
        </xdr:cNvPr>
        <xdr:cNvSpPr/>
      </xdr:nvSpPr>
      <xdr:spPr bwMode="auto">
        <a:xfrm>
          <a:off x="0" y="6076950"/>
          <a:ext cx="139700" cy="139700"/>
        </a:xfrm>
        <a:prstGeom prst="rect">
          <a:avLst/>
        </a:prstGeom>
        <a:noFill/>
        <a:ln w="9525">
          <a:miter lim="800000"/>
          <a:headEnd/>
          <a:tailEnd/>
        </a:ln>
      </xdr:spPr>
    </xdr:sp>
    <xdr:clientData/>
  </xdr:twoCellAnchor>
  <xdr:twoCellAnchor editAs="oneCell">
    <xdr:from>
      <xdr:col>2</xdr:col>
      <xdr:colOff>0</xdr:colOff>
      <xdr:row>29</xdr:row>
      <xdr:rowOff>0</xdr:rowOff>
    </xdr:from>
    <xdr:to>
      <xdr:col>2</xdr:col>
      <xdr:colOff>254000</xdr:colOff>
      <xdr:row>30</xdr:row>
      <xdr:rowOff>82550</xdr:rowOff>
    </xdr:to>
    <xdr:sp macro="" textlink="">
      <xdr:nvSpPr>
        <xdr:cNvPr id="113" name="Control 112" hidden="1">
          <a:extLst>
            <a:ext uri="{63B3BB69-23CF-44E3-9099-C40C66FF867C}">
              <a14:compatExt xmlns:a14="http://schemas.microsoft.com/office/drawing/2010/main" spid="_x0000_s1136"/>
            </a:ext>
            <a:ext uri="{FF2B5EF4-FFF2-40B4-BE49-F238E27FC236}">
              <a16:creationId xmlns:a16="http://schemas.microsoft.com/office/drawing/2014/main" id="{00000000-0008-0000-0E00-000071000000}"/>
            </a:ext>
          </a:extLst>
        </xdr:cNvPr>
        <xdr:cNvSpPr/>
      </xdr:nvSpPr>
      <xdr:spPr bwMode="auto">
        <a:xfrm>
          <a:off x="3562350" y="6076950"/>
          <a:ext cx="254000" cy="273050"/>
        </a:xfrm>
        <a:prstGeom prst="rect">
          <a:avLst/>
        </a:prstGeom>
        <a:noFill/>
        <a:ln w="9525">
          <a:miter lim="800000"/>
          <a:headEnd/>
          <a:tailEnd/>
        </a:ln>
      </xdr:spPr>
    </xdr:sp>
    <xdr:clientData/>
  </xdr:twoCellAnchor>
  <xdr:twoCellAnchor editAs="oneCell">
    <xdr:from>
      <xdr:col>2</xdr:col>
      <xdr:colOff>0</xdr:colOff>
      <xdr:row>29</xdr:row>
      <xdr:rowOff>0</xdr:rowOff>
    </xdr:from>
    <xdr:to>
      <xdr:col>2</xdr:col>
      <xdr:colOff>152400</xdr:colOff>
      <xdr:row>29</xdr:row>
      <xdr:rowOff>152400</xdr:rowOff>
    </xdr:to>
    <xdr:sp macro="" textlink="">
      <xdr:nvSpPr>
        <xdr:cNvPr id="114" name="Control 113" hidden="1">
          <a:extLst>
            <a:ext uri="{63B3BB69-23CF-44E3-9099-C40C66FF867C}">
              <a14:compatExt xmlns:a14="http://schemas.microsoft.com/office/drawing/2010/main" spid="_x0000_s1137"/>
            </a:ext>
            <a:ext uri="{FF2B5EF4-FFF2-40B4-BE49-F238E27FC236}">
              <a16:creationId xmlns:a16="http://schemas.microsoft.com/office/drawing/2014/main" id="{00000000-0008-0000-0E00-000072000000}"/>
            </a:ext>
          </a:extLst>
        </xdr:cNvPr>
        <xdr:cNvSpPr/>
      </xdr:nvSpPr>
      <xdr:spPr bwMode="auto">
        <a:xfrm>
          <a:off x="3562350" y="6076950"/>
          <a:ext cx="152400" cy="152400"/>
        </a:xfrm>
        <a:prstGeom prst="rect">
          <a:avLst/>
        </a:prstGeom>
        <a:noFill/>
        <a:ln w="9525">
          <a:miter lim="800000"/>
          <a:headEnd/>
          <a:tailEnd/>
        </a:ln>
      </xdr:spPr>
    </xdr:sp>
    <xdr:clientData/>
  </xdr:twoCellAnchor>
  <xdr:twoCellAnchor editAs="oneCell">
    <xdr:from>
      <xdr:col>2</xdr:col>
      <xdr:colOff>0</xdr:colOff>
      <xdr:row>29</xdr:row>
      <xdr:rowOff>0</xdr:rowOff>
    </xdr:from>
    <xdr:to>
      <xdr:col>2</xdr:col>
      <xdr:colOff>152400</xdr:colOff>
      <xdr:row>29</xdr:row>
      <xdr:rowOff>152400</xdr:rowOff>
    </xdr:to>
    <xdr:sp macro="" textlink="">
      <xdr:nvSpPr>
        <xdr:cNvPr id="115" name="Control 114" hidden="1">
          <a:extLst>
            <a:ext uri="{63B3BB69-23CF-44E3-9099-C40C66FF867C}">
              <a14:compatExt xmlns:a14="http://schemas.microsoft.com/office/drawing/2010/main" spid="_x0000_s1138"/>
            </a:ext>
            <a:ext uri="{FF2B5EF4-FFF2-40B4-BE49-F238E27FC236}">
              <a16:creationId xmlns:a16="http://schemas.microsoft.com/office/drawing/2014/main" id="{00000000-0008-0000-0E00-000073000000}"/>
            </a:ext>
          </a:extLst>
        </xdr:cNvPr>
        <xdr:cNvSpPr/>
      </xdr:nvSpPr>
      <xdr:spPr bwMode="auto">
        <a:xfrm>
          <a:off x="3562350" y="6076950"/>
          <a:ext cx="152400" cy="152400"/>
        </a:xfrm>
        <a:prstGeom prst="rect">
          <a:avLst/>
        </a:prstGeom>
        <a:noFill/>
        <a:ln w="9525">
          <a:miter lim="800000"/>
          <a:headEnd/>
          <a:tailEnd/>
        </a:ln>
      </xdr:spPr>
    </xdr:sp>
    <xdr:clientData/>
  </xdr:twoCellAnchor>
  <xdr:twoCellAnchor editAs="oneCell">
    <xdr:from>
      <xdr:col>0</xdr:col>
      <xdr:colOff>0</xdr:colOff>
      <xdr:row>30</xdr:row>
      <xdr:rowOff>0</xdr:rowOff>
    </xdr:from>
    <xdr:to>
      <xdr:col>0</xdr:col>
      <xdr:colOff>139700</xdr:colOff>
      <xdr:row>30</xdr:row>
      <xdr:rowOff>139700</xdr:rowOff>
    </xdr:to>
    <xdr:sp macro="" textlink="">
      <xdr:nvSpPr>
        <xdr:cNvPr id="116" name="Control 115" hidden="1">
          <a:extLst>
            <a:ext uri="{63B3BB69-23CF-44E3-9099-C40C66FF867C}">
              <a14:compatExt xmlns:a14="http://schemas.microsoft.com/office/drawing/2010/main" spid="_x0000_s1139"/>
            </a:ext>
            <a:ext uri="{FF2B5EF4-FFF2-40B4-BE49-F238E27FC236}">
              <a16:creationId xmlns:a16="http://schemas.microsoft.com/office/drawing/2014/main" id="{00000000-0008-0000-0E00-000074000000}"/>
            </a:ext>
          </a:extLst>
        </xdr:cNvPr>
        <xdr:cNvSpPr/>
      </xdr:nvSpPr>
      <xdr:spPr bwMode="auto">
        <a:xfrm>
          <a:off x="0" y="6286500"/>
          <a:ext cx="139700" cy="139700"/>
        </a:xfrm>
        <a:prstGeom prst="rect">
          <a:avLst/>
        </a:prstGeom>
        <a:noFill/>
        <a:ln w="9525">
          <a:miter lim="800000"/>
          <a:headEnd/>
          <a:tailEnd/>
        </a:ln>
      </xdr:spPr>
    </xdr:sp>
    <xdr:clientData/>
  </xdr:twoCellAnchor>
  <xdr:twoCellAnchor editAs="oneCell">
    <xdr:from>
      <xdr:col>2</xdr:col>
      <xdr:colOff>0</xdr:colOff>
      <xdr:row>30</xdr:row>
      <xdr:rowOff>0</xdr:rowOff>
    </xdr:from>
    <xdr:to>
      <xdr:col>2</xdr:col>
      <xdr:colOff>254000</xdr:colOff>
      <xdr:row>31</xdr:row>
      <xdr:rowOff>82550</xdr:rowOff>
    </xdr:to>
    <xdr:sp macro="" textlink="">
      <xdr:nvSpPr>
        <xdr:cNvPr id="117" name="Control 116" hidden="1">
          <a:extLst>
            <a:ext uri="{63B3BB69-23CF-44E3-9099-C40C66FF867C}">
              <a14:compatExt xmlns:a14="http://schemas.microsoft.com/office/drawing/2010/main" spid="_x0000_s1140"/>
            </a:ext>
            <a:ext uri="{FF2B5EF4-FFF2-40B4-BE49-F238E27FC236}">
              <a16:creationId xmlns:a16="http://schemas.microsoft.com/office/drawing/2014/main" id="{00000000-0008-0000-0E00-000075000000}"/>
            </a:ext>
          </a:extLst>
        </xdr:cNvPr>
        <xdr:cNvSpPr/>
      </xdr:nvSpPr>
      <xdr:spPr bwMode="auto">
        <a:xfrm>
          <a:off x="3562350" y="6286500"/>
          <a:ext cx="254000" cy="273050"/>
        </a:xfrm>
        <a:prstGeom prst="rect">
          <a:avLst/>
        </a:prstGeom>
        <a:noFill/>
        <a:ln w="9525">
          <a:miter lim="800000"/>
          <a:headEnd/>
          <a:tailEnd/>
        </a:ln>
      </xdr:spPr>
    </xdr:sp>
    <xdr:clientData/>
  </xdr:twoCellAnchor>
  <xdr:twoCellAnchor editAs="oneCell">
    <xdr:from>
      <xdr:col>2</xdr:col>
      <xdr:colOff>0</xdr:colOff>
      <xdr:row>30</xdr:row>
      <xdr:rowOff>0</xdr:rowOff>
    </xdr:from>
    <xdr:to>
      <xdr:col>2</xdr:col>
      <xdr:colOff>152400</xdr:colOff>
      <xdr:row>30</xdr:row>
      <xdr:rowOff>152400</xdr:rowOff>
    </xdr:to>
    <xdr:sp macro="" textlink="">
      <xdr:nvSpPr>
        <xdr:cNvPr id="118" name="Control 117" hidden="1">
          <a:extLst>
            <a:ext uri="{63B3BB69-23CF-44E3-9099-C40C66FF867C}">
              <a14:compatExt xmlns:a14="http://schemas.microsoft.com/office/drawing/2010/main" spid="_x0000_s1141"/>
            </a:ext>
            <a:ext uri="{FF2B5EF4-FFF2-40B4-BE49-F238E27FC236}">
              <a16:creationId xmlns:a16="http://schemas.microsoft.com/office/drawing/2014/main" id="{00000000-0008-0000-0E00-000076000000}"/>
            </a:ext>
          </a:extLst>
        </xdr:cNvPr>
        <xdr:cNvSpPr/>
      </xdr:nvSpPr>
      <xdr:spPr bwMode="auto">
        <a:xfrm>
          <a:off x="3562350" y="6286500"/>
          <a:ext cx="152400" cy="152400"/>
        </a:xfrm>
        <a:prstGeom prst="rect">
          <a:avLst/>
        </a:prstGeom>
        <a:noFill/>
        <a:ln w="9525">
          <a:miter lim="800000"/>
          <a:headEnd/>
          <a:tailEnd/>
        </a:ln>
      </xdr:spPr>
    </xdr:sp>
    <xdr:clientData/>
  </xdr:twoCellAnchor>
  <xdr:twoCellAnchor editAs="oneCell">
    <xdr:from>
      <xdr:col>2</xdr:col>
      <xdr:colOff>0</xdr:colOff>
      <xdr:row>30</xdr:row>
      <xdr:rowOff>0</xdr:rowOff>
    </xdr:from>
    <xdr:to>
      <xdr:col>2</xdr:col>
      <xdr:colOff>152400</xdr:colOff>
      <xdr:row>30</xdr:row>
      <xdr:rowOff>152400</xdr:rowOff>
    </xdr:to>
    <xdr:sp macro="" textlink="">
      <xdr:nvSpPr>
        <xdr:cNvPr id="119" name="Control 118" hidden="1">
          <a:extLst>
            <a:ext uri="{63B3BB69-23CF-44E3-9099-C40C66FF867C}">
              <a14:compatExt xmlns:a14="http://schemas.microsoft.com/office/drawing/2010/main" spid="_x0000_s1142"/>
            </a:ext>
            <a:ext uri="{FF2B5EF4-FFF2-40B4-BE49-F238E27FC236}">
              <a16:creationId xmlns:a16="http://schemas.microsoft.com/office/drawing/2014/main" id="{00000000-0008-0000-0E00-000077000000}"/>
            </a:ext>
          </a:extLst>
        </xdr:cNvPr>
        <xdr:cNvSpPr/>
      </xdr:nvSpPr>
      <xdr:spPr bwMode="auto">
        <a:xfrm>
          <a:off x="3562350" y="6286500"/>
          <a:ext cx="152400" cy="152400"/>
        </a:xfrm>
        <a:prstGeom prst="rect">
          <a:avLst/>
        </a:prstGeom>
        <a:noFill/>
        <a:ln w="9525">
          <a:miter lim="800000"/>
          <a:headEnd/>
          <a:tailEnd/>
        </a:ln>
      </xdr:spPr>
    </xdr:sp>
    <xdr:clientData/>
  </xdr:twoCellAnchor>
  <xdr:twoCellAnchor editAs="oneCell">
    <xdr:from>
      <xdr:col>0</xdr:col>
      <xdr:colOff>0</xdr:colOff>
      <xdr:row>31</xdr:row>
      <xdr:rowOff>0</xdr:rowOff>
    </xdr:from>
    <xdr:to>
      <xdr:col>0</xdr:col>
      <xdr:colOff>139700</xdr:colOff>
      <xdr:row>31</xdr:row>
      <xdr:rowOff>139700</xdr:rowOff>
    </xdr:to>
    <xdr:sp macro="" textlink="">
      <xdr:nvSpPr>
        <xdr:cNvPr id="120" name="Control 119" hidden="1">
          <a:extLst>
            <a:ext uri="{63B3BB69-23CF-44E3-9099-C40C66FF867C}">
              <a14:compatExt xmlns:a14="http://schemas.microsoft.com/office/drawing/2010/main" spid="_x0000_s1143"/>
            </a:ext>
            <a:ext uri="{FF2B5EF4-FFF2-40B4-BE49-F238E27FC236}">
              <a16:creationId xmlns:a16="http://schemas.microsoft.com/office/drawing/2014/main" id="{00000000-0008-0000-0E00-000078000000}"/>
            </a:ext>
          </a:extLst>
        </xdr:cNvPr>
        <xdr:cNvSpPr/>
      </xdr:nvSpPr>
      <xdr:spPr bwMode="auto">
        <a:xfrm>
          <a:off x="0" y="6496050"/>
          <a:ext cx="139700" cy="139700"/>
        </a:xfrm>
        <a:prstGeom prst="rect">
          <a:avLst/>
        </a:prstGeom>
        <a:noFill/>
        <a:ln w="9525">
          <a:miter lim="800000"/>
          <a:headEnd/>
          <a:tailEnd/>
        </a:ln>
      </xdr:spPr>
    </xdr:sp>
    <xdr:clientData/>
  </xdr:twoCellAnchor>
  <xdr:twoCellAnchor editAs="oneCell">
    <xdr:from>
      <xdr:col>2</xdr:col>
      <xdr:colOff>0</xdr:colOff>
      <xdr:row>31</xdr:row>
      <xdr:rowOff>0</xdr:rowOff>
    </xdr:from>
    <xdr:to>
      <xdr:col>2</xdr:col>
      <xdr:colOff>254000</xdr:colOff>
      <xdr:row>32</xdr:row>
      <xdr:rowOff>82550</xdr:rowOff>
    </xdr:to>
    <xdr:sp macro="" textlink="">
      <xdr:nvSpPr>
        <xdr:cNvPr id="121" name="Control 120" hidden="1">
          <a:extLst>
            <a:ext uri="{63B3BB69-23CF-44E3-9099-C40C66FF867C}">
              <a14:compatExt xmlns:a14="http://schemas.microsoft.com/office/drawing/2010/main" spid="_x0000_s1144"/>
            </a:ext>
            <a:ext uri="{FF2B5EF4-FFF2-40B4-BE49-F238E27FC236}">
              <a16:creationId xmlns:a16="http://schemas.microsoft.com/office/drawing/2014/main" id="{00000000-0008-0000-0E00-000079000000}"/>
            </a:ext>
          </a:extLst>
        </xdr:cNvPr>
        <xdr:cNvSpPr/>
      </xdr:nvSpPr>
      <xdr:spPr bwMode="auto">
        <a:xfrm>
          <a:off x="3562350" y="6496050"/>
          <a:ext cx="254000" cy="273050"/>
        </a:xfrm>
        <a:prstGeom prst="rect">
          <a:avLst/>
        </a:prstGeom>
        <a:noFill/>
        <a:ln w="9525">
          <a:miter lim="800000"/>
          <a:headEnd/>
          <a:tailEnd/>
        </a:ln>
      </xdr:spPr>
    </xdr:sp>
    <xdr:clientData/>
  </xdr:twoCellAnchor>
  <xdr:twoCellAnchor editAs="oneCell">
    <xdr:from>
      <xdr:col>2</xdr:col>
      <xdr:colOff>0</xdr:colOff>
      <xdr:row>31</xdr:row>
      <xdr:rowOff>0</xdr:rowOff>
    </xdr:from>
    <xdr:to>
      <xdr:col>2</xdr:col>
      <xdr:colOff>152400</xdr:colOff>
      <xdr:row>31</xdr:row>
      <xdr:rowOff>152400</xdr:rowOff>
    </xdr:to>
    <xdr:sp macro="" textlink="">
      <xdr:nvSpPr>
        <xdr:cNvPr id="122" name="Control 121" hidden="1">
          <a:extLst>
            <a:ext uri="{63B3BB69-23CF-44E3-9099-C40C66FF867C}">
              <a14:compatExt xmlns:a14="http://schemas.microsoft.com/office/drawing/2010/main" spid="_x0000_s1145"/>
            </a:ext>
            <a:ext uri="{FF2B5EF4-FFF2-40B4-BE49-F238E27FC236}">
              <a16:creationId xmlns:a16="http://schemas.microsoft.com/office/drawing/2014/main" id="{00000000-0008-0000-0E00-00007A000000}"/>
            </a:ext>
          </a:extLst>
        </xdr:cNvPr>
        <xdr:cNvSpPr/>
      </xdr:nvSpPr>
      <xdr:spPr bwMode="auto">
        <a:xfrm>
          <a:off x="3562350" y="6496050"/>
          <a:ext cx="152400" cy="152400"/>
        </a:xfrm>
        <a:prstGeom prst="rect">
          <a:avLst/>
        </a:prstGeom>
        <a:noFill/>
        <a:ln w="9525">
          <a:miter lim="800000"/>
          <a:headEnd/>
          <a:tailEnd/>
        </a:ln>
      </xdr:spPr>
    </xdr:sp>
    <xdr:clientData/>
  </xdr:twoCellAnchor>
  <xdr:twoCellAnchor editAs="oneCell">
    <xdr:from>
      <xdr:col>2</xdr:col>
      <xdr:colOff>0</xdr:colOff>
      <xdr:row>31</xdr:row>
      <xdr:rowOff>0</xdr:rowOff>
    </xdr:from>
    <xdr:to>
      <xdr:col>2</xdr:col>
      <xdr:colOff>152400</xdr:colOff>
      <xdr:row>31</xdr:row>
      <xdr:rowOff>152400</xdr:rowOff>
    </xdr:to>
    <xdr:sp macro="" textlink="">
      <xdr:nvSpPr>
        <xdr:cNvPr id="123" name="Control 122" hidden="1">
          <a:extLst>
            <a:ext uri="{63B3BB69-23CF-44E3-9099-C40C66FF867C}">
              <a14:compatExt xmlns:a14="http://schemas.microsoft.com/office/drawing/2010/main" spid="_x0000_s1146"/>
            </a:ext>
            <a:ext uri="{FF2B5EF4-FFF2-40B4-BE49-F238E27FC236}">
              <a16:creationId xmlns:a16="http://schemas.microsoft.com/office/drawing/2014/main" id="{00000000-0008-0000-0E00-00007B000000}"/>
            </a:ext>
          </a:extLst>
        </xdr:cNvPr>
        <xdr:cNvSpPr/>
      </xdr:nvSpPr>
      <xdr:spPr bwMode="auto">
        <a:xfrm>
          <a:off x="3562350" y="6496050"/>
          <a:ext cx="152400" cy="152400"/>
        </a:xfrm>
        <a:prstGeom prst="rect">
          <a:avLst/>
        </a:prstGeom>
        <a:noFill/>
        <a:ln w="9525">
          <a:miter lim="800000"/>
          <a:headEnd/>
          <a:tailEnd/>
        </a:ln>
      </xdr:spPr>
    </xdr:sp>
    <xdr:clientData/>
  </xdr:twoCellAnchor>
  <xdr:twoCellAnchor editAs="oneCell">
    <xdr:from>
      <xdr:col>0</xdr:col>
      <xdr:colOff>0</xdr:colOff>
      <xdr:row>32</xdr:row>
      <xdr:rowOff>0</xdr:rowOff>
    </xdr:from>
    <xdr:to>
      <xdr:col>0</xdr:col>
      <xdr:colOff>139700</xdr:colOff>
      <xdr:row>32</xdr:row>
      <xdr:rowOff>139700</xdr:rowOff>
    </xdr:to>
    <xdr:sp macro="" textlink="">
      <xdr:nvSpPr>
        <xdr:cNvPr id="124" name="Control 123" hidden="1">
          <a:extLst>
            <a:ext uri="{63B3BB69-23CF-44E3-9099-C40C66FF867C}">
              <a14:compatExt xmlns:a14="http://schemas.microsoft.com/office/drawing/2010/main" spid="_x0000_s1147"/>
            </a:ext>
            <a:ext uri="{FF2B5EF4-FFF2-40B4-BE49-F238E27FC236}">
              <a16:creationId xmlns:a16="http://schemas.microsoft.com/office/drawing/2014/main" id="{00000000-0008-0000-0E00-00007C000000}"/>
            </a:ext>
          </a:extLst>
        </xdr:cNvPr>
        <xdr:cNvSpPr/>
      </xdr:nvSpPr>
      <xdr:spPr bwMode="auto">
        <a:xfrm>
          <a:off x="0" y="6705600"/>
          <a:ext cx="139700" cy="139700"/>
        </a:xfrm>
        <a:prstGeom prst="rect">
          <a:avLst/>
        </a:prstGeom>
        <a:noFill/>
        <a:ln w="9525">
          <a:miter lim="800000"/>
          <a:headEnd/>
          <a:tailEnd/>
        </a:ln>
      </xdr:spPr>
    </xdr:sp>
    <xdr:clientData/>
  </xdr:twoCellAnchor>
  <xdr:twoCellAnchor editAs="oneCell">
    <xdr:from>
      <xdr:col>2</xdr:col>
      <xdr:colOff>0</xdr:colOff>
      <xdr:row>32</xdr:row>
      <xdr:rowOff>0</xdr:rowOff>
    </xdr:from>
    <xdr:to>
      <xdr:col>2</xdr:col>
      <xdr:colOff>254000</xdr:colOff>
      <xdr:row>33</xdr:row>
      <xdr:rowOff>82550</xdr:rowOff>
    </xdr:to>
    <xdr:sp macro="" textlink="">
      <xdr:nvSpPr>
        <xdr:cNvPr id="125" name="Control 124" hidden="1">
          <a:extLst>
            <a:ext uri="{63B3BB69-23CF-44E3-9099-C40C66FF867C}">
              <a14:compatExt xmlns:a14="http://schemas.microsoft.com/office/drawing/2010/main" spid="_x0000_s1148"/>
            </a:ext>
            <a:ext uri="{FF2B5EF4-FFF2-40B4-BE49-F238E27FC236}">
              <a16:creationId xmlns:a16="http://schemas.microsoft.com/office/drawing/2014/main" id="{00000000-0008-0000-0E00-00007D000000}"/>
            </a:ext>
          </a:extLst>
        </xdr:cNvPr>
        <xdr:cNvSpPr/>
      </xdr:nvSpPr>
      <xdr:spPr bwMode="auto">
        <a:xfrm>
          <a:off x="3562350" y="6705600"/>
          <a:ext cx="254000" cy="273050"/>
        </a:xfrm>
        <a:prstGeom prst="rect">
          <a:avLst/>
        </a:prstGeom>
        <a:noFill/>
        <a:ln w="9525">
          <a:miter lim="800000"/>
          <a:headEnd/>
          <a:tailEnd/>
        </a:ln>
      </xdr:spPr>
    </xdr:sp>
    <xdr:clientData/>
  </xdr:twoCellAnchor>
  <xdr:twoCellAnchor editAs="oneCell">
    <xdr:from>
      <xdr:col>2</xdr:col>
      <xdr:colOff>0</xdr:colOff>
      <xdr:row>32</xdr:row>
      <xdr:rowOff>0</xdr:rowOff>
    </xdr:from>
    <xdr:to>
      <xdr:col>2</xdr:col>
      <xdr:colOff>152400</xdr:colOff>
      <xdr:row>32</xdr:row>
      <xdr:rowOff>152400</xdr:rowOff>
    </xdr:to>
    <xdr:sp macro="" textlink="">
      <xdr:nvSpPr>
        <xdr:cNvPr id="126" name="Control 125" hidden="1">
          <a:extLst>
            <a:ext uri="{63B3BB69-23CF-44E3-9099-C40C66FF867C}">
              <a14:compatExt xmlns:a14="http://schemas.microsoft.com/office/drawing/2010/main" spid="_x0000_s1149"/>
            </a:ext>
            <a:ext uri="{FF2B5EF4-FFF2-40B4-BE49-F238E27FC236}">
              <a16:creationId xmlns:a16="http://schemas.microsoft.com/office/drawing/2014/main" id="{00000000-0008-0000-0E00-00007E000000}"/>
            </a:ext>
          </a:extLst>
        </xdr:cNvPr>
        <xdr:cNvSpPr/>
      </xdr:nvSpPr>
      <xdr:spPr bwMode="auto">
        <a:xfrm>
          <a:off x="3562350" y="6705600"/>
          <a:ext cx="152400" cy="152400"/>
        </a:xfrm>
        <a:prstGeom prst="rect">
          <a:avLst/>
        </a:prstGeom>
        <a:noFill/>
        <a:ln w="9525">
          <a:miter lim="800000"/>
          <a:headEnd/>
          <a:tailEnd/>
        </a:ln>
      </xdr:spPr>
    </xdr:sp>
    <xdr:clientData/>
  </xdr:twoCellAnchor>
  <xdr:twoCellAnchor editAs="oneCell">
    <xdr:from>
      <xdr:col>2</xdr:col>
      <xdr:colOff>0</xdr:colOff>
      <xdr:row>32</xdr:row>
      <xdr:rowOff>0</xdr:rowOff>
    </xdr:from>
    <xdr:to>
      <xdr:col>2</xdr:col>
      <xdr:colOff>152400</xdr:colOff>
      <xdr:row>32</xdr:row>
      <xdr:rowOff>152400</xdr:rowOff>
    </xdr:to>
    <xdr:sp macro="" textlink="">
      <xdr:nvSpPr>
        <xdr:cNvPr id="127" name="Control 126" hidden="1">
          <a:extLst>
            <a:ext uri="{63B3BB69-23CF-44E3-9099-C40C66FF867C}">
              <a14:compatExt xmlns:a14="http://schemas.microsoft.com/office/drawing/2010/main" spid="_x0000_s1150"/>
            </a:ext>
            <a:ext uri="{FF2B5EF4-FFF2-40B4-BE49-F238E27FC236}">
              <a16:creationId xmlns:a16="http://schemas.microsoft.com/office/drawing/2014/main" id="{00000000-0008-0000-0E00-00007F000000}"/>
            </a:ext>
          </a:extLst>
        </xdr:cNvPr>
        <xdr:cNvSpPr/>
      </xdr:nvSpPr>
      <xdr:spPr bwMode="auto">
        <a:xfrm>
          <a:off x="3562350" y="6705600"/>
          <a:ext cx="152400" cy="152400"/>
        </a:xfrm>
        <a:prstGeom prst="rect">
          <a:avLst/>
        </a:prstGeom>
        <a:noFill/>
        <a:ln w="9525">
          <a:miter lim="800000"/>
          <a:headEnd/>
          <a:tailEnd/>
        </a:ln>
      </xdr:spPr>
    </xdr:sp>
    <xdr:clientData/>
  </xdr:twoCellAnchor>
  <xdr:twoCellAnchor editAs="oneCell">
    <xdr:from>
      <xdr:col>0</xdr:col>
      <xdr:colOff>0</xdr:colOff>
      <xdr:row>33</xdr:row>
      <xdr:rowOff>0</xdr:rowOff>
    </xdr:from>
    <xdr:to>
      <xdr:col>0</xdr:col>
      <xdr:colOff>139700</xdr:colOff>
      <xdr:row>33</xdr:row>
      <xdr:rowOff>139700</xdr:rowOff>
    </xdr:to>
    <xdr:sp macro="" textlink="">
      <xdr:nvSpPr>
        <xdr:cNvPr id="128" name="Control 127" hidden="1">
          <a:extLst>
            <a:ext uri="{63B3BB69-23CF-44E3-9099-C40C66FF867C}">
              <a14:compatExt xmlns:a14="http://schemas.microsoft.com/office/drawing/2010/main" spid="_x0000_s1151"/>
            </a:ext>
            <a:ext uri="{FF2B5EF4-FFF2-40B4-BE49-F238E27FC236}">
              <a16:creationId xmlns:a16="http://schemas.microsoft.com/office/drawing/2014/main" id="{00000000-0008-0000-0E00-000080000000}"/>
            </a:ext>
          </a:extLst>
        </xdr:cNvPr>
        <xdr:cNvSpPr/>
      </xdr:nvSpPr>
      <xdr:spPr bwMode="auto">
        <a:xfrm>
          <a:off x="0" y="6915150"/>
          <a:ext cx="139700" cy="139700"/>
        </a:xfrm>
        <a:prstGeom prst="rect">
          <a:avLst/>
        </a:prstGeom>
        <a:noFill/>
        <a:ln w="9525">
          <a:miter lim="800000"/>
          <a:headEnd/>
          <a:tailEnd/>
        </a:ln>
      </xdr:spPr>
    </xdr:sp>
    <xdr:clientData/>
  </xdr:twoCellAnchor>
  <xdr:twoCellAnchor editAs="oneCell">
    <xdr:from>
      <xdr:col>2</xdr:col>
      <xdr:colOff>0</xdr:colOff>
      <xdr:row>33</xdr:row>
      <xdr:rowOff>0</xdr:rowOff>
    </xdr:from>
    <xdr:to>
      <xdr:col>2</xdr:col>
      <xdr:colOff>254000</xdr:colOff>
      <xdr:row>34</xdr:row>
      <xdr:rowOff>82550</xdr:rowOff>
    </xdr:to>
    <xdr:sp macro="" textlink="">
      <xdr:nvSpPr>
        <xdr:cNvPr id="129" name="Control 128" hidden="1">
          <a:extLst>
            <a:ext uri="{63B3BB69-23CF-44E3-9099-C40C66FF867C}">
              <a14:compatExt xmlns:a14="http://schemas.microsoft.com/office/drawing/2010/main" spid="_x0000_s1152"/>
            </a:ext>
            <a:ext uri="{FF2B5EF4-FFF2-40B4-BE49-F238E27FC236}">
              <a16:creationId xmlns:a16="http://schemas.microsoft.com/office/drawing/2014/main" id="{00000000-0008-0000-0E00-000081000000}"/>
            </a:ext>
          </a:extLst>
        </xdr:cNvPr>
        <xdr:cNvSpPr/>
      </xdr:nvSpPr>
      <xdr:spPr bwMode="auto">
        <a:xfrm>
          <a:off x="3562350" y="6915150"/>
          <a:ext cx="254000" cy="273050"/>
        </a:xfrm>
        <a:prstGeom prst="rect">
          <a:avLst/>
        </a:prstGeom>
        <a:noFill/>
        <a:ln w="9525">
          <a:miter lim="800000"/>
          <a:headEnd/>
          <a:tailEnd/>
        </a:ln>
      </xdr:spPr>
    </xdr:sp>
    <xdr:clientData/>
  </xdr:twoCellAnchor>
  <xdr:twoCellAnchor editAs="oneCell">
    <xdr:from>
      <xdr:col>2</xdr:col>
      <xdr:colOff>0</xdr:colOff>
      <xdr:row>33</xdr:row>
      <xdr:rowOff>0</xdr:rowOff>
    </xdr:from>
    <xdr:to>
      <xdr:col>2</xdr:col>
      <xdr:colOff>152400</xdr:colOff>
      <xdr:row>33</xdr:row>
      <xdr:rowOff>152400</xdr:rowOff>
    </xdr:to>
    <xdr:sp macro="" textlink="">
      <xdr:nvSpPr>
        <xdr:cNvPr id="130" name="Control 129" hidden="1">
          <a:extLst>
            <a:ext uri="{63B3BB69-23CF-44E3-9099-C40C66FF867C}">
              <a14:compatExt xmlns:a14="http://schemas.microsoft.com/office/drawing/2010/main" spid="_x0000_s1153"/>
            </a:ext>
            <a:ext uri="{FF2B5EF4-FFF2-40B4-BE49-F238E27FC236}">
              <a16:creationId xmlns:a16="http://schemas.microsoft.com/office/drawing/2014/main" id="{00000000-0008-0000-0E00-000082000000}"/>
            </a:ext>
          </a:extLst>
        </xdr:cNvPr>
        <xdr:cNvSpPr/>
      </xdr:nvSpPr>
      <xdr:spPr bwMode="auto">
        <a:xfrm>
          <a:off x="3562350" y="6915150"/>
          <a:ext cx="152400" cy="152400"/>
        </a:xfrm>
        <a:prstGeom prst="rect">
          <a:avLst/>
        </a:prstGeom>
        <a:noFill/>
        <a:ln w="9525">
          <a:miter lim="800000"/>
          <a:headEnd/>
          <a:tailEnd/>
        </a:ln>
      </xdr:spPr>
    </xdr:sp>
    <xdr:clientData/>
  </xdr:twoCellAnchor>
  <xdr:twoCellAnchor editAs="oneCell">
    <xdr:from>
      <xdr:col>2</xdr:col>
      <xdr:colOff>0</xdr:colOff>
      <xdr:row>33</xdr:row>
      <xdr:rowOff>0</xdr:rowOff>
    </xdr:from>
    <xdr:to>
      <xdr:col>2</xdr:col>
      <xdr:colOff>152400</xdr:colOff>
      <xdr:row>33</xdr:row>
      <xdr:rowOff>152400</xdr:rowOff>
    </xdr:to>
    <xdr:sp macro="" textlink="">
      <xdr:nvSpPr>
        <xdr:cNvPr id="131" name="Control 130" hidden="1">
          <a:extLst>
            <a:ext uri="{63B3BB69-23CF-44E3-9099-C40C66FF867C}">
              <a14:compatExt xmlns:a14="http://schemas.microsoft.com/office/drawing/2010/main" spid="_x0000_s1154"/>
            </a:ext>
            <a:ext uri="{FF2B5EF4-FFF2-40B4-BE49-F238E27FC236}">
              <a16:creationId xmlns:a16="http://schemas.microsoft.com/office/drawing/2014/main" id="{00000000-0008-0000-0E00-000083000000}"/>
            </a:ext>
          </a:extLst>
        </xdr:cNvPr>
        <xdr:cNvSpPr/>
      </xdr:nvSpPr>
      <xdr:spPr bwMode="auto">
        <a:xfrm>
          <a:off x="3562350" y="6915150"/>
          <a:ext cx="152400" cy="152400"/>
        </a:xfrm>
        <a:prstGeom prst="rect">
          <a:avLst/>
        </a:prstGeom>
        <a:noFill/>
        <a:ln w="9525">
          <a:miter lim="800000"/>
          <a:headEnd/>
          <a:tailEnd/>
        </a:ln>
      </xdr:spPr>
    </xdr:sp>
    <xdr:clientData/>
  </xdr:twoCellAnchor>
  <xdr:twoCellAnchor editAs="oneCell">
    <xdr:from>
      <xdr:col>0</xdr:col>
      <xdr:colOff>0</xdr:colOff>
      <xdr:row>34</xdr:row>
      <xdr:rowOff>0</xdr:rowOff>
    </xdr:from>
    <xdr:to>
      <xdr:col>0</xdr:col>
      <xdr:colOff>139700</xdr:colOff>
      <xdr:row>34</xdr:row>
      <xdr:rowOff>139700</xdr:rowOff>
    </xdr:to>
    <xdr:sp macro="" textlink="">
      <xdr:nvSpPr>
        <xdr:cNvPr id="132" name="Control 131" hidden="1">
          <a:extLst>
            <a:ext uri="{63B3BB69-23CF-44E3-9099-C40C66FF867C}">
              <a14:compatExt xmlns:a14="http://schemas.microsoft.com/office/drawing/2010/main" spid="_x0000_s1155"/>
            </a:ext>
            <a:ext uri="{FF2B5EF4-FFF2-40B4-BE49-F238E27FC236}">
              <a16:creationId xmlns:a16="http://schemas.microsoft.com/office/drawing/2014/main" id="{00000000-0008-0000-0E00-000084000000}"/>
            </a:ext>
          </a:extLst>
        </xdr:cNvPr>
        <xdr:cNvSpPr/>
      </xdr:nvSpPr>
      <xdr:spPr bwMode="auto">
        <a:xfrm>
          <a:off x="0" y="7124700"/>
          <a:ext cx="139700" cy="139700"/>
        </a:xfrm>
        <a:prstGeom prst="rect">
          <a:avLst/>
        </a:prstGeom>
        <a:noFill/>
        <a:ln w="9525">
          <a:miter lim="800000"/>
          <a:headEnd/>
          <a:tailEnd/>
        </a:ln>
      </xdr:spPr>
    </xdr:sp>
    <xdr:clientData/>
  </xdr:twoCellAnchor>
  <xdr:twoCellAnchor editAs="oneCell">
    <xdr:from>
      <xdr:col>2</xdr:col>
      <xdr:colOff>0</xdr:colOff>
      <xdr:row>34</xdr:row>
      <xdr:rowOff>0</xdr:rowOff>
    </xdr:from>
    <xdr:to>
      <xdr:col>2</xdr:col>
      <xdr:colOff>254000</xdr:colOff>
      <xdr:row>35</xdr:row>
      <xdr:rowOff>82550</xdr:rowOff>
    </xdr:to>
    <xdr:sp macro="" textlink="">
      <xdr:nvSpPr>
        <xdr:cNvPr id="133" name="Control 132" hidden="1">
          <a:extLst>
            <a:ext uri="{63B3BB69-23CF-44E3-9099-C40C66FF867C}">
              <a14:compatExt xmlns:a14="http://schemas.microsoft.com/office/drawing/2010/main" spid="_x0000_s1156"/>
            </a:ext>
            <a:ext uri="{FF2B5EF4-FFF2-40B4-BE49-F238E27FC236}">
              <a16:creationId xmlns:a16="http://schemas.microsoft.com/office/drawing/2014/main" id="{00000000-0008-0000-0E00-000085000000}"/>
            </a:ext>
          </a:extLst>
        </xdr:cNvPr>
        <xdr:cNvSpPr/>
      </xdr:nvSpPr>
      <xdr:spPr bwMode="auto">
        <a:xfrm>
          <a:off x="3562350" y="7124700"/>
          <a:ext cx="254000" cy="273050"/>
        </a:xfrm>
        <a:prstGeom prst="rect">
          <a:avLst/>
        </a:prstGeom>
        <a:noFill/>
        <a:ln w="9525">
          <a:miter lim="800000"/>
          <a:headEnd/>
          <a:tailEnd/>
        </a:ln>
      </xdr:spPr>
    </xdr:sp>
    <xdr:clientData/>
  </xdr:twoCellAnchor>
  <xdr:twoCellAnchor editAs="oneCell">
    <xdr:from>
      <xdr:col>2</xdr:col>
      <xdr:colOff>0</xdr:colOff>
      <xdr:row>34</xdr:row>
      <xdr:rowOff>0</xdr:rowOff>
    </xdr:from>
    <xdr:to>
      <xdr:col>2</xdr:col>
      <xdr:colOff>152400</xdr:colOff>
      <xdr:row>34</xdr:row>
      <xdr:rowOff>152400</xdr:rowOff>
    </xdr:to>
    <xdr:sp macro="" textlink="">
      <xdr:nvSpPr>
        <xdr:cNvPr id="134" name="Control 133" hidden="1">
          <a:extLst>
            <a:ext uri="{63B3BB69-23CF-44E3-9099-C40C66FF867C}">
              <a14:compatExt xmlns:a14="http://schemas.microsoft.com/office/drawing/2010/main" spid="_x0000_s1157"/>
            </a:ext>
            <a:ext uri="{FF2B5EF4-FFF2-40B4-BE49-F238E27FC236}">
              <a16:creationId xmlns:a16="http://schemas.microsoft.com/office/drawing/2014/main" id="{00000000-0008-0000-0E00-000086000000}"/>
            </a:ext>
          </a:extLst>
        </xdr:cNvPr>
        <xdr:cNvSpPr/>
      </xdr:nvSpPr>
      <xdr:spPr bwMode="auto">
        <a:xfrm>
          <a:off x="3562350" y="7124700"/>
          <a:ext cx="152400" cy="152400"/>
        </a:xfrm>
        <a:prstGeom prst="rect">
          <a:avLst/>
        </a:prstGeom>
        <a:noFill/>
        <a:ln w="9525">
          <a:miter lim="800000"/>
          <a:headEnd/>
          <a:tailEnd/>
        </a:ln>
      </xdr:spPr>
    </xdr:sp>
    <xdr:clientData/>
  </xdr:twoCellAnchor>
  <xdr:twoCellAnchor editAs="oneCell">
    <xdr:from>
      <xdr:col>2</xdr:col>
      <xdr:colOff>0</xdr:colOff>
      <xdr:row>34</xdr:row>
      <xdr:rowOff>0</xdr:rowOff>
    </xdr:from>
    <xdr:to>
      <xdr:col>2</xdr:col>
      <xdr:colOff>152400</xdr:colOff>
      <xdr:row>34</xdr:row>
      <xdr:rowOff>152400</xdr:rowOff>
    </xdr:to>
    <xdr:sp macro="" textlink="">
      <xdr:nvSpPr>
        <xdr:cNvPr id="135" name="Control 134" hidden="1">
          <a:extLst>
            <a:ext uri="{63B3BB69-23CF-44E3-9099-C40C66FF867C}">
              <a14:compatExt xmlns:a14="http://schemas.microsoft.com/office/drawing/2010/main" spid="_x0000_s1158"/>
            </a:ext>
            <a:ext uri="{FF2B5EF4-FFF2-40B4-BE49-F238E27FC236}">
              <a16:creationId xmlns:a16="http://schemas.microsoft.com/office/drawing/2014/main" id="{00000000-0008-0000-0E00-000087000000}"/>
            </a:ext>
          </a:extLst>
        </xdr:cNvPr>
        <xdr:cNvSpPr/>
      </xdr:nvSpPr>
      <xdr:spPr bwMode="auto">
        <a:xfrm>
          <a:off x="3562350" y="7124700"/>
          <a:ext cx="152400" cy="152400"/>
        </a:xfrm>
        <a:prstGeom prst="rect">
          <a:avLst/>
        </a:prstGeom>
        <a:noFill/>
        <a:ln w="9525">
          <a:miter lim="800000"/>
          <a:headEnd/>
          <a:tailEnd/>
        </a:ln>
      </xdr:spPr>
    </xdr:sp>
    <xdr:clientData/>
  </xdr:twoCellAnchor>
  <xdr:twoCellAnchor editAs="oneCell">
    <xdr:from>
      <xdr:col>0</xdr:col>
      <xdr:colOff>0</xdr:colOff>
      <xdr:row>35</xdr:row>
      <xdr:rowOff>0</xdr:rowOff>
    </xdr:from>
    <xdr:to>
      <xdr:col>0</xdr:col>
      <xdr:colOff>139700</xdr:colOff>
      <xdr:row>35</xdr:row>
      <xdr:rowOff>139700</xdr:rowOff>
    </xdr:to>
    <xdr:sp macro="" textlink="">
      <xdr:nvSpPr>
        <xdr:cNvPr id="136" name="Control 135" hidden="1">
          <a:extLst>
            <a:ext uri="{63B3BB69-23CF-44E3-9099-C40C66FF867C}">
              <a14:compatExt xmlns:a14="http://schemas.microsoft.com/office/drawing/2010/main" spid="_x0000_s1159"/>
            </a:ext>
            <a:ext uri="{FF2B5EF4-FFF2-40B4-BE49-F238E27FC236}">
              <a16:creationId xmlns:a16="http://schemas.microsoft.com/office/drawing/2014/main" id="{00000000-0008-0000-0E00-000088000000}"/>
            </a:ext>
          </a:extLst>
        </xdr:cNvPr>
        <xdr:cNvSpPr/>
      </xdr:nvSpPr>
      <xdr:spPr bwMode="auto">
        <a:xfrm>
          <a:off x="0" y="7334250"/>
          <a:ext cx="139700" cy="139700"/>
        </a:xfrm>
        <a:prstGeom prst="rect">
          <a:avLst/>
        </a:prstGeom>
        <a:noFill/>
        <a:ln w="9525">
          <a:miter lim="800000"/>
          <a:headEnd/>
          <a:tailEnd/>
        </a:ln>
      </xdr:spPr>
    </xdr:sp>
    <xdr:clientData/>
  </xdr:twoCellAnchor>
  <xdr:twoCellAnchor editAs="oneCell">
    <xdr:from>
      <xdr:col>2</xdr:col>
      <xdr:colOff>0</xdr:colOff>
      <xdr:row>35</xdr:row>
      <xdr:rowOff>0</xdr:rowOff>
    </xdr:from>
    <xdr:to>
      <xdr:col>2</xdr:col>
      <xdr:colOff>254000</xdr:colOff>
      <xdr:row>36</xdr:row>
      <xdr:rowOff>82550</xdr:rowOff>
    </xdr:to>
    <xdr:sp macro="" textlink="">
      <xdr:nvSpPr>
        <xdr:cNvPr id="137" name="Control 136" hidden="1">
          <a:extLst>
            <a:ext uri="{63B3BB69-23CF-44E3-9099-C40C66FF867C}">
              <a14:compatExt xmlns:a14="http://schemas.microsoft.com/office/drawing/2010/main" spid="_x0000_s1160"/>
            </a:ext>
            <a:ext uri="{FF2B5EF4-FFF2-40B4-BE49-F238E27FC236}">
              <a16:creationId xmlns:a16="http://schemas.microsoft.com/office/drawing/2014/main" id="{00000000-0008-0000-0E00-000089000000}"/>
            </a:ext>
          </a:extLst>
        </xdr:cNvPr>
        <xdr:cNvSpPr/>
      </xdr:nvSpPr>
      <xdr:spPr bwMode="auto">
        <a:xfrm>
          <a:off x="3562350" y="7334250"/>
          <a:ext cx="254000" cy="273050"/>
        </a:xfrm>
        <a:prstGeom prst="rect">
          <a:avLst/>
        </a:prstGeom>
        <a:noFill/>
        <a:ln w="9525">
          <a:miter lim="800000"/>
          <a:headEnd/>
          <a:tailEnd/>
        </a:ln>
      </xdr:spPr>
    </xdr:sp>
    <xdr:clientData/>
  </xdr:twoCellAnchor>
  <xdr:twoCellAnchor editAs="oneCell">
    <xdr:from>
      <xdr:col>2</xdr:col>
      <xdr:colOff>0</xdr:colOff>
      <xdr:row>35</xdr:row>
      <xdr:rowOff>0</xdr:rowOff>
    </xdr:from>
    <xdr:to>
      <xdr:col>2</xdr:col>
      <xdr:colOff>152400</xdr:colOff>
      <xdr:row>35</xdr:row>
      <xdr:rowOff>152400</xdr:rowOff>
    </xdr:to>
    <xdr:sp macro="" textlink="">
      <xdr:nvSpPr>
        <xdr:cNvPr id="138" name="Control 137" hidden="1">
          <a:extLst>
            <a:ext uri="{63B3BB69-23CF-44E3-9099-C40C66FF867C}">
              <a14:compatExt xmlns:a14="http://schemas.microsoft.com/office/drawing/2010/main" spid="_x0000_s1161"/>
            </a:ext>
            <a:ext uri="{FF2B5EF4-FFF2-40B4-BE49-F238E27FC236}">
              <a16:creationId xmlns:a16="http://schemas.microsoft.com/office/drawing/2014/main" id="{00000000-0008-0000-0E00-00008A000000}"/>
            </a:ext>
          </a:extLst>
        </xdr:cNvPr>
        <xdr:cNvSpPr/>
      </xdr:nvSpPr>
      <xdr:spPr bwMode="auto">
        <a:xfrm>
          <a:off x="3562350" y="7334250"/>
          <a:ext cx="152400" cy="152400"/>
        </a:xfrm>
        <a:prstGeom prst="rect">
          <a:avLst/>
        </a:prstGeom>
        <a:noFill/>
        <a:ln w="9525">
          <a:miter lim="800000"/>
          <a:headEnd/>
          <a:tailEnd/>
        </a:ln>
      </xdr:spPr>
    </xdr:sp>
    <xdr:clientData/>
  </xdr:twoCellAnchor>
  <xdr:twoCellAnchor editAs="oneCell">
    <xdr:from>
      <xdr:col>2</xdr:col>
      <xdr:colOff>0</xdr:colOff>
      <xdr:row>35</xdr:row>
      <xdr:rowOff>0</xdr:rowOff>
    </xdr:from>
    <xdr:to>
      <xdr:col>2</xdr:col>
      <xdr:colOff>152400</xdr:colOff>
      <xdr:row>35</xdr:row>
      <xdr:rowOff>152400</xdr:rowOff>
    </xdr:to>
    <xdr:sp macro="" textlink="">
      <xdr:nvSpPr>
        <xdr:cNvPr id="139" name="Control 138" hidden="1">
          <a:extLst>
            <a:ext uri="{63B3BB69-23CF-44E3-9099-C40C66FF867C}">
              <a14:compatExt xmlns:a14="http://schemas.microsoft.com/office/drawing/2010/main" spid="_x0000_s1162"/>
            </a:ext>
            <a:ext uri="{FF2B5EF4-FFF2-40B4-BE49-F238E27FC236}">
              <a16:creationId xmlns:a16="http://schemas.microsoft.com/office/drawing/2014/main" id="{00000000-0008-0000-0E00-00008B000000}"/>
            </a:ext>
          </a:extLst>
        </xdr:cNvPr>
        <xdr:cNvSpPr/>
      </xdr:nvSpPr>
      <xdr:spPr bwMode="auto">
        <a:xfrm>
          <a:off x="3562350" y="7334250"/>
          <a:ext cx="152400" cy="152400"/>
        </a:xfrm>
        <a:prstGeom prst="rect">
          <a:avLst/>
        </a:prstGeom>
        <a:noFill/>
        <a:ln w="9525">
          <a:miter lim="800000"/>
          <a:headEnd/>
          <a:tailEnd/>
        </a:ln>
      </xdr:spPr>
    </xdr:sp>
    <xdr:clientData/>
  </xdr:twoCellAnchor>
  <xdr:twoCellAnchor editAs="oneCell">
    <xdr:from>
      <xdr:col>0</xdr:col>
      <xdr:colOff>0</xdr:colOff>
      <xdr:row>36</xdr:row>
      <xdr:rowOff>0</xdr:rowOff>
    </xdr:from>
    <xdr:to>
      <xdr:col>0</xdr:col>
      <xdr:colOff>139700</xdr:colOff>
      <xdr:row>36</xdr:row>
      <xdr:rowOff>139700</xdr:rowOff>
    </xdr:to>
    <xdr:sp macro="" textlink="">
      <xdr:nvSpPr>
        <xdr:cNvPr id="140" name="Control 139" hidden="1">
          <a:extLst>
            <a:ext uri="{63B3BB69-23CF-44E3-9099-C40C66FF867C}">
              <a14:compatExt xmlns:a14="http://schemas.microsoft.com/office/drawing/2010/main" spid="_x0000_s1163"/>
            </a:ext>
            <a:ext uri="{FF2B5EF4-FFF2-40B4-BE49-F238E27FC236}">
              <a16:creationId xmlns:a16="http://schemas.microsoft.com/office/drawing/2014/main" id="{00000000-0008-0000-0E00-00008C000000}"/>
            </a:ext>
          </a:extLst>
        </xdr:cNvPr>
        <xdr:cNvSpPr/>
      </xdr:nvSpPr>
      <xdr:spPr bwMode="auto">
        <a:xfrm>
          <a:off x="0" y="7543800"/>
          <a:ext cx="139700" cy="139700"/>
        </a:xfrm>
        <a:prstGeom prst="rect">
          <a:avLst/>
        </a:prstGeom>
        <a:noFill/>
        <a:ln w="9525">
          <a:miter lim="800000"/>
          <a:headEnd/>
          <a:tailEnd/>
        </a:ln>
      </xdr:spPr>
    </xdr:sp>
    <xdr:clientData/>
  </xdr:twoCellAnchor>
  <xdr:twoCellAnchor editAs="oneCell">
    <xdr:from>
      <xdr:col>2</xdr:col>
      <xdr:colOff>0</xdr:colOff>
      <xdr:row>36</xdr:row>
      <xdr:rowOff>0</xdr:rowOff>
    </xdr:from>
    <xdr:to>
      <xdr:col>2</xdr:col>
      <xdr:colOff>254000</xdr:colOff>
      <xdr:row>37</xdr:row>
      <xdr:rowOff>82550</xdr:rowOff>
    </xdr:to>
    <xdr:sp macro="" textlink="">
      <xdr:nvSpPr>
        <xdr:cNvPr id="141" name="Control 140" hidden="1">
          <a:extLst>
            <a:ext uri="{63B3BB69-23CF-44E3-9099-C40C66FF867C}">
              <a14:compatExt xmlns:a14="http://schemas.microsoft.com/office/drawing/2010/main" spid="_x0000_s1164"/>
            </a:ext>
            <a:ext uri="{FF2B5EF4-FFF2-40B4-BE49-F238E27FC236}">
              <a16:creationId xmlns:a16="http://schemas.microsoft.com/office/drawing/2014/main" id="{00000000-0008-0000-0E00-00008D000000}"/>
            </a:ext>
          </a:extLst>
        </xdr:cNvPr>
        <xdr:cNvSpPr/>
      </xdr:nvSpPr>
      <xdr:spPr bwMode="auto">
        <a:xfrm>
          <a:off x="3562350" y="7543800"/>
          <a:ext cx="254000" cy="273050"/>
        </a:xfrm>
        <a:prstGeom prst="rect">
          <a:avLst/>
        </a:prstGeom>
        <a:noFill/>
        <a:ln w="9525">
          <a:miter lim="800000"/>
          <a:headEnd/>
          <a:tailEnd/>
        </a:ln>
      </xdr:spPr>
    </xdr:sp>
    <xdr:clientData/>
  </xdr:twoCellAnchor>
  <xdr:twoCellAnchor editAs="oneCell">
    <xdr:from>
      <xdr:col>2</xdr:col>
      <xdr:colOff>0</xdr:colOff>
      <xdr:row>36</xdr:row>
      <xdr:rowOff>0</xdr:rowOff>
    </xdr:from>
    <xdr:to>
      <xdr:col>2</xdr:col>
      <xdr:colOff>152400</xdr:colOff>
      <xdr:row>36</xdr:row>
      <xdr:rowOff>152400</xdr:rowOff>
    </xdr:to>
    <xdr:sp macro="" textlink="">
      <xdr:nvSpPr>
        <xdr:cNvPr id="142" name="Control 141" hidden="1">
          <a:extLst>
            <a:ext uri="{63B3BB69-23CF-44E3-9099-C40C66FF867C}">
              <a14:compatExt xmlns:a14="http://schemas.microsoft.com/office/drawing/2010/main" spid="_x0000_s1165"/>
            </a:ext>
            <a:ext uri="{FF2B5EF4-FFF2-40B4-BE49-F238E27FC236}">
              <a16:creationId xmlns:a16="http://schemas.microsoft.com/office/drawing/2014/main" id="{00000000-0008-0000-0E00-00008E000000}"/>
            </a:ext>
          </a:extLst>
        </xdr:cNvPr>
        <xdr:cNvSpPr/>
      </xdr:nvSpPr>
      <xdr:spPr bwMode="auto">
        <a:xfrm>
          <a:off x="3562350" y="7543800"/>
          <a:ext cx="152400" cy="152400"/>
        </a:xfrm>
        <a:prstGeom prst="rect">
          <a:avLst/>
        </a:prstGeom>
        <a:noFill/>
        <a:ln w="9525">
          <a:miter lim="800000"/>
          <a:headEnd/>
          <a:tailEnd/>
        </a:ln>
      </xdr:spPr>
    </xdr:sp>
    <xdr:clientData/>
  </xdr:twoCellAnchor>
  <xdr:twoCellAnchor editAs="oneCell">
    <xdr:from>
      <xdr:col>2</xdr:col>
      <xdr:colOff>0</xdr:colOff>
      <xdr:row>36</xdr:row>
      <xdr:rowOff>0</xdr:rowOff>
    </xdr:from>
    <xdr:to>
      <xdr:col>2</xdr:col>
      <xdr:colOff>152400</xdr:colOff>
      <xdr:row>36</xdr:row>
      <xdr:rowOff>152400</xdr:rowOff>
    </xdr:to>
    <xdr:sp macro="" textlink="">
      <xdr:nvSpPr>
        <xdr:cNvPr id="143" name="Control 142" hidden="1">
          <a:extLst>
            <a:ext uri="{63B3BB69-23CF-44E3-9099-C40C66FF867C}">
              <a14:compatExt xmlns:a14="http://schemas.microsoft.com/office/drawing/2010/main" spid="_x0000_s1166"/>
            </a:ext>
            <a:ext uri="{FF2B5EF4-FFF2-40B4-BE49-F238E27FC236}">
              <a16:creationId xmlns:a16="http://schemas.microsoft.com/office/drawing/2014/main" id="{00000000-0008-0000-0E00-00008F000000}"/>
            </a:ext>
          </a:extLst>
        </xdr:cNvPr>
        <xdr:cNvSpPr/>
      </xdr:nvSpPr>
      <xdr:spPr bwMode="auto">
        <a:xfrm>
          <a:off x="3562350" y="7543800"/>
          <a:ext cx="152400" cy="152400"/>
        </a:xfrm>
        <a:prstGeom prst="rect">
          <a:avLst/>
        </a:prstGeom>
        <a:noFill/>
        <a:ln w="9525">
          <a:miter lim="800000"/>
          <a:headEnd/>
          <a:tailEnd/>
        </a:ln>
      </xdr:spPr>
    </xdr:sp>
    <xdr:clientData/>
  </xdr:twoCellAnchor>
  <xdr:twoCellAnchor editAs="oneCell">
    <xdr:from>
      <xdr:col>0</xdr:col>
      <xdr:colOff>0</xdr:colOff>
      <xdr:row>37</xdr:row>
      <xdr:rowOff>0</xdr:rowOff>
    </xdr:from>
    <xdr:to>
      <xdr:col>0</xdr:col>
      <xdr:colOff>139700</xdr:colOff>
      <xdr:row>37</xdr:row>
      <xdr:rowOff>139700</xdr:rowOff>
    </xdr:to>
    <xdr:sp macro="" textlink="">
      <xdr:nvSpPr>
        <xdr:cNvPr id="144" name="Control 143" hidden="1">
          <a:extLst>
            <a:ext uri="{63B3BB69-23CF-44E3-9099-C40C66FF867C}">
              <a14:compatExt xmlns:a14="http://schemas.microsoft.com/office/drawing/2010/main" spid="_x0000_s1167"/>
            </a:ext>
            <a:ext uri="{FF2B5EF4-FFF2-40B4-BE49-F238E27FC236}">
              <a16:creationId xmlns:a16="http://schemas.microsoft.com/office/drawing/2014/main" id="{00000000-0008-0000-0E00-000090000000}"/>
            </a:ext>
          </a:extLst>
        </xdr:cNvPr>
        <xdr:cNvSpPr/>
      </xdr:nvSpPr>
      <xdr:spPr bwMode="auto">
        <a:xfrm>
          <a:off x="0" y="7753350"/>
          <a:ext cx="139700" cy="139700"/>
        </a:xfrm>
        <a:prstGeom prst="rect">
          <a:avLst/>
        </a:prstGeom>
        <a:noFill/>
        <a:ln w="9525">
          <a:miter lim="800000"/>
          <a:headEnd/>
          <a:tailEnd/>
        </a:ln>
      </xdr:spPr>
    </xdr:sp>
    <xdr:clientData/>
  </xdr:twoCellAnchor>
  <xdr:twoCellAnchor editAs="oneCell">
    <xdr:from>
      <xdr:col>2</xdr:col>
      <xdr:colOff>0</xdr:colOff>
      <xdr:row>37</xdr:row>
      <xdr:rowOff>0</xdr:rowOff>
    </xdr:from>
    <xdr:to>
      <xdr:col>2</xdr:col>
      <xdr:colOff>254000</xdr:colOff>
      <xdr:row>38</xdr:row>
      <xdr:rowOff>82550</xdr:rowOff>
    </xdr:to>
    <xdr:sp macro="" textlink="">
      <xdr:nvSpPr>
        <xdr:cNvPr id="145" name="Control 144" hidden="1">
          <a:extLst>
            <a:ext uri="{63B3BB69-23CF-44E3-9099-C40C66FF867C}">
              <a14:compatExt xmlns:a14="http://schemas.microsoft.com/office/drawing/2010/main" spid="_x0000_s1168"/>
            </a:ext>
            <a:ext uri="{FF2B5EF4-FFF2-40B4-BE49-F238E27FC236}">
              <a16:creationId xmlns:a16="http://schemas.microsoft.com/office/drawing/2014/main" id="{00000000-0008-0000-0E00-000091000000}"/>
            </a:ext>
          </a:extLst>
        </xdr:cNvPr>
        <xdr:cNvSpPr/>
      </xdr:nvSpPr>
      <xdr:spPr bwMode="auto">
        <a:xfrm>
          <a:off x="3562350" y="7753350"/>
          <a:ext cx="254000" cy="273050"/>
        </a:xfrm>
        <a:prstGeom prst="rect">
          <a:avLst/>
        </a:prstGeom>
        <a:noFill/>
        <a:ln w="9525">
          <a:miter lim="800000"/>
          <a:headEnd/>
          <a:tailEnd/>
        </a:ln>
      </xdr:spPr>
    </xdr:sp>
    <xdr:clientData/>
  </xdr:twoCellAnchor>
  <xdr:twoCellAnchor editAs="oneCell">
    <xdr:from>
      <xdr:col>2</xdr:col>
      <xdr:colOff>0</xdr:colOff>
      <xdr:row>37</xdr:row>
      <xdr:rowOff>0</xdr:rowOff>
    </xdr:from>
    <xdr:to>
      <xdr:col>2</xdr:col>
      <xdr:colOff>152400</xdr:colOff>
      <xdr:row>37</xdr:row>
      <xdr:rowOff>152400</xdr:rowOff>
    </xdr:to>
    <xdr:sp macro="" textlink="">
      <xdr:nvSpPr>
        <xdr:cNvPr id="146" name="Control 145" hidden="1">
          <a:extLst>
            <a:ext uri="{63B3BB69-23CF-44E3-9099-C40C66FF867C}">
              <a14:compatExt xmlns:a14="http://schemas.microsoft.com/office/drawing/2010/main" spid="_x0000_s1169"/>
            </a:ext>
            <a:ext uri="{FF2B5EF4-FFF2-40B4-BE49-F238E27FC236}">
              <a16:creationId xmlns:a16="http://schemas.microsoft.com/office/drawing/2014/main" id="{00000000-0008-0000-0E00-000092000000}"/>
            </a:ext>
          </a:extLst>
        </xdr:cNvPr>
        <xdr:cNvSpPr/>
      </xdr:nvSpPr>
      <xdr:spPr bwMode="auto">
        <a:xfrm>
          <a:off x="3562350" y="7753350"/>
          <a:ext cx="152400" cy="152400"/>
        </a:xfrm>
        <a:prstGeom prst="rect">
          <a:avLst/>
        </a:prstGeom>
        <a:noFill/>
        <a:ln w="9525">
          <a:miter lim="800000"/>
          <a:headEnd/>
          <a:tailEnd/>
        </a:ln>
      </xdr:spPr>
    </xdr:sp>
    <xdr:clientData/>
  </xdr:twoCellAnchor>
  <xdr:twoCellAnchor editAs="oneCell">
    <xdr:from>
      <xdr:col>2</xdr:col>
      <xdr:colOff>0</xdr:colOff>
      <xdr:row>37</xdr:row>
      <xdr:rowOff>0</xdr:rowOff>
    </xdr:from>
    <xdr:to>
      <xdr:col>2</xdr:col>
      <xdr:colOff>152400</xdr:colOff>
      <xdr:row>37</xdr:row>
      <xdr:rowOff>152400</xdr:rowOff>
    </xdr:to>
    <xdr:sp macro="" textlink="">
      <xdr:nvSpPr>
        <xdr:cNvPr id="147" name="Control 146" hidden="1">
          <a:extLst>
            <a:ext uri="{63B3BB69-23CF-44E3-9099-C40C66FF867C}">
              <a14:compatExt xmlns:a14="http://schemas.microsoft.com/office/drawing/2010/main" spid="_x0000_s1170"/>
            </a:ext>
            <a:ext uri="{FF2B5EF4-FFF2-40B4-BE49-F238E27FC236}">
              <a16:creationId xmlns:a16="http://schemas.microsoft.com/office/drawing/2014/main" id="{00000000-0008-0000-0E00-000093000000}"/>
            </a:ext>
          </a:extLst>
        </xdr:cNvPr>
        <xdr:cNvSpPr/>
      </xdr:nvSpPr>
      <xdr:spPr bwMode="auto">
        <a:xfrm>
          <a:off x="3562350" y="7753350"/>
          <a:ext cx="152400" cy="152400"/>
        </a:xfrm>
        <a:prstGeom prst="rect">
          <a:avLst/>
        </a:prstGeom>
        <a:noFill/>
        <a:ln w="9525">
          <a:miter lim="800000"/>
          <a:headEnd/>
          <a:tailEnd/>
        </a:ln>
      </xdr:spPr>
    </xdr:sp>
    <xdr:clientData/>
  </xdr:twoCellAnchor>
  <xdr:twoCellAnchor editAs="oneCell">
    <xdr:from>
      <xdr:col>0</xdr:col>
      <xdr:colOff>0</xdr:colOff>
      <xdr:row>38</xdr:row>
      <xdr:rowOff>0</xdr:rowOff>
    </xdr:from>
    <xdr:to>
      <xdr:col>0</xdr:col>
      <xdr:colOff>139700</xdr:colOff>
      <xdr:row>38</xdr:row>
      <xdr:rowOff>139700</xdr:rowOff>
    </xdr:to>
    <xdr:sp macro="" textlink="">
      <xdr:nvSpPr>
        <xdr:cNvPr id="148" name="Control 147" hidden="1">
          <a:extLst>
            <a:ext uri="{63B3BB69-23CF-44E3-9099-C40C66FF867C}">
              <a14:compatExt xmlns:a14="http://schemas.microsoft.com/office/drawing/2010/main" spid="_x0000_s1171"/>
            </a:ext>
            <a:ext uri="{FF2B5EF4-FFF2-40B4-BE49-F238E27FC236}">
              <a16:creationId xmlns:a16="http://schemas.microsoft.com/office/drawing/2014/main" id="{00000000-0008-0000-0E00-000094000000}"/>
            </a:ext>
          </a:extLst>
        </xdr:cNvPr>
        <xdr:cNvSpPr/>
      </xdr:nvSpPr>
      <xdr:spPr bwMode="auto">
        <a:xfrm>
          <a:off x="0" y="7962900"/>
          <a:ext cx="139700" cy="139700"/>
        </a:xfrm>
        <a:prstGeom prst="rect">
          <a:avLst/>
        </a:prstGeom>
        <a:noFill/>
        <a:ln w="9525">
          <a:miter lim="800000"/>
          <a:headEnd/>
          <a:tailEnd/>
        </a:ln>
      </xdr:spPr>
    </xdr:sp>
    <xdr:clientData/>
  </xdr:twoCellAnchor>
  <xdr:twoCellAnchor editAs="oneCell">
    <xdr:from>
      <xdr:col>2</xdr:col>
      <xdr:colOff>0</xdr:colOff>
      <xdr:row>38</xdr:row>
      <xdr:rowOff>0</xdr:rowOff>
    </xdr:from>
    <xdr:to>
      <xdr:col>2</xdr:col>
      <xdr:colOff>254000</xdr:colOff>
      <xdr:row>39</xdr:row>
      <xdr:rowOff>82550</xdr:rowOff>
    </xdr:to>
    <xdr:sp macro="" textlink="">
      <xdr:nvSpPr>
        <xdr:cNvPr id="149" name="Control 148" hidden="1">
          <a:extLst>
            <a:ext uri="{63B3BB69-23CF-44E3-9099-C40C66FF867C}">
              <a14:compatExt xmlns:a14="http://schemas.microsoft.com/office/drawing/2010/main" spid="_x0000_s1172"/>
            </a:ext>
            <a:ext uri="{FF2B5EF4-FFF2-40B4-BE49-F238E27FC236}">
              <a16:creationId xmlns:a16="http://schemas.microsoft.com/office/drawing/2014/main" id="{00000000-0008-0000-0E00-000095000000}"/>
            </a:ext>
          </a:extLst>
        </xdr:cNvPr>
        <xdr:cNvSpPr/>
      </xdr:nvSpPr>
      <xdr:spPr bwMode="auto">
        <a:xfrm>
          <a:off x="3562350" y="7962900"/>
          <a:ext cx="254000" cy="273050"/>
        </a:xfrm>
        <a:prstGeom prst="rect">
          <a:avLst/>
        </a:prstGeom>
        <a:noFill/>
        <a:ln w="9525">
          <a:miter lim="800000"/>
          <a:headEnd/>
          <a:tailEnd/>
        </a:ln>
      </xdr:spPr>
    </xdr:sp>
    <xdr:clientData/>
  </xdr:twoCellAnchor>
  <xdr:twoCellAnchor editAs="oneCell">
    <xdr:from>
      <xdr:col>2</xdr:col>
      <xdr:colOff>0</xdr:colOff>
      <xdr:row>38</xdr:row>
      <xdr:rowOff>0</xdr:rowOff>
    </xdr:from>
    <xdr:to>
      <xdr:col>2</xdr:col>
      <xdr:colOff>152400</xdr:colOff>
      <xdr:row>38</xdr:row>
      <xdr:rowOff>152400</xdr:rowOff>
    </xdr:to>
    <xdr:sp macro="" textlink="">
      <xdr:nvSpPr>
        <xdr:cNvPr id="150" name="Control 149" hidden="1">
          <a:extLst>
            <a:ext uri="{63B3BB69-23CF-44E3-9099-C40C66FF867C}">
              <a14:compatExt xmlns:a14="http://schemas.microsoft.com/office/drawing/2010/main" spid="_x0000_s1173"/>
            </a:ext>
            <a:ext uri="{FF2B5EF4-FFF2-40B4-BE49-F238E27FC236}">
              <a16:creationId xmlns:a16="http://schemas.microsoft.com/office/drawing/2014/main" id="{00000000-0008-0000-0E00-000096000000}"/>
            </a:ext>
          </a:extLst>
        </xdr:cNvPr>
        <xdr:cNvSpPr/>
      </xdr:nvSpPr>
      <xdr:spPr bwMode="auto">
        <a:xfrm>
          <a:off x="3562350" y="7962900"/>
          <a:ext cx="152400" cy="152400"/>
        </a:xfrm>
        <a:prstGeom prst="rect">
          <a:avLst/>
        </a:prstGeom>
        <a:noFill/>
        <a:ln w="9525">
          <a:miter lim="800000"/>
          <a:headEnd/>
          <a:tailEnd/>
        </a:ln>
      </xdr:spPr>
    </xdr:sp>
    <xdr:clientData/>
  </xdr:twoCellAnchor>
  <xdr:twoCellAnchor editAs="oneCell">
    <xdr:from>
      <xdr:col>2</xdr:col>
      <xdr:colOff>0</xdr:colOff>
      <xdr:row>38</xdr:row>
      <xdr:rowOff>0</xdr:rowOff>
    </xdr:from>
    <xdr:to>
      <xdr:col>2</xdr:col>
      <xdr:colOff>152400</xdr:colOff>
      <xdr:row>38</xdr:row>
      <xdr:rowOff>152400</xdr:rowOff>
    </xdr:to>
    <xdr:sp macro="" textlink="">
      <xdr:nvSpPr>
        <xdr:cNvPr id="151" name="Control 150" hidden="1">
          <a:extLst>
            <a:ext uri="{63B3BB69-23CF-44E3-9099-C40C66FF867C}">
              <a14:compatExt xmlns:a14="http://schemas.microsoft.com/office/drawing/2010/main" spid="_x0000_s1174"/>
            </a:ext>
            <a:ext uri="{FF2B5EF4-FFF2-40B4-BE49-F238E27FC236}">
              <a16:creationId xmlns:a16="http://schemas.microsoft.com/office/drawing/2014/main" id="{00000000-0008-0000-0E00-000097000000}"/>
            </a:ext>
          </a:extLst>
        </xdr:cNvPr>
        <xdr:cNvSpPr/>
      </xdr:nvSpPr>
      <xdr:spPr bwMode="auto">
        <a:xfrm>
          <a:off x="3562350" y="7962900"/>
          <a:ext cx="152400" cy="152400"/>
        </a:xfrm>
        <a:prstGeom prst="rect">
          <a:avLst/>
        </a:prstGeom>
        <a:noFill/>
        <a:ln w="9525">
          <a:miter lim="800000"/>
          <a:headEnd/>
          <a:tailEnd/>
        </a:ln>
      </xdr:spPr>
    </xdr:sp>
    <xdr:clientData/>
  </xdr:twoCellAnchor>
  <xdr:twoCellAnchor editAs="oneCell">
    <xdr:from>
      <xdr:col>0</xdr:col>
      <xdr:colOff>0</xdr:colOff>
      <xdr:row>39</xdr:row>
      <xdr:rowOff>0</xdr:rowOff>
    </xdr:from>
    <xdr:to>
      <xdr:col>0</xdr:col>
      <xdr:colOff>139700</xdr:colOff>
      <xdr:row>39</xdr:row>
      <xdr:rowOff>139700</xdr:rowOff>
    </xdr:to>
    <xdr:sp macro="" textlink="">
      <xdr:nvSpPr>
        <xdr:cNvPr id="152" name="Control 151" hidden="1">
          <a:extLst>
            <a:ext uri="{63B3BB69-23CF-44E3-9099-C40C66FF867C}">
              <a14:compatExt xmlns:a14="http://schemas.microsoft.com/office/drawing/2010/main" spid="_x0000_s1175"/>
            </a:ext>
            <a:ext uri="{FF2B5EF4-FFF2-40B4-BE49-F238E27FC236}">
              <a16:creationId xmlns:a16="http://schemas.microsoft.com/office/drawing/2014/main" id="{00000000-0008-0000-0E00-000098000000}"/>
            </a:ext>
          </a:extLst>
        </xdr:cNvPr>
        <xdr:cNvSpPr/>
      </xdr:nvSpPr>
      <xdr:spPr bwMode="auto">
        <a:xfrm>
          <a:off x="0" y="8172450"/>
          <a:ext cx="139700" cy="139700"/>
        </a:xfrm>
        <a:prstGeom prst="rect">
          <a:avLst/>
        </a:prstGeom>
        <a:noFill/>
        <a:ln w="9525">
          <a:miter lim="800000"/>
          <a:headEnd/>
          <a:tailEnd/>
        </a:ln>
      </xdr:spPr>
    </xdr:sp>
    <xdr:clientData/>
  </xdr:twoCellAnchor>
  <xdr:twoCellAnchor editAs="oneCell">
    <xdr:from>
      <xdr:col>2</xdr:col>
      <xdr:colOff>0</xdr:colOff>
      <xdr:row>39</xdr:row>
      <xdr:rowOff>0</xdr:rowOff>
    </xdr:from>
    <xdr:to>
      <xdr:col>2</xdr:col>
      <xdr:colOff>254000</xdr:colOff>
      <xdr:row>40</xdr:row>
      <xdr:rowOff>82550</xdr:rowOff>
    </xdr:to>
    <xdr:sp macro="" textlink="">
      <xdr:nvSpPr>
        <xdr:cNvPr id="153" name="Control 152" hidden="1">
          <a:extLst>
            <a:ext uri="{63B3BB69-23CF-44E3-9099-C40C66FF867C}">
              <a14:compatExt xmlns:a14="http://schemas.microsoft.com/office/drawing/2010/main" spid="_x0000_s1176"/>
            </a:ext>
            <a:ext uri="{FF2B5EF4-FFF2-40B4-BE49-F238E27FC236}">
              <a16:creationId xmlns:a16="http://schemas.microsoft.com/office/drawing/2014/main" id="{00000000-0008-0000-0E00-000099000000}"/>
            </a:ext>
          </a:extLst>
        </xdr:cNvPr>
        <xdr:cNvSpPr/>
      </xdr:nvSpPr>
      <xdr:spPr bwMode="auto">
        <a:xfrm>
          <a:off x="3562350" y="8172450"/>
          <a:ext cx="254000" cy="273050"/>
        </a:xfrm>
        <a:prstGeom prst="rect">
          <a:avLst/>
        </a:prstGeom>
        <a:noFill/>
        <a:ln w="9525">
          <a:miter lim="800000"/>
          <a:headEnd/>
          <a:tailEnd/>
        </a:ln>
      </xdr:spPr>
    </xdr:sp>
    <xdr:clientData/>
  </xdr:twoCellAnchor>
  <xdr:twoCellAnchor editAs="oneCell">
    <xdr:from>
      <xdr:col>2</xdr:col>
      <xdr:colOff>0</xdr:colOff>
      <xdr:row>39</xdr:row>
      <xdr:rowOff>0</xdr:rowOff>
    </xdr:from>
    <xdr:to>
      <xdr:col>2</xdr:col>
      <xdr:colOff>152400</xdr:colOff>
      <xdr:row>39</xdr:row>
      <xdr:rowOff>152400</xdr:rowOff>
    </xdr:to>
    <xdr:sp macro="" textlink="">
      <xdr:nvSpPr>
        <xdr:cNvPr id="154" name="Control 153" hidden="1">
          <a:extLst>
            <a:ext uri="{63B3BB69-23CF-44E3-9099-C40C66FF867C}">
              <a14:compatExt xmlns:a14="http://schemas.microsoft.com/office/drawing/2010/main" spid="_x0000_s1177"/>
            </a:ext>
            <a:ext uri="{FF2B5EF4-FFF2-40B4-BE49-F238E27FC236}">
              <a16:creationId xmlns:a16="http://schemas.microsoft.com/office/drawing/2014/main" id="{00000000-0008-0000-0E00-00009A000000}"/>
            </a:ext>
          </a:extLst>
        </xdr:cNvPr>
        <xdr:cNvSpPr/>
      </xdr:nvSpPr>
      <xdr:spPr bwMode="auto">
        <a:xfrm>
          <a:off x="3562350" y="8172450"/>
          <a:ext cx="152400" cy="152400"/>
        </a:xfrm>
        <a:prstGeom prst="rect">
          <a:avLst/>
        </a:prstGeom>
        <a:noFill/>
        <a:ln w="9525">
          <a:miter lim="800000"/>
          <a:headEnd/>
          <a:tailEnd/>
        </a:ln>
      </xdr:spPr>
    </xdr:sp>
    <xdr:clientData/>
  </xdr:twoCellAnchor>
  <xdr:twoCellAnchor editAs="oneCell">
    <xdr:from>
      <xdr:col>2</xdr:col>
      <xdr:colOff>0</xdr:colOff>
      <xdr:row>39</xdr:row>
      <xdr:rowOff>0</xdr:rowOff>
    </xdr:from>
    <xdr:to>
      <xdr:col>2</xdr:col>
      <xdr:colOff>152400</xdr:colOff>
      <xdr:row>39</xdr:row>
      <xdr:rowOff>152400</xdr:rowOff>
    </xdr:to>
    <xdr:sp macro="" textlink="">
      <xdr:nvSpPr>
        <xdr:cNvPr id="155" name="Control 154" hidden="1">
          <a:extLst>
            <a:ext uri="{63B3BB69-23CF-44E3-9099-C40C66FF867C}">
              <a14:compatExt xmlns:a14="http://schemas.microsoft.com/office/drawing/2010/main" spid="_x0000_s1178"/>
            </a:ext>
            <a:ext uri="{FF2B5EF4-FFF2-40B4-BE49-F238E27FC236}">
              <a16:creationId xmlns:a16="http://schemas.microsoft.com/office/drawing/2014/main" id="{00000000-0008-0000-0E00-00009B000000}"/>
            </a:ext>
          </a:extLst>
        </xdr:cNvPr>
        <xdr:cNvSpPr/>
      </xdr:nvSpPr>
      <xdr:spPr bwMode="auto">
        <a:xfrm>
          <a:off x="3562350" y="8172450"/>
          <a:ext cx="152400" cy="152400"/>
        </a:xfrm>
        <a:prstGeom prst="rect">
          <a:avLst/>
        </a:prstGeom>
        <a:noFill/>
        <a:ln w="9525">
          <a:miter lim="800000"/>
          <a:headEnd/>
          <a:tailEnd/>
        </a:ln>
      </xdr:spPr>
    </xdr:sp>
    <xdr:clientData/>
  </xdr:twoCellAnchor>
  <xdr:twoCellAnchor editAs="oneCell">
    <xdr:from>
      <xdr:col>0</xdr:col>
      <xdr:colOff>0</xdr:colOff>
      <xdr:row>40</xdr:row>
      <xdr:rowOff>0</xdr:rowOff>
    </xdr:from>
    <xdr:to>
      <xdr:col>0</xdr:col>
      <xdr:colOff>139700</xdr:colOff>
      <xdr:row>40</xdr:row>
      <xdr:rowOff>139700</xdr:rowOff>
    </xdr:to>
    <xdr:sp macro="" textlink="">
      <xdr:nvSpPr>
        <xdr:cNvPr id="156" name="Control 155" hidden="1">
          <a:extLst>
            <a:ext uri="{63B3BB69-23CF-44E3-9099-C40C66FF867C}">
              <a14:compatExt xmlns:a14="http://schemas.microsoft.com/office/drawing/2010/main" spid="_x0000_s1179"/>
            </a:ext>
            <a:ext uri="{FF2B5EF4-FFF2-40B4-BE49-F238E27FC236}">
              <a16:creationId xmlns:a16="http://schemas.microsoft.com/office/drawing/2014/main" id="{00000000-0008-0000-0E00-00009C000000}"/>
            </a:ext>
          </a:extLst>
        </xdr:cNvPr>
        <xdr:cNvSpPr/>
      </xdr:nvSpPr>
      <xdr:spPr bwMode="auto">
        <a:xfrm>
          <a:off x="0" y="8382000"/>
          <a:ext cx="139700" cy="139700"/>
        </a:xfrm>
        <a:prstGeom prst="rect">
          <a:avLst/>
        </a:prstGeom>
        <a:noFill/>
        <a:ln w="9525">
          <a:miter lim="800000"/>
          <a:headEnd/>
          <a:tailEnd/>
        </a:ln>
      </xdr:spPr>
    </xdr:sp>
    <xdr:clientData/>
  </xdr:twoCellAnchor>
  <xdr:twoCellAnchor editAs="oneCell">
    <xdr:from>
      <xdr:col>2</xdr:col>
      <xdr:colOff>0</xdr:colOff>
      <xdr:row>40</xdr:row>
      <xdr:rowOff>0</xdr:rowOff>
    </xdr:from>
    <xdr:to>
      <xdr:col>2</xdr:col>
      <xdr:colOff>254000</xdr:colOff>
      <xdr:row>41</xdr:row>
      <xdr:rowOff>82550</xdr:rowOff>
    </xdr:to>
    <xdr:sp macro="" textlink="">
      <xdr:nvSpPr>
        <xdr:cNvPr id="157" name="Control 156" hidden="1">
          <a:extLst>
            <a:ext uri="{63B3BB69-23CF-44E3-9099-C40C66FF867C}">
              <a14:compatExt xmlns:a14="http://schemas.microsoft.com/office/drawing/2010/main" spid="_x0000_s1180"/>
            </a:ext>
            <a:ext uri="{FF2B5EF4-FFF2-40B4-BE49-F238E27FC236}">
              <a16:creationId xmlns:a16="http://schemas.microsoft.com/office/drawing/2014/main" id="{00000000-0008-0000-0E00-00009D000000}"/>
            </a:ext>
          </a:extLst>
        </xdr:cNvPr>
        <xdr:cNvSpPr/>
      </xdr:nvSpPr>
      <xdr:spPr bwMode="auto">
        <a:xfrm>
          <a:off x="3562350" y="8382000"/>
          <a:ext cx="254000" cy="273050"/>
        </a:xfrm>
        <a:prstGeom prst="rect">
          <a:avLst/>
        </a:prstGeom>
        <a:noFill/>
        <a:ln w="9525">
          <a:miter lim="800000"/>
          <a:headEnd/>
          <a:tailEnd/>
        </a:ln>
      </xdr:spPr>
    </xdr:sp>
    <xdr:clientData/>
  </xdr:twoCellAnchor>
  <xdr:twoCellAnchor editAs="oneCell">
    <xdr:from>
      <xdr:col>2</xdr:col>
      <xdr:colOff>0</xdr:colOff>
      <xdr:row>40</xdr:row>
      <xdr:rowOff>0</xdr:rowOff>
    </xdr:from>
    <xdr:to>
      <xdr:col>2</xdr:col>
      <xdr:colOff>152400</xdr:colOff>
      <xdr:row>40</xdr:row>
      <xdr:rowOff>152400</xdr:rowOff>
    </xdr:to>
    <xdr:sp macro="" textlink="">
      <xdr:nvSpPr>
        <xdr:cNvPr id="158" name="Control 157" hidden="1">
          <a:extLst>
            <a:ext uri="{63B3BB69-23CF-44E3-9099-C40C66FF867C}">
              <a14:compatExt xmlns:a14="http://schemas.microsoft.com/office/drawing/2010/main" spid="_x0000_s1181"/>
            </a:ext>
            <a:ext uri="{FF2B5EF4-FFF2-40B4-BE49-F238E27FC236}">
              <a16:creationId xmlns:a16="http://schemas.microsoft.com/office/drawing/2014/main" id="{00000000-0008-0000-0E00-00009E000000}"/>
            </a:ext>
          </a:extLst>
        </xdr:cNvPr>
        <xdr:cNvSpPr/>
      </xdr:nvSpPr>
      <xdr:spPr bwMode="auto">
        <a:xfrm>
          <a:off x="3562350" y="8382000"/>
          <a:ext cx="152400" cy="152400"/>
        </a:xfrm>
        <a:prstGeom prst="rect">
          <a:avLst/>
        </a:prstGeom>
        <a:noFill/>
        <a:ln w="9525">
          <a:miter lim="800000"/>
          <a:headEnd/>
          <a:tailEnd/>
        </a:ln>
      </xdr:spPr>
    </xdr:sp>
    <xdr:clientData/>
  </xdr:twoCellAnchor>
  <xdr:twoCellAnchor editAs="oneCell">
    <xdr:from>
      <xdr:col>2</xdr:col>
      <xdr:colOff>0</xdr:colOff>
      <xdr:row>41</xdr:row>
      <xdr:rowOff>0</xdr:rowOff>
    </xdr:from>
    <xdr:to>
      <xdr:col>2</xdr:col>
      <xdr:colOff>254000</xdr:colOff>
      <xdr:row>42</xdr:row>
      <xdr:rowOff>82550</xdr:rowOff>
    </xdr:to>
    <xdr:sp macro="" textlink="">
      <xdr:nvSpPr>
        <xdr:cNvPr id="159" name="Control 158" hidden="1">
          <a:extLst>
            <a:ext uri="{63B3BB69-23CF-44E3-9099-C40C66FF867C}">
              <a14:compatExt xmlns:a14="http://schemas.microsoft.com/office/drawing/2010/main" spid="_x0000_s1182"/>
            </a:ext>
            <a:ext uri="{FF2B5EF4-FFF2-40B4-BE49-F238E27FC236}">
              <a16:creationId xmlns:a16="http://schemas.microsoft.com/office/drawing/2014/main" id="{00000000-0008-0000-0E00-00009F000000}"/>
            </a:ext>
          </a:extLst>
        </xdr:cNvPr>
        <xdr:cNvSpPr/>
      </xdr:nvSpPr>
      <xdr:spPr bwMode="auto">
        <a:xfrm>
          <a:off x="3562350" y="8591550"/>
          <a:ext cx="254000" cy="273050"/>
        </a:xfrm>
        <a:prstGeom prst="rect">
          <a:avLst/>
        </a:prstGeom>
        <a:noFill/>
        <a:ln w="9525">
          <a:miter lim="800000"/>
          <a:headEnd/>
          <a:tailEnd/>
        </a:ln>
      </xdr:spPr>
    </xdr:sp>
    <xdr:clientData/>
  </xdr:twoCellAnchor>
  <xdr:twoCellAnchor editAs="oneCell">
    <xdr:from>
      <xdr:col>2</xdr:col>
      <xdr:colOff>0</xdr:colOff>
      <xdr:row>41</xdr:row>
      <xdr:rowOff>0</xdr:rowOff>
    </xdr:from>
    <xdr:to>
      <xdr:col>2</xdr:col>
      <xdr:colOff>152400</xdr:colOff>
      <xdr:row>41</xdr:row>
      <xdr:rowOff>152400</xdr:rowOff>
    </xdr:to>
    <xdr:sp macro="" textlink="">
      <xdr:nvSpPr>
        <xdr:cNvPr id="160" name="Control 159" hidden="1">
          <a:extLst>
            <a:ext uri="{63B3BB69-23CF-44E3-9099-C40C66FF867C}">
              <a14:compatExt xmlns:a14="http://schemas.microsoft.com/office/drawing/2010/main" spid="_x0000_s1183"/>
            </a:ext>
            <a:ext uri="{FF2B5EF4-FFF2-40B4-BE49-F238E27FC236}">
              <a16:creationId xmlns:a16="http://schemas.microsoft.com/office/drawing/2014/main" id="{00000000-0008-0000-0E00-0000A0000000}"/>
            </a:ext>
          </a:extLst>
        </xdr:cNvPr>
        <xdr:cNvSpPr/>
      </xdr:nvSpPr>
      <xdr:spPr bwMode="auto">
        <a:xfrm>
          <a:off x="3562350" y="8591550"/>
          <a:ext cx="152400" cy="152400"/>
        </a:xfrm>
        <a:prstGeom prst="rect">
          <a:avLst/>
        </a:prstGeom>
        <a:noFill/>
        <a:ln w="9525">
          <a:miter lim="800000"/>
          <a:headEnd/>
          <a:tailEnd/>
        </a:ln>
      </xdr:spPr>
    </xdr:sp>
    <xdr:clientData/>
  </xdr:twoCellAnchor>
  <xdr:twoCellAnchor editAs="oneCell">
    <xdr:from>
      <xdr:col>2</xdr:col>
      <xdr:colOff>0</xdr:colOff>
      <xdr:row>41</xdr:row>
      <xdr:rowOff>0</xdr:rowOff>
    </xdr:from>
    <xdr:to>
      <xdr:col>2</xdr:col>
      <xdr:colOff>152400</xdr:colOff>
      <xdr:row>41</xdr:row>
      <xdr:rowOff>152400</xdr:rowOff>
    </xdr:to>
    <xdr:sp macro="" textlink="">
      <xdr:nvSpPr>
        <xdr:cNvPr id="161" name="Control 160" hidden="1">
          <a:extLst>
            <a:ext uri="{63B3BB69-23CF-44E3-9099-C40C66FF867C}">
              <a14:compatExt xmlns:a14="http://schemas.microsoft.com/office/drawing/2010/main" spid="_x0000_s1184"/>
            </a:ext>
            <a:ext uri="{FF2B5EF4-FFF2-40B4-BE49-F238E27FC236}">
              <a16:creationId xmlns:a16="http://schemas.microsoft.com/office/drawing/2014/main" id="{00000000-0008-0000-0E00-0000A1000000}"/>
            </a:ext>
          </a:extLst>
        </xdr:cNvPr>
        <xdr:cNvSpPr/>
      </xdr:nvSpPr>
      <xdr:spPr bwMode="auto">
        <a:xfrm>
          <a:off x="3562350" y="8591550"/>
          <a:ext cx="152400" cy="152400"/>
        </a:xfrm>
        <a:prstGeom prst="rect">
          <a:avLst/>
        </a:prstGeom>
        <a:noFill/>
        <a:ln w="9525">
          <a:miter lim="800000"/>
          <a:headEnd/>
          <a:tailEnd/>
        </a:ln>
      </xdr:spPr>
    </xdr:sp>
    <xdr:clientData/>
  </xdr:twoCellAnchor>
  <xdr:twoCellAnchor editAs="oneCell">
    <xdr:from>
      <xdr:col>0</xdr:col>
      <xdr:colOff>0</xdr:colOff>
      <xdr:row>42</xdr:row>
      <xdr:rowOff>0</xdr:rowOff>
    </xdr:from>
    <xdr:to>
      <xdr:col>0</xdr:col>
      <xdr:colOff>139700</xdr:colOff>
      <xdr:row>42</xdr:row>
      <xdr:rowOff>139700</xdr:rowOff>
    </xdr:to>
    <xdr:sp macro="" textlink="">
      <xdr:nvSpPr>
        <xdr:cNvPr id="162" name="Control 161" hidden="1">
          <a:extLst>
            <a:ext uri="{63B3BB69-23CF-44E3-9099-C40C66FF867C}">
              <a14:compatExt xmlns:a14="http://schemas.microsoft.com/office/drawing/2010/main" spid="_x0000_s1185"/>
            </a:ext>
            <a:ext uri="{FF2B5EF4-FFF2-40B4-BE49-F238E27FC236}">
              <a16:creationId xmlns:a16="http://schemas.microsoft.com/office/drawing/2014/main" id="{00000000-0008-0000-0E00-0000A2000000}"/>
            </a:ext>
          </a:extLst>
        </xdr:cNvPr>
        <xdr:cNvSpPr/>
      </xdr:nvSpPr>
      <xdr:spPr bwMode="auto">
        <a:xfrm>
          <a:off x="0" y="8801100"/>
          <a:ext cx="139700" cy="139700"/>
        </a:xfrm>
        <a:prstGeom prst="rect">
          <a:avLst/>
        </a:prstGeom>
        <a:noFill/>
        <a:ln w="9525">
          <a:miter lim="800000"/>
          <a:headEnd/>
          <a:tailEnd/>
        </a:ln>
      </xdr:spPr>
    </xdr:sp>
    <xdr:clientData/>
  </xdr:twoCellAnchor>
  <xdr:twoCellAnchor editAs="oneCell">
    <xdr:from>
      <xdr:col>2</xdr:col>
      <xdr:colOff>0</xdr:colOff>
      <xdr:row>42</xdr:row>
      <xdr:rowOff>0</xdr:rowOff>
    </xdr:from>
    <xdr:to>
      <xdr:col>2</xdr:col>
      <xdr:colOff>254000</xdr:colOff>
      <xdr:row>43</xdr:row>
      <xdr:rowOff>82550</xdr:rowOff>
    </xdr:to>
    <xdr:sp macro="" textlink="">
      <xdr:nvSpPr>
        <xdr:cNvPr id="163" name="Control 162" hidden="1">
          <a:extLst>
            <a:ext uri="{63B3BB69-23CF-44E3-9099-C40C66FF867C}">
              <a14:compatExt xmlns:a14="http://schemas.microsoft.com/office/drawing/2010/main" spid="_x0000_s1186"/>
            </a:ext>
            <a:ext uri="{FF2B5EF4-FFF2-40B4-BE49-F238E27FC236}">
              <a16:creationId xmlns:a16="http://schemas.microsoft.com/office/drawing/2014/main" id="{00000000-0008-0000-0E00-0000A3000000}"/>
            </a:ext>
          </a:extLst>
        </xdr:cNvPr>
        <xdr:cNvSpPr/>
      </xdr:nvSpPr>
      <xdr:spPr bwMode="auto">
        <a:xfrm>
          <a:off x="3562350" y="8801100"/>
          <a:ext cx="254000" cy="273050"/>
        </a:xfrm>
        <a:prstGeom prst="rect">
          <a:avLst/>
        </a:prstGeom>
        <a:noFill/>
        <a:ln w="9525">
          <a:miter lim="800000"/>
          <a:headEnd/>
          <a:tailEnd/>
        </a:ln>
      </xdr:spPr>
    </xdr:sp>
    <xdr:clientData/>
  </xdr:twoCellAnchor>
  <xdr:twoCellAnchor editAs="oneCell">
    <xdr:from>
      <xdr:col>2</xdr:col>
      <xdr:colOff>0</xdr:colOff>
      <xdr:row>42</xdr:row>
      <xdr:rowOff>0</xdr:rowOff>
    </xdr:from>
    <xdr:to>
      <xdr:col>2</xdr:col>
      <xdr:colOff>152400</xdr:colOff>
      <xdr:row>42</xdr:row>
      <xdr:rowOff>152400</xdr:rowOff>
    </xdr:to>
    <xdr:sp macro="" textlink="">
      <xdr:nvSpPr>
        <xdr:cNvPr id="164" name="Control 163" hidden="1">
          <a:extLst>
            <a:ext uri="{63B3BB69-23CF-44E3-9099-C40C66FF867C}">
              <a14:compatExt xmlns:a14="http://schemas.microsoft.com/office/drawing/2010/main" spid="_x0000_s1187"/>
            </a:ext>
            <a:ext uri="{FF2B5EF4-FFF2-40B4-BE49-F238E27FC236}">
              <a16:creationId xmlns:a16="http://schemas.microsoft.com/office/drawing/2014/main" id="{00000000-0008-0000-0E00-0000A4000000}"/>
            </a:ext>
          </a:extLst>
        </xdr:cNvPr>
        <xdr:cNvSpPr/>
      </xdr:nvSpPr>
      <xdr:spPr bwMode="auto">
        <a:xfrm>
          <a:off x="3562350" y="8801100"/>
          <a:ext cx="152400" cy="152400"/>
        </a:xfrm>
        <a:prstGeom prst="rect">
          <a:avLst/>
        </a:prstGeom>
        <a:noFill/>
        <a:ln w="9525">
          <a:miter lim="800000"/>
          <a:headEnd/>
          <a:tailEnd/>
        </a:ln>
      </xdr:spPr>
    </xdr:sp>
    <xdr:clientData/>
  </xdr:twoCellAnchor>
  <xdr:twoCellAnchor editAs="oneCell">
    <xdr:from>
      <xdr:col>2</xdr:col>
      <xdr:colOff>0</xdr:colOff>
      <xdr:row>42</xdr:row>
      <xdr:rowOff>0</xdr:rowOff>
    </xdr:from>
    <xdr:to>
      <xdr:col>2</xdr:col>
      <xdr:colOff>152400</xdr:colOff>
      <xdr:row>42</xdr:row>
      <xdr:rowOff>152400</xdr:rowOff>
    </xdr:to>
    <xdr:sp macro="" textlink="">
      <xdr:nvSpPr>
        <xdr:cNvPr id="165" name="Control 164" hidden="1">
          <a:extLst>
            <a:ext uri="{63B3BB69-23CF-44E3-9099-C40C66FF867C}">
              <a14:compatExt xmlns:a14="http://schemas.microsoft.com/office/drawing/2010/main" spid="_x0000_s1188"/>
            </a:ext>
            <a:ext uri="{FF2B5EF4-FFF2-40B4-BE49-F238E27FC236}">
              <a16:creationId xmlns:a16="http://schemas.microsoft.com/office/drawing/2014/main" id="{00000000-0008-0000-0E00-0000A5000000}"/>
            </a:ext>
          </a:extLst>
        </xdr:cNvPr>
        <xdr:cNvSpPr/>
      </xdr:nvSpPr>
      <xdr:spPr bwMode="auto">
        <a:xfrm>
          <a:off x="3562350" y="8801100"/>
          <a:ext cx="152400" cy="152400"/>
        </a:xfrm>
        <a:prstGeom prst="rect">
          <a:avLst/>
        </a:prstGeom>
        <a:noFill/>
        <a:ln w="9525">
          <a:miter lim="800000"/>
          <a:headEnd/>
          <a:tailEnd/>
        </a:ln>
      </xdr:spPr>
    </xdr:sp>
    <xdr:clientData/>
  </xdr:twoCellAnchor>
  <xdr:twoCellAnchor editAs="oneCell">
    <xdr:from>
      <xdr:col>0</xdr:col>
      <xdr:colOff>0</xdr:colOff>
      <xdr:row>43</xdr:row>
      <xdr:rowOff>0</xdr:rowOff>
    </xdr:from>
    <xdr:to>
      <xdr:col>0</xdr:col>
      <xdr:colOff>139700</xdr:colOff>
      <xdr:row>43</xdr:row>
      <xdr:rowOff>139700</xdr:rowOff>
    </xdr:to>
    <xdr:sp macro="" textlink="">
      <xdr:nvSpPr>
        <xdr:cNvPr id="166" name="Control 165" hidden="1">
          <a:extLst>
            <a:ext uri="{63B3BB69-23CF-44E3-9099-C40C66FF867C}">
              <a14:compatExt xmlns:a14="http://schemas.microsoft.com/office/drawing/2010/main" spid="_x0000_s1189"/>
            </a:ext>
            <a:ext uri="{FF2B5EF4-FFF2-40B4-BE49-F238E27FC236}">
              <a16:creationId xmlns:a16="http://schemas.microsoft.com/office/drawing/2014/main" id="{00000000-0008-0000-0E00-0000A6000000}"/>
            </a:ext>
          </a:extLst>
        </xdr:cNvPr>
        <xdr:cNvSpPr/>
      </xdr:nvSpPr>
      <xdr:spPr bwMode="auto">
        <a:xfrm>
          <a:off x="0" y="9010650"/>
          <a:ext cx="139700" cy="139700"/>
        </a:xfrm>
        <a:prstGeom prst="rect">
          <a:avLst/>
        </a:prstGeom>
        <a:noFill/>
        <a:ln w="9525">
          <a:miter lim="800000"/>
          <a:headEnd/>
          <a:tailEnd/>
        </a:ln>
      </xdr:spPr>
    </xdr:sp>
    <xdr:clientData/>
  </xdr:twoCellAnchor>
  <xdr:twoCellAnchor editAs="oneCell">
    <xdr:from>
      <xdr:col>2</xdr:col>
      <xdr:colOff>0</xdr:colOff>
      <xdr:row>43</xdr:row>
      <xdr:rowOff>0</xdr:rowOff>
    </xdr:from>
    <xdr:to>
      <xdr:col>2</xdr:col>
      <xdr:colOff>254000</xdr:colOff>
      <xdr:row>44</xdr:row>
      <xdr:rowOff>82550</xdr:rowOff>
    </xdr:to>
    <xdr:sp macro="" textlink="">
      <xdr:nvSpPr>
        <xdr:cNvPr id="167" name="Control 166" hidden="1">
          <a:extLst>
            <a:ext uri="{63B3BB69-23CF-44E3-9099-C40C66FF867C}">
              <a14:compatExt xmlns:a14="http://schemas.microsoft.com/office/drawing/2010/main" spid="_x0000_s1190"/>
            </a:ext>
            <a:ext uri="{FF2B5EF4-FFF2-40B4-BE49-F238E27FC236}">
              <a16:creationId xmlns:a16="http://schemas.microsoft.com/office/drawing/2014/main" id="{00000000-0008-0000-0E00-0000A7000000}"/>
            </a:ext>
          </a:extLst>
        </xdr:cNvPr>
        <xdr:cNvSpPr/>
      </xdr:nvSpPr>
      <xdr:spPr bwMode="auto">
        <a:xfrm>
          <a:off x="3562350" y="9010650"/>
          <a:ext cx="254000" cy="273050"/>
        </a:xfrm>
        <a:prstGeom prst="rect">
          <a:avLst/>
        </a:prstGeom>
        <a:noFill/>
        <a:ln w="9525">
          <a:miter lim="800000"/>
          <a:headEnd/>
          <a:tailEnd/>
        </a:ln>
      </xdr:spPr>
    </xdr:sp>
    <xdr:clientData/>
  </xdr:twoCellAnchor>
  <xdr:twoCellAnchor editAs="oneCell">
    <xdr:from>
      <xdr:col>2</xdr:col>
      <xdr:colOff>0</xdr:colOff>
      <xdr:row>43</xdr:row>
      <xdr:rowOff>0</xdr:rowOff>
    </xdr:from>
    <xdr:to>
      <xdr:col>2</xdr:col>
      <xdr:colOff>152400</xdr:colOff>
      <xdr:row>43</xdr:row>
      <xdr:rowOff>152400</xdr:rowOff>
    </xdr:to>
    <xdr:sp macro="" textlink="">
      <xdr:nvSpPr>
        <xdr:cNvPr id="168" name="Control 167" hidden="1">
          <a:extLst>
            <a:ext uri="{63B3BB69-23CF-44E3-9099-C40C66FF867C}">
              <a14:compatExt xmlns:a14="http://schemas.microsoft.com/office/drawing/2010/main" spid="_x0000_s1191"/>
            </a:ext>
            <a:ext uri="{FF2B5EF4-FFF2-40B4-BE49-F238E27FC236}">
              <a16:creationId xmlns:a16="http://schemas.microsoft.com/office/drawing/2014/main" id="{00000000-0008-0000-0E00-0000A8000000}"/>
            </a:ext>
          </a:extLst>
        </xdr:cNvPr>
        <xdr:cNvSpPr/>
      </xdr:nvSpPr>
      <xdr:spPr bwMode="auto">
        <a:xfrm>
          <a:off x="3562350" y="9010650"/>
          <a:ext cx="152400" cy="152400"/>
        </a:xfrm>
        <a:prstGeom prst="rect">
          <a:avLst/>
        </a:prstGeom>
        <a:noFill/>
        <a:ln w="9525">
          <a:miter lim="800000"/>
          <a:headEnd/>
          <a:tailEnd/>
        </a:ln>
      </xdr:spPr>
    </xdr:sp>
    <xdr:clientData/>
  </xdr:twoCellAnchor>
  <xdr:twoCellAnchor editAs="oneCell">
    <xdr:from>
      <xdr:col>2</xdr:col>
      <xdr:colOff>0</xdr:colOff>
      <xdr:row>43</xdr:row>
      <xdr:rowOff>0</xdr:rowOff>
    </xdr:from>
    <xdr:to>
      <xdr:col>2</xdr:col>
      <xdr:colOff>152400</xdr:colOff>
      <xdr:row>43</xdr:row>
      <xdr:rowOff>152400</xdr:rowOff>
    </xdr:to>
    <xdr:sp macro="" textlink="">
      <xdr:nvSpPr>
        <xdr:cNvPr id="169" name="Control 168" hidden="1">
          <a:extLst>
            <a:ext uri="{63B3BB69-23CF-44E3-9099-C40C66FF867C}">
              <a14:compatExt xmlns:a14="http://schemas.microsoft.com/office/drawing/2010/main" spid="_x0000_s1192"/>
            </a:ext>
            <a:ext uri="{FF2B5EF4-FFF2-40B4-BE49-F238E27FC236}">
              <a16:creationId xmlns:a16="http://schemas.microsoft.com/office/drawing/2014/main" id="{00000000-0008-0000-0E00-0000A9000000}"/>
            </a:ext>
          </a:extLst>
        </xdr:cNvPr>
        <xdr:cNvSpPr/>
      </xdr:nvSpPr>
      <xdr:spPr bwMode="auto">
        <a:xfrm>
          <a:off x="3562350" y="9010650"/>
          <a:ext cx="152400" cy="152400"/>
        </a:xfrm>
        <a:prstGeom prst="rect">
          <a:avLst/>
        </a:prstGeom>
        <a:noFill/>
        <a:ln w="9525">
          <a:miter lim="800000"/>
          <a:headEnd/>
          <a:tailEnd/>
        </a:ln>
      </xdr:spPr>
    </xdr:sp>
    <xdr:clientData/>
  </xdr:twoCellAnchor>
  <xdr:twoCellAnchor editAs="oneCell">
    <xdr:from>
      <xdr:col>0</xdr:col>
      <xdr:colOff>0</xdr:colOff>
      <xdr:row>44</xdr:row>
      <xdr:rowOff>0</xdr:rowOff>
    </xdr:from>
    <xdr:to>
      <xdr:col>0</xdr:col>
      <xdr:colOff>139700</xdr:colOff>
      <xdr:row>44</xdr:row>
      <xdr:rowOff>139700</xdr:rowOff>
    </xdr:to>
    <xdr:sp macro="" textlink="">
      <xdr:nvSpPr>
        <xdr:cNvPr id="170" name="Control 169" hidden="1">
          <a:extLst>
            <a:ext uri="{63B3BB69-23CF-44E3-9099-C40C66FF867C}">
              <a14:compatExt xmlns:a14="http://schemas.microsoft.com/office/drawing/2010/main" spid="_x0000_s1193"/>
            </a:ext>
            <a:ext uri="{FF2B5EF4-FFF2-40B4-BE49-F238E27FC236}">
              <a16:creationId xmlns:a16="http://schemas.microsoft.com/office/drawing/2014/main" id="{00000000-0008-0000-0E00-0000AA000000}"/>
            </a:ext>
          </a:extLst>
        </xdr:cNvPr>
        <xdr:cNvSpPr/>
      </xdr:nvSpPr>
      <xdr:spPr bwMode="auto">
        <a:xfrm>
          <a:off x="0" y="9220200"/>
          <a:ext cx="139700" cy="139700"/>
        </a:xfrm>
        <a:prstGeom prst="rect">
          <a:avLst/>
        </a:prstGeom>
        <a:noFill/>
        <a:ln w="9525">
          <a:miter lim="800000"/>
          <a:headEnd/>
          <a:tailEnd/>
        </a:ln>
      </xdr:spPr>
    </xdr:sp>
    <xdr:clientData/>
  </xdr:twoCellAnchor>
  <xdr:twoCellAnchor editAs="oneCell">
    <xdr:from>
      <xdr:col>2</xdr:col>
      <xdr:colOff>0</xdr:colOff>
      <xdr:row>44</xdr:row>
      <xdr:rowOff>0</xdr:rowOff>
    </xdr:from>
    <xdr:to>
      <xdr:col>2</xdr:col>
      <xdr:colOff>254000</xdr:colOff>
      <xdr:row>45</xdr:row>
      <xdr:rowOff>82550</xdr:rowOff>
    </xdr:to>
    <xdr:sp macro="" textlink="">
      <xdr:nvSpPr>
        <xdr:cNvPr id="171" name="Control 170" hidden="1">
          <a:extLst>
            <a:ext uri="{63B3BB69-23CF-44E3-9099-C40C66FF867C}">
              <a14:compatExt xmlns:a14="http://schemas.microsoft.com/office/drawing/2010/main" spid="_x0000_s1194"/>
            </a:ext>
            <a:ext uri="{FF2B5EF4-FFF2-40B4-BE49-F238E27FC236}">
              <a16:creationId xmlns:a16="http://schemas.microsoft.com/office/drawing/2014/main" id="{00000000-0008-0000-0E00-0000AB000000}"/>
            </a:ext>
          </a:extLst>
        </xdr:cNvPr>
        <xdr:cNvSpPr/>
      </xdr:nvSpPr>
      <xdr:spPr bwMode="auto">
        <a:xfrm>
          <a:off x="3562350" y="9220200"/>
          <a:ext cx="254000" cy="273050"/>
        </a:xfrm>
        <a:prstGeom prst="rect">
          <a:avLst/>
        </a:prstGeom>
        <a:noFill/>
        <a:ln w="9525">
          <a:miter lim="800000"/>
          <a:headEnd/>
          <a:tailEnd/>
        </a:ln>
      </xdr:spPr>
    </xdr:sp>
    <xdr:clientData/>
  </xdr:twoCellAnchor>
  <xdr:twoCellAnchor editAs="oneCell">
    <xdr:from>
      <xdr:col>2</xdr:col>
      <xdr:colOff>0</xdr:colOff>
      <xdr:row>44</xdr:row>
      <xdr:rowOff>0</xdr:rowOff>
    </xdr:from>
    <xdr:to>
      <xdr:col>2</xdr:col>
      <xdr:colOff>152400</xdr:colOff>
      <xdr:row>44</xdr:row>
      <xdr:rowOff>152400</xdr:rowOff>
    </xdr:to>
    <xdr:sp macro="" textlink="">
      <xdr:nvSpPr>
        <xdr:cNvPr id="172" name="Control 171" hidden="1">
          <a:extLst>
            <a:ext uri="{63B3BB69-23CF-44E3-9099-C40C66FF867C}">
              <a14:compatExt xmlns:a14="http://schemas.microsoft.com/office/drawing/2010/main" spid="_x0000_s1195"/>
            </a:ext>
            <a:ext uri="{FF2B5EF4-FFF2-40B4-BE49-F238E27FC236}">
              <a16:creationId xmlns:a16="http://schemas.microsoft.com/office/drawing/2014/main" id="{00000000-0008-0000-0E00-0000AC000000}"/>
            </a:ext>
          </a:extLst>
        </xdr:cNvPr>
        <xdr:cNvSpPr/>
      </xdr:nvSpPr>
      <xdr:spPr bwMode="auto">
        <a:xfrm>
          <a:off x="3562350" y="9220200"/>
          <a:ext cx="152400" cy="152400"/>
        </a:xfrm>
        <a:prstGeom prst="rect">
          <a:avLst/>
        </a:prstGeom>
        <a:noFill/>
        <a:ln w="9525">
          <a:miter lim="800000"/>
          <a:headEnd/>
          <a:tailEnd/>
        </a:ln>
      </xdr:spPr>
    </xdr:sp>
    <xdr:clientData/>
  </xdr:twoCellAnchor>
  <xdr:twoCellAnchor editAs="oneCell">
    <xdr:from>
      <xdr:col>2</xdr:col>
      <xdr:colOff>0</xdr:colOff>
      <xdr:row>44</xdr:row>
      <xdr:rowOff>0</xdr:rowOff>
    </xdr:from>
    <xdr:to>
      <xdr:col>2</xdr:col>
      <xdr:colOff>152400</xdr:colOff>
      <xdr:row>44</xdr:row>
      <xdr:rowOff>152400</xdr:rowOff>
    </xdr:to>
    <xdr:sp macro="" textlink="">
      <xdr:nvSpPr>
        <xdr:cNvPr id="173" name="Control 172" hidden="1">
          <a:extLst>
            <a:ext uri="{63B3BB69-23CF-44E3-9099-C40C66FF867C}">
              <a14:compatExt xmlns:a14="http://schemas.microsoft.com/office/drawing/2010/main" spid="_x0000_s1196"/>
            </a:ext>
            <a:ext uri="{FF2B5EF4-FFF2-40B4-BE49-F238E27FC236}">
              <a16:creationId xmlns:a16="http://schemas.microsoft.com/office/drawing/2014/main" id="{00000000-0008-0000-0E00-0000AD000000}"/>
            </a:ext>
          </a:extLst>
        </xdr:cNvPr>
        <xdr:cNvSpPr/>
      </xdr:nvSpPr>
      <xdr:spPr bwMode="auto">
        <a:xfrm>
          <a:off x="3562350" y="9220200"/>
          <a:ext cx="152400" cy="152400"/>
        </a:xfrm>
        <a:prstGeom prst="rect">
          <a:avLst/>
        </a:prstGeom>
        <a:noFill/>
        <a:ln w="9525">
          <a:miter lim="800000"/>
          <a:headEnd/>
          <a:tailEnd/>
        </a:ln>
      </xdr:spPr>
    </xdr:sp>
    <xdr:clientData/>
  </xdr:twoCellAnchor>
  <xdr:twoCellAnchor editAs="oneCell">
    <xdr:from>
      <xdr:col>0</xdr:col>
      <xdr:colOff>0</xdr:colOff>
      <xdr:row>45</xdr:row>
      <xdr:rowOff>0</xdr:rowOff>
    </xdr:from>
    <xdr:to>
      <xdr:col>0</xdr:col>
      <xdr:colOff>139700</xdr:colOff>
      <xdr:row>45</xdr:row>
      <xdr:rowOff>139700</xdr:rowOff>
    </xdr:to>
    <xdr:sp macro="" textlink="">
      <xdr:nvSpPr>
        <xdr:cNvPr id="174" name="Control 173" hidden="1">
          <a:extLst>
            <a:ext uri="{63B3BB69-23CF-44E3-9099-C40C66FF867C}">
              <a14:compatExt xmlns:a14="http://schemas.microsoft.com/office/drawing/2010/main" spid="_x0000_s1197"/>
            </a:ext>
            <a:ext uri="{FF2B5EF4-FFF2-40B4-BE49-F238E27FC236}">
              <a16:creationId xmlns:a16="http://schemas.microsoft.com/office/drawing/2014/main" id="{00000000-0008-0000-0E00-0000AE000000}"/>
            </a:ext>
          </a:extLst>
        </xdr:cNvPr>
        <xdr:cNvSpPr/>
      </xdr:nvSpPr>
      <xdr:spPr bwMode="auto">
        <a:xfrm>
          <a:off x="0" y="9429750"/>
          <a:ext cx="139700" cy="139700"/>
        </a:xfrm>
        <a:prstGeom prst="rect">
          <a:avLst/>
        </a:prstGeom>
        <a:noFill/>
        <a:ln w="9525">
          <a:miter lim="800000"/>
          <a:headEnd/>
          <a:tailEnd/>
        </a:ln>
      </xdr:spPr>
    </xdr:sp>
    <xdr:clientData/>
  </xdr:twoCellAnchor>
  <xdr:twoCellAnchor editAs="oneCell">
    <xdr:from>
      <xdr:col>2</xdr:col>
      <xdr:colOff>0</xdr:colOff>
      <xdr:row>45</xdr:row>
      <xdr:rowOff>0</xdr:rowOff>
    </xdr:from>
    <xdr:to>
      <xdr:col>2</xdr:col>
      <xdr:colOff>254000</xdr:colOff>
      <xdr:row>46</xdr:row>
      <xdr:rowOff>82550</xdr:rowOff>
    </xdr:to>
    <xdr:sp macro="" textlink="">
      <xdr:nvSpPr>
        <xdr:cNvPr id="175" name="Control 174" hidden="1">
          <a:extLst>
            <a:ext uri="{63B3BB69-23CF-44E3-9099-C40C66FF867C}">
              <a14:compatExt xmlns:a14="http://schemas.microsoft.com/office/drawing/2010/main" spid="_x0000_s1198"/>
            </a:ext>
            <a:ext uri="{FF2B5EF4-FFF2-40B4-BE49-F238E27FC236}">
              <a16:creationId xmlns:a16="http://schemas.microsoft.com/office/drawing/2014/main" id="{00000000-0008-0000-0E00-0000AF000000}"/>
            </a:ext>
          </a:extLst>
        </xdr:cNvPr>
        <xdr:cNvSpPr/>
      </xdr:nvSpPr>
      <xdr:spPr bwMode="auto">
        <a:xfrm>
          <a:off x="3562350" y="9429750"/>
          <a:ext cx="254000" cy="273050"/>
        </a:xfrm>
        <a:prstGeom prst="rect">
          <a:avLst/>
        </a:prstGeom>
        <a:noFill/>
        <a:ln w="9525">
          <a:miter lim="800000"/>
          <a:headEnd/>
          <a:tailEnd/>
        </a:ln>
      </xdr:spPr>
    </xdr:sp>
    <xdr:clientData/>
  </xdr:twoCellAnchor>
  <xdr:twoCellAnchor editAs="oneCell">
    <xdr:from>
      <xdr:col>2</xdr:col>
      <xdr:colOff>0</xdr:colOff>
      <xdr:row>45</xdr:row>
      <xdr:rowOff>0</xdr:rowOff>
    </xdr:from>
    <xdr:to>
      <xdr:col>2</xdr:col>
      <xdr:colOff>152400</xdr:colOff>
      <xdr:row>45</xdr:row>
      <xdr:rowOff>152400</xdr:rowOff>
    </xdr:to>
    <xdr:sp macro="" textlink="">
      <xdr:nvSpPr>
        <xdr:cNvPr id="176" name="Control 175" hidden="1">
          <a:extLst>
            <a:ext uri="{63B3BB69-23CF-44E3-9099-C40C66FF867C}">
              <a14:compatExt xmlns:a14="http://schemas.microsoft.com/office/drawing/2010/main" spid="_x0000_s1199"/>
            </a:ext>
            <a:ext uri="{FF2B5EF4-FFF2-40B4-BE49-F238E27FC236}">
              <a16:creationId xmlns:a16="http://schemas.microsoft.com/office/drawing/2014/main" id="{00000000-0008-0000-0E00-0000B0000000}"/>
            </a:ext>
          </a:extLst>
        </xdr:cNvPr>
        <xdr:cNvSpPr/>
      </xdr:nvSpPr>
      <xdr:spPr bwMode="auto">
        <a:xfrm>
          <a:off x="3562350" y="9429750"/>
          <a:ext cx="152400" cy="152400"/>
        </a:xfrm>
        <a:prstGeom prst="rect">
          <a:avLst/>
        </a:prstGeom>
        <a:noFill/>
        <a:ln w="9525">
          <a:miter lim="800000"/>
          <a:headEnd/>
          <a:tailEnd/>
        </a:ln>
      </xdr:spPr>
    </xdr:sp>
    <xdr:clientData/>
  </xdr:twoCellAnchor>
  <xdr:twoCellAnchor editAs="oneCell">
    <xdr:from>
      <xdr:col>2</xdr:col>
      <xdr:colOff>0</xdr:colOff>
      <xdr:row>45</xdr:row>
      <xdr:rowOff>0</xdr:rowOff>
    </xdr:from>
    <xdr:to>
      <xdr:col>2</xdr:col>
      <xdr:colOff>152400</xdr:colOff>
      <xdr:row>45</xdr:row>
      <xdr:rowOff>152400</xdr:rowOff>
    </xdr:to>
    <xdr:sp macro="" textlink="">
      <xdr:nvSpPr>
        <xdr:cNvPr id="177" name="Control 176" hidden="1">
          <a:extLst>
            <a:ext uri="{63B3BB69-23CF-44E3-9099-C40C66FF867C}">
              <a14:compatExt xmlns:a14="http://schemas.microsoft.com/office/drawing/2010/main" spid="_x0000_s1200"/>
            </a:ext>
            <a:ext uri="{FF2B5EF4-FFF2-40B4-BE49-F238E27FC236}">
              <a16:creationId xmlns:a16="http://schemas.microsoft.com/office/drawing/2014/main" id="{00000000-0008-0000-0E00-0000B1000000}"/>
            </a:ext>
          </a:extLst>
        </xdr:cNvPr>
        <xdr:cNvSpPr/>
      </xdr:nvSpPr>
      <xdr:spPr bwMode="auto">
        <a:xfrm>
          <a:off x="3562350" y="9429750"/>
          <a:ext cx="152400" cy="152400"/>
        </a:xfrm>
        <a:prstGeom prst="rect">
          <a:avLst/>
        </a:prstGeom>
        <a:noFill/>
        <a:ln w="9525">
          <a:miter lim="800000"/>
          <a:headEnd/>
          <a:tailEnd/>
        </a:ln>
      </xdr:spPr>
    </xdr:sp>
    <xdr:clientData/>
  </xdr:twoCellAnchor>
  <xdr:twoCellAnchor editAs="oneCell">
    <xdr:from>
      <xdr:col>0</xdr:col>
      <xdr:colOff>0</xdr:colOff>
      <xdr:row>46</xdr:row>
      <xdr:rowOff>0</xdr:rowOff>
    </xdr:from>
    <xdr:to>
      <xdr:col>0</xdr:col>
      <xdr:colOff>139700</xdr:colOff>
      <xdr:row>46</xdr:row>
      <xdr:rowOff>139700</xdr:rowOff>
    </xdr:to>
    <xdr:sp macro="" textlink="">
      <xdr:nvSpPr>
        <xdr:cNvPr id="178" name="Control 177" hidden="1">
          <a:extLst>
            <a:ext uri="{63B3BB69-23CF-44E3-9099-C40C66FF867C}">
              <a14:compatExt xmlns:a14="http://schemas.microsoft.com/office/drawing/2010/main" spid="_x0000_s1201"/>
            </a:ext>
            <a:ext uri="{FF2B5EF4-FFF2-40B4-BE49-F238E27FC236}">
              <a16:creationId xmlns:a16="http://schemas.microsoft.com/office/drawing/2014/main" id="{00000000-0008-0000-0E00-0000B2000000}"/>
            </a:ext>
          </a:extLst>
        </xdr:cNvPr>
        <xdr:cNvSpPr/>
      </xdr:nvSpPr>
      <xdr:spPr bwMode="auto">
        <a:xfrm>
          <a:off x="0" y="9639300"/>
          <a:ext cx="139700" cy="139700"/>
        </a:xfrm>
        <a:prstGeom prst="rect">
          <a:avLst/>
        </a:prstGeom>
        <a:noFill/>
        <a:ln w="9525">
          <a:miter lim="800000"/>
          <a:headEnd/>
          <a:tailEnd/>
        </a:ln>
      </xdr:spPr>
    </xdr:sp>
    <xdr:clientData/>
  </xdr:twoCellAnchor>
  <xdr:twoCellAnchor editAs="oneCell">
    <xdr:from>
      <xdr:col>2</xdr:col>
      <xdr:colOff>0</xdr:colOff>
      <xdr:row>46</xdr:row>
      <xdr:rowOff>0</xdr:rowOff>
    </xdr:from>
    <xdr:to>
      <xdr:col>2</xdr:col>
      <xdr:colOff>254000</xdr:colOff>
      <xdr:row>47</xdr:row>
      <xdr:rowOff>82550</xdr:rowOff>
    </xdr:to>
    <xdr:sp macro="" textlink="">
      <xdr:nvSpPr>
        <xdr:cNvPr id="179" name="Control 178" hidden="1">
          <a:extLst>
            <a:ext uri="{63B3BB69-23CF-44E3-9099-C40C66FF867C}">
              <a14:compatExt xmlns:a14="http://schemas.microsoft.com/office/drawing/2010/main" spid="_x0000_s1202"/>
            </a:ext>
            <a:ext uri="{FF2B5EF4-FFF2-40B4-BE49-F238E27FC236}">
              <a16:creationId xmlns:a16="http://schemas.microsoft.com/office/drawing/2014/main" id="{00000000-0008-0000-0E00-0000B3000000}"/>
            </a:ext>
          </a:extLst>
        </xdr:cNvPr>
        <xdr:cNvSpPr/>
      </xdr:nvSpPr>
      <xdr:spPr bwMode="auto">
        <a:xfrm>
          <a:off x="3562350" y="9639300"/>
          <a:ext cx="254000" cy="273050"/>
        </a:xfrm>
        <a:prstGeom prst="rect">
          <a:avLst/>
        </a:prstGeom>
        <a:noFill/>
        <a:ln w="9525">
          <a:miter lim="800000"/>
          <a:headEnd/>
          <a:tailEnd/>
        </a:ln>
      </xdr:spPr>
    </xdr:sp>
    <xdr:clientData/>
  </xdr:twoCellAnchor>
  <xdr:twoCellAnchor editAs="oneCell">
    <xdr:from>
      <xdr:col>2</xdr:col>
      <xdr:colOff>0</xdr:colOff>
      <xdr:row>46</xdr:row>
      <xdr:rowOff>0</xdr:rowOff>
    </xdr:from>
    <xdr:to>
      <xdr:col>2</xdr:col>
      <xdr:colOff>152400</xdr:colOff>
      <xdr:row>46</xdr:row>
      <xdr:rowOff>152400</xdr:rowOff>
    </xdr:to>
    <xdr:sp macro="" textlink="">
      <xdr:nvSpPr>
        <xdr:cNvPr id="180" name="Control 179" hidden="1">
          <a:extLst>
            <a:ext uri="{63B3BB69-23CF-44E3-9099-C40C66FF867C}">
              <a14:compatExt xmlns:a14="http://schemas.microsoft.com/office/drawing/2010/main" spid="_x0000_s1203"/>
            </a:ext>
            <a:ext uri="{FF2B5EF4-FFF2-40B4-BE49-F238E27FC236}">
              <a16:creationId xmlns:a16="http://schemas.microsoft.com/office/drawing/2014/main" id="{00000000-0008-0000-0E00-0000B4000000}"/>
            </a:ext>
          </a:extLst>
        </xdr:cNvPr>
        <xdr:cNvSpPr/>
      </xdr:nvSpPr>
      <xdr:spPr bwMode="auto">
        <a:xfrm>
          <a:off x="3562350" y="9639300"/>
          <a:ext cx="152400" cy="152400"/>
        </a:xfrm>
        <a:prstGeom prst="rect">
          <a:avLst/>
        </a:prstGeom>
        <a:noFill/>
        <a:ln w="9525">
          <a:miter lim="800000"/>
          <a:headEnd/>
          <a:tailEnd/>
        </a:ln>
      </xdr:spPr>
    </xdr:sp>
    <xdr:clientData/>
  </xdr:twoCellAnchor>
  <xdr:twoCellAnchor editAs="oneCell">
    <xdr:from>
      <xdr:col>2</xdr:col>
      <xdr:colOff>0</xdr:colOff>
      <xdr:row>46</xdr:row>
      <xdr:rowOff>0</xdr:rowOff>
    </xdr:from>
    <xdr:to>
      <xdr:col>2</xdr:col>
      <xdr:colOff>152400</xdr:colOff>
      <xdr:row>46</xdr:row>
      <xdr:rowOff>152400</xdr:rowOff>
    </xdr:to>
    <xdr:sp macro="" textlink="">
      <xdr:nvSpPr>
        <xdr:cNvPr id="181" name="Control 180" hidden="1">
          <a:extLst>
            <a:ext uri="{63B3BB69-23CF-44E3-9099-C40C66FF867C}">
              <a14:compatExt xmlns:a14="http://schemas.microsoft.com/office/drawing/2010/main" spid="_x0000_s1204"/>
            </a:ext>
            <a:ext uri="{FF2B5EF4-FFF2-40B4-BE49-F238E27FC236}">
              <a16:creationId xmlns:a16="http://schemas.microsoft.com/office/drawing/2014/main" id="{00000000-0008-0000-0E00-0000B5000000}"/>
            </a:ext>
          </a:extLst>
        </xdr:cNvPr>
        <xdr:cNvSpPr/>
      </xdr:nvSpPr>
      <xdr:spPr bwMode="auto">
        <a:xfrm>
          <a:off x="3562350" y="9639300"/>
          <a:ext cx="152400" cy="152400"/>
        </a:xfrm>
        <a:prstGeom prst="rect">
          <a:avLst/>
        </a:prstGeom>
        <a:noFill/>
        <a:ln w="9525">
          <a:miter lim="800000"/>
          <a:headEnd/>
          <a:tailEnd/>
        </a:ln>
      </xdr:spPr>
    </xdr:sp>
    <xdr:clientData/>
  </xdr:twoCellAnchor>
  <xdr:twoCellAnchor editAs="oneCell">
    <xdr:from>
      <xdr:col>0</xdr:col>
      <xdr:colOff>0</xdr:colOff>
      <xdr:row>47</xdr:row>
      <xdr:rowOff>0</xdr:rowOff>
    </xdr:from>
    <xdr:to>
      <xdr:col>0</xdr:col>
      <xdr:colOff>139700</xdr:colOff>
      <xdr:row>47</xdr:row>
      <xdr:rowOff>139700</xdr:rowOff>
    </xdr:to>
    <xdr:sp macro="" textlink="">
      <xdr:nvSpPr>
        <xdr:cNvPr id="182" name="Control 181" hidden="1">
          <a:extLst>
            <a:ext uri="{63B3BB69-23CF-44E3-9099-C40C66FF867C}">
              <a14:compatExt xmlns:a14="http://schemas.microsoft.com/office/drawing/2010/main" spid="_x0000_s1205"/>
            </a:ext>
            <a:ext uri="{FF2B5EF4-FFF2-40B4-BE49-F238E27FC236}">
              <a16:creationId xmlns:a16="http://schemas.microsoft.com/office/drawing/2014/main" id="{00000000-0008-0000-0E00-0000B6000000}"/>
            </a:ext>
          </a:extLst>
        </xdr:cNvPr>
        <xdr:cNvSpPr/>
      </xdr:nvSpPr>
      <xdr:spPr bwMode="auto">
        <a:xfrm>
          <a:off x="0" y="9848850"/>
          <a:ext cx="139700" cy="139700"/>
        </a:xfrm>
        <a:prstGeom prst="rect">
          <a:avLst/>
        </a:prstGeom>
        <a:noFill/>
        <a:ln w="9525">
          <a:miter lim="800000"/>
          <a:headEnd/>
          <a:tailEnd/>
        </a:ln>
      </xdr:spPr>
    </xdr:sp>
    <xdr:clientData/>
  </xdr:twoCellAnchor>
  <xdr:twoCellAnchor editAs="oneCell">
    <xdr:from>
      <xdr:col>2</xdr:col>
      <xdr:colOff>0</xdr:colOff>
      <xdr:row>47</xdr:row>
      <xdr:rowOff>0</xdr:rowOff>
    </xdr:from>
    <xdr:to>
      <xdr:col>2</xdr:col>
      <xdr:colOff>254000</xdr:colOff>
      <xdr:row>48</xdr:row>
      <xdr:rowOff>82550</xdr:rowOff>
    </xdr:to>
    <xdr:sp macro="" textlink="">
      <xdr:nvSpPr>
        <xdr:cNvPr id="183" name="Control 182" hidden="1">
          <a:extLst>
            <a:ext uri="{63B3BB69-23CF-44E3-9099-C40C66FF867C}">
              <a14:compatExt xmlns:a14="http://schemas.microsoft.com/office/drawing/2010/main" spid="_x0000_s1206"/>
            </a:ext>
            <a:ext uri="{FF2B5EF4-FFF2-40B4-BE49-F238E27FC236}">
              <a16:creationId xmlns:a16="http://schemas.microsoft.com/office/drawing/2014/main" id="{00000000-0008-0000-0E00-0000B7000000}"/>
            </a:ext>
          </a:extLst>
        </xdr:cNvPr>
        <xdr:cNvSpPr/>
      </xdr:nvSpPr>
      <xdr:spPr bwMode="auto">
        <a:xfrm>
          <a:off x="3562350" y="9848850"/>
          <a:ext cx="254000" cy="273050"/>
        </a:xfrm>
        <a:prstGeom prst="rect">
          <a:avLst/>
        </a:prstGeom>
        <a:noFill/>
        <a:ln w="9525">
          <a:miter lim="800000"/>
          <a:headEnd/>
          <a:tailEnd/>
        </a:ln>
      </xdr:spPr>
    </xdr:sp>
    <xdr:clientData/>
  </xdr:twoCellAnchor>
  <xdr:twoCellAnchor editAs="oneCell">
    <xdr:from>
      <xdr:col>2</xdr:col>
      <xdr:colOff>0</xdr:colOff>
      <xdr:row>47</xdr:row>
      <xdr:rowOff>0</xdr:rowOff>
    </xdr:from>
    <xdr:to>
      <xdr:col>2</xdr:col>
      <xdr:colOff>152400</xdr:colOff>
      <xdr:row>47</xdr:row>
      <xdr:rowOff>152400</xdr:rowOff>
    </xdr:to>
    <xdr:sp macro="" textlink="">
      <xdr:nvSpPr>
        <xdr:cNvPr id="184" name="Control 183" hidden="1">
          <a:extLst>
            <a:ext uri="{63B3BB69-23CF-44E3-9099-C40C66FF867C}">
              <a14:compatExt xmlns:a14="http://schemas.microsoft.com/office/drawing/2010/main" spid="_x0000_s1207"/>
            </a:ext>
            <a:ext uri="{FF2B5EF4-FFF2-40B4-BE49-F238E27FC236}">
              <a16:creationId xmlns:a16="http://schemas.microsoft.com/office/drawing/2014/main" id="{00000000-0008-0000-0E00-0000B8000000}"/>
            </a:ext>
          </a:extLst>
        </xdr:cNvPr>
        <xdr:cNvSpPr/>
      </xdr:nvSpPr>
      <xdr:spPr bwMode="auto">
        <a:xfrm>
          <a:off x="3562350" y="9848850"/>
          <a:ext cx="152400" cy="152400"/>
        </a:xfrm>
        <a:prstGeom prst="rect">
          <a:avLst/>
        </a:prstGeom>
        <a:noFill/>
        <a:ln w="9525">
          <a:miter lim="800000"/>
          <a:headEnd/>
          <a:tailEnd/>
        </a:ln>
      </xdr:spPr>
    </xdr:sp>
    <xdr:clientData/>
  </xdr:twoCellAnchor>
  <xdr:twoCellAnchor editAs="oneCell">
    <xdr:from>
      <xdr:col>2</xdr:col>
      <xdr:colOff>0</xdr:colOff>
      <xdr:row>47</xdr:row>
      <xdr:rowOff>0</xdr:rowOff>
    </xdr:from>
    <xdr:to>
      <xdr:col>2</xdr:col>
      <xdr:colOff>152400</xdr:colOff>
      <xdr:row>47</xdr:row>
      <xdr:rowOff>152400</xdr:rowOff>
    </xdr:to>
    <xdr:sp macro="" textlink="">
      <xdr:nvSpPr>
        <xdr:cNvPr id="185" name="Control 184" hidden="1">
          <a:extLst>
            <a:ext uri="{63B3BB69-23CF-44E3-9099-C40C66FF867C}">
              <a14:compatExt xmlns:a14="http://schemas.microsoft.com/office/drawing/2010/main" spid="_x0000_s1208"/>
            </a:ext>
            <a:ext uri="{FF2B5EF4-FFF2-40B4-BE49-F238E27FC236}">
              <a16:creationId xmlns:a16="http://schemas.microsoft.com/office/drawing/2014/main" id="{00000000-0008-0000-0E00-0000B9000000}"/>
            </a:ext>
          </a:extLst>
        </xdr:cNvPr>
        <xdr:cNvSpPr/>
      </xdr:nvSpPr>
      <xdr:spPr bwMode="auto">
        <a:xfrm>
          <a:off x="3562350" y="9848850"/>
          <a:ext cx="152400" cy="152400"/>
        </a:xfrm>
        <a:prstGeom prst="rect">
          <a:avLst/>
        </a:prstGeom>
        <a:noFill/>
        <a:ln w="9525">
          <a:miter lim="800000"/>
          <a:headEnd/>
          <a:tailEnd/>
        </a:ln>
      </xdr:spPr>
    </xdr:sp>
    <xdr:clientData/>
  </xdr:twoCellAnchor>
  <xdr:twoCellAnchor editAs="oneCell">
    <xdr:from>
      <xdr:col>0</xdr:col>
      <xdr:colOff>0</xdr:colOff>
      <xdr:row>48</xdr:row>
      <xdr:rowOff>0</xdr:rowOff>
    </xdr:from>
    <xdr:to>
      <xdr:col>0</xdr:col>
      <xdr:colOff>139700</xdr:colOff>
      <xdr:row>48</xdr:row>
      <xdr:rowOff>139700</xdr:rowOff>
    </xdr:to>
    <xdr:sp macro="" textlink="">
      <xdr:nvSpPr>
        <xdr:cNvPr id="186" name="Control 185" hidden="1">
          <a:extLst>
            <a:ext uri="{63B3BB69-23CF-44E3-9099-C40C66FF867C}">
              <a14:compatExt xmlns:a14="http://schemas.microsoft.com/office/drawing/2010/main" spid="_x0000_s1209"/>
            </a:ext>
            <a:ext uri="{FF2B5EF4-FFF2-40B4-BE49-F238E27FC236}">
              <a16:creationId xmlns:a16="http://schemas.microsoft.com/office/drawing/2014/main" id="{00000000-0008-0000-0E00-0000BA000000}"/>
            </a:ext>
          </a:extLst>
        </xdr:cNvPr>
        <xdr:cNvSpPr/>
      </xdr:nvSpPr>
      <xdr:spPr bwMode="auto">
        <a:xfrm>
          <a:off x="0" y="10058400"/>
          <a:ext cx="139700" cy="139700"/>
        </a:xfrm>
        <a:prstGeom prst="rect">
          <a:avLst/>
        </a:prstGeom>
        <a:noFill/>
        <a:ln w="9525">
          <a:miter lim="800000"/>
          <a:headEnd/>
          <a:tailEnd/>
        </a:ln>
      </xdr:spPr>
    </xdr:sp>
    <xdr:clientData/>
  </xdr:twoCellAnchor>
  <xdr:twoCellAnchor editAs="oneCell">
    <xdr:from>
      <xdr:col>2</xdr:col>
      <xdr:colOff>0</xdr:colOff>
      <xdr:row>48</xdr:row>
      <xdr:rowOff>0</xdr:rowOff>
    </xdr:from>
    <xdr:to>
      <xdr:col>2</xdr:col>
      <xdr:colOff>254000</xdr:colOff>
      <xdr:row>49</xdr:row>
      <xdr:rowOff>82550</xdr:rowOff>
    </xdr:to>
    <xdr:sp macro="" textlink="">
      <xdr:nvSpPr>
        <xdr:cNvPr id="187" name="Control 186" hidden="1">
          <a:extLst>
            <a:ext uri="{63B3BB69-23CF-44E3-9099-C40C66FF867C}">
              <a14:compatExt xmlns:a14="http://schemas.microsoft.com/office/drawing/2010/main" spid="_x0000_s1210"/>
            </a:ext>
            <a:ext uri="{FF2B5EF4-FFF2-40B4-BE49-F238E27FC236}">
              <a16:creationId xmlns:a16="http://schemas.microsoft.com/office/drawing/2014/main" id="{00000000-0008-0000-0E00-0000BB000000}"/>
            </a:ext>
          </a:extLst>
        </xdr:cNvPr>
        <xdr:cNvSpPr/>
      </xdr:nvSpPr>
      <xdr:spPr bwMode="auto">
        <a:xfrm>
          <a:off x="3562350" y="10058400"/>
          <a:ext cx="254000" cy="273050"/>
        </a:xfrm>
        <a:prstGeom prst="rect">
          <a:avLst/>
        </a:prstGeom>
        <a:noFill/>
        <a:ln w="9525">
          <a:miter lim="800000"/>
          <a:headEnd/>
          <a:tailEnd/>
        </a:ln>
      </xdr:spPr>
    </xdr:sp>
    <xdr:clientData/>
  </xdr:twoCellAnchor>
  <xdr:twoCellAnchor editAs="oneCell">
    <xdr:from>
      <xdr:col>2</xdr:col>
      <xdr:colOff>0</xdr:colOff>
      <xdr:row>48</xdr:row>
      <xdr:rowOff>0</xdr:rowOff>
    </xdr:from>
    <xdr:to>
      <xdr:col>2</xdr:col>
      <xdr:colOff>152400</xdr:colOff>
      <xdr:row>48</xdr:row>
      <xdr:rowOff>152400</xdr:rowOff>
    </xdr:to>
    <xdr:sp macro="" textlink="">
      <xdr:nvSpPr>
        <xdr:cNvPr id="188" name="Control 187" hidden="1">
          <a:extLst>
            <a:ext uri="{63B3BB69-23CF-44E3-9099-C40C66FF867C}">
              <a14:compatExt xmlns:a14="http://schemas.microsoft.com/office/drawing/2010/main" spid="_x0000_s1211"/>
            </a:ext>
            <a:ext uri="{FF2B5EF4-FFF2-40B4-BE49-F238E27FC236}">
              <a16:creationId xmlns:a16="http://schemas.microsoft.com/office/drawing/2014/main" id="{00000000-0008-0000-0E00-0000BC000000}"/>
            </a:ext>
          </a:extLst>
        </xdr:cNvPr>
        <xdr:cNvSpPr/>
      </xdr:nvSpPr>
      <xdr:spPr bwMode="auto">
        <a:xfrm>
          <a:off x="3562350" y="10058400"/>
          <a:ext cx="152400" cy="152400"/>
        </a:xfrm>
        <a:prstGeom prst="rect">
          <a:avLst/>
        </a:prstGeom>
        <a:noFill/>
        <a:ln w="9525">
          <a:miter lim="800000"/>
          <a:headEnd/>
          <a:tailEnd/>
        </a:ln>
      </xdr:spPr>
    </xdr:sp>
    <xdr:clientData/>
  </xdr:twoCellAnchor>
  <xdr:twoCellAnchor editAs="oneCell">
    <xdr:from>
      <xdr:col>2</xdr:col>
      <xdr:colOff>0</xdr:colOff>
      <xdr:row>48</xdr:row>
      <xdr:rowOff>0</xdr:rowOff>
    </xdr:from>
    <xdr:to>
      <xdr:col>2</xdr:col>
      <xdr:colOff>152400</xdr:colOff>
      <xdr:row>48</xdr:row>
      <xdr:rowOff>152400</xdr:rowOff>
    </xdr:to>
    <xdr:sp macro="" textlink="">
      <xdr:nvSpPr>
        <xdr:cNvPr id="189" name="Control 188" hidden="1">
          <a:extLst>
            <a:ext uri="{63B3BB69-23CF-44E3-9099-C40C66FF867C}">
              <a14:compatExt xmlns:a14="http://schemas.microsoft.com/office/drawing/2010/main" spid="_x0000_s1212"/>
            </a:ext>
            <a:ext uri="{FF2B5EF4-FFF2-40B4-BE49-F238E27FC236}">
              <a16:creationId xmlns:a16="http://schemas.microsoft.com/office/drawing/2014/main" id="{00000000-0008-0000-0E00-0000BD000000}"/>
            </a:ext>
          </a:extLst>
        </xdr:cNvPr>
        <xdr:cNvSpPr/>
      </xdr:nvSpPr>
      <xdr:spPr bwMode="auto">
        <a:xfrm>
          <a:off x="3562350" y="10058400"/>
          <a:ext cx="152400" cy="152400"/>
        </a:xfrm>
        <a:prstGeom prst="rect">
          <a:avLst/>
        </a:prstGeom>
        <a:noFill/>
        <a:ln w="9525">
          <a:miter lim="800000"/>
          <a:headEnd/>
          <a:tailEnd/>
        </a:ln>
      </xdr:spPr>
    </xdr:sp>
    <xdr:clientData/>
  </xdr:twoCellAnchor>
  <xdr:twoCellAnchor editAs="oneCell">
    <xdr:from>
      <xdr:col>0</xdr:col>
      <xdr:colOff>0</xdr:colOff>
      <xdr:row>49</xdr:row>
      <xdr:rowOff>0</xdr:rowOff>
    </xdr:from>
    <xdr:to>
      <xdr:col>0</xdr:col>
      <xdr:colOff>139700</xdr:colOff>
      <xdr:row>49</xdr:row>
      <xdr:rowOff>139700</xdr:rowOff>
    </xdr:to>
    <xdr:sp macro="" textlink="">
      <xdr:nvSpPr>
        <xdr:cNvPr id="190" name="Control 189" hidden="1">
          <a:extLst>
            <a:ext uri="{63B3BB69-23CF-44E3-9099-C40C66FF867C}">
              <a14:compatExt xmlns:a14="http://schemas.microsoft.com/office/drawing/2010/main" spid="_x0000_s1213"/>
            </a:ext>
            <a:ext uri="{FF2B5EF4-FFF2-40B4-BE49-F238E27FC236}">
              <a16:creationId xmlns:a16="http://schemas.microsoft.com/office/drawing/2014/main" id="{00000000-0008-0000-0E00-0000BE000000}"/>
            </a:ext>
          </a:extLst>
        </xdr:cNvPr>
        <xdr:cNvSpPr/>
      </xdr:nvSpPr>
      <xdr:spPr bwMode="auto">
        <a:xfrm>
          <a:off x="0" y="10267950"/>
          <a:ext cx="139700" cy="139700"/>
        </a:xfrm>
        <a:prstGeom prst="rect">
          <a:avLst/>
        </a:prstGeom>
        <a:noFill/>
        <a:ln w="9525">
          <a:miter lim="800000"/>
          <a:headEnd/>
          <a:tailEnd/>
        </a:ln>
      </xdr:spPr>
    </xdr:sp>
    <xdr:clientData/>
  </xdr:twoCellAnchor>
  <xdr:twoCellAnchor editAs="oneCell">
    <xdr:from>
      <xdr:col>2</xdr:col>
      <xdr:colOff>0</xdr:colOff>
      <xdr:row>49</xdr:row>
      <xdr:rowOff>0</xdr:rowOff>
    </xdr:from>
    <xdr:to>
      <xdr:col>2</xdr:col>
      <xdr:colOff>254000</xdr:colOff>
      <xdr:row>50</xdr:row>
      <xdr:rowOff>82550</xdr:rowOff>
    </xdr:to>
    <xdr:sp macro="" textlink="">
      <xdr:nvSpPr>
        <xdr:cNvPr id="191" name="Control 190" hidden="1">
          <a:extLst>
            <a:ext uri="{63B3BB69-23CF-44E3-9099-C40C66FF867C}">
              <a14:compatExt xmlns:a14="http://schemas.microsoft.com/office/drawing/2010/main" spid="_x0000_s1214"/>
            </a:ext>
            <a:ext uri="{FF2B5EF4-FFF2-40B4-BE49-F238E27FC236}">
              <a16:creationId xmlns:a16="http://schemas.microsoft.com/office/drawing/2014/main" id="{00000000-0008-0000-0E00-0000BF000000}"/>
            </a:ext>
          </a:extLst>
        </xdr:cNvPr>
        <xdr:cNvSpPr/>
      </xdr:nvSpPr>
      <xdr:spPr bwMode="auto">
        <a:xfrm>
          <a:off x="3562350" y="10267950"/>
          <a:ext cx="254000" cy="273050"/>
        </a:xfrm>
        <a:prstGeom prst="rect">
          <a:avLst/>
        </a:prstGeom>
        <a:noFill/>
        <a:ln w="9525">
          <a:miter lim="800000"/>
          <a:headEnd/>
          <a:tailEnd/>
        </a:ln>
      </xdr:spPr>
    </xdr:sp>
    <xdr:clientData/>
  </xdr:twoCellAnchor>
  <xdr:twoCellAnchor editAs="oneCell">
    <xdr:from>
      <xdr:col>2</xdr:col>
      <xdr:colOff>0</xdr:colOff>
      <xdr:row>49</xdr:row>
      <xdr:rowOff>0</xdr:rowOff>
    </xdr:from>
    <xdr:to>
      <xdr:col>2</xdr:col>
      <xdr:colOff>152400</xdr:colOff>
      <xdr:row>49</xdr:row>
      <xdr:rowOff>152400</xdr:rowOff>
    </xdr:to>
    <xdr:sp macro="" textlink="">
      <xdr:nvSpPr>
        <xdr:cNvPr id="192" name="Control 191" hidden="1">
          <a:extLst>
            <a:ext uri="{63B3BB69-23CF-44E3-9099-C40C66FF867C}">
              <a14:compatExt xmlns:a14="http://schemas.microsoft.com/office/drawing/2010/main" spid="_x0000_s1215"/>
            </a:ext>
            <a:ext uri="{FF2B5EF4-FFF2-40B4-BE49-F238E27FC236}">
              <a16:creationId xmlns:a16="http://schemas.microsoft.com/office/drawing/2014/main" id="{00000000-0008-0000-0E00-0000C0000000}"/>
            </a:ext>
          </a:extLst>
        </xdr:cNvPr>
        <xdr:cNvSpPr/>
      </xdr:nvSpPr>
      <xdr:spPr bwMode="auto">
        <a:xfrm>
          <a:off x="3562350" y="10267950"/>
          <a:ext cx="152400" cy="152400"/>
        </a:xfrm>
        <a:prstGeom prst="rect">
          <a:avLst/>
        </a:prstGeom>
        <a:noFill/>
        <a:ln w="9525">
          <a:miter lim="800000"/>
          <a:headEnd/>
          <a:tailEnd/>
        </a:ln>
      </xdr:spPr>
    </xdr:sp>
    <xdr:clientData/>
  </xdr:twoCellAnchor>
  <xdr:twoCellAnchor editAs="oneCell">
    <xdr:from>
      <xdr:col>2</xdr:col>
      <xdr:colOff>0</xdr:colOff>
      <xdr:row>49</xdr:row>
      <xdr:rowOff>0</xdr:rowOff>
    </xdr:from>
    <xdr:to>
      <xdr:col>2</xdr:col>
      <xdr:colOff>152400</xdr:colOff>
      <xdr:row>49</xdr:row>
      <xdr:rowOff>152400</xdr:rowOff>
    </xdr:to>
    <xdr:sp macro="" textlink="">
      <xdr:nvSpPr>
        <xdr:cNvPr id="193" name="Control 192" hidden="1">
          <a:extLst>
            <a:ext uri="{63B3BB69-23CF-44E3-9099-C40C66FF867C}">
              <a14:compatExt xmlns:a14="http://schemas.microsoft.com/office/drawing/2010/main" spid="_x0000_s1216"/>
            </a:ext>
            <a:ext uri="{FF2B5EF4-FFF2-40B4-BE49-F238E27FC236}">
              <a16:creationId xmlns:a16="http://schemas.microsoft.com/office/drawing/2014/main" id="{00000000-0008-0000-0E00-0000C1000000}"/>
            </a:ext>
          </a:extLst>
        </xdr:cNvPr>
        <xdr:cNvSpPr/>
      </xdr:nvSpPr>
      <xdr:spPr bwMode="auto">
        <a:xfrm>
          <a:off x="3562350" y="10267950"/>
          <a:ext cx="152400" cy="152400"/>
        </a:xfrm>
        <a:prstGeom prst="rect">
          <a:avLst/>
        </a:prstGeom>
        <a:noFill/>
        <a:ln w="9525">
          <a:miter lim="800000"/>
          <a:headEnd/>
          <a:tailEnd/>
        </a:ln>
      </xdr:spPr>
    </xdr:sp>
    <xdr:clientData/>
  </xdr:twoCellAnchor>
  <xdr:twoCellAnchor editAs="oneCell">
    <xdr:from>
      <xdr:col>0</xdr:col>
      <xdr:colOff>0</xdr:colOff>
      <xdr:row>50</xdr:row>
      <xdr:rowOff>0</xdr:rowOff>
    </xdr:from>
    <xdr:to>
      <xdr:col>0</xdr:col>
      <xdr:colOff>139700</xdr:colOff>
      <xdr:row>50</xdr:row>
      <xdr:rowOff>139700</xdr:rowOff>
    </xdr:to>
    <xdr:sp macro="" textlink="">
      <xdr:nvSpPr>
        <xdr:cNvPr id="194" name="Control 193" hidden="1">
          <a:extLst>
            <a:ext uri="{63B3BB69-23CF-44E3-9099-C40C66FF867C}">
              <a14:compatExt xmlns:a14="http://schemas.microsoft.com/office/drawing/2010/main" spid="_x0000_s1217"/>
            </a:ext>
            <a:ext uri="{FF2B5EF4-FFF2-40B4-BE49-F238E27FC236}">
              <a16:creationId xmlns:a16="http://schemas.microsoft.com/office/drawing/2014/main" id="{00000000-0008-0000-0E00-0000C2000000}"/>
            </a:ext>
          </a:extLst>
        </xdr:cNvPr>
        <xdr:cNvSpPr/>
      </xdr:nvSpPr>
      <xdr:spPr bwMode="auto">
        <a:xfrm>
          <a:off x="0" y="10477500"/>
          <a:ext cx="139700" cy="139700"/>
        </a:xfrm>
        <a:prstGeom prst="rect">
          <a:avLst/>
        </a:prstGeom>
        <a:noFill/>
        <a:ln w="9525">
          <a:miter lim="800000"/>
          <a:headEnd/>
          <a:tailEnd/>
        </a:ln>
      </xdr:spPr>
    </xdr:sp>
    <xdr:clientData/>
  </xdr:twoCellAnchor>
  <xdr:twoCellAnchor editAs="oneCell">
    <xdr:from>
      <xdr:col>2</xdr:col>
      <xdr:colOff>0</xdr:colOff>
      <xdr:row>50</xdr:row>
      <xdr:rowOff>0</xdr:rowOff>
    </xdr:from>
    <xdr:to>
      <xdr:col>2</xdr:col>
      <xdr:colOff>254000</xdr:colOff>
      <xdr:row>51</xdr:row>
      <xdr:rowOff>82550</xdr:rowOff>
    </xdr:to>
    <xdr:sp macro="" textlink="">
      <xdr:nvSpPr>
        <xdr:cNvPr id="195" name="Control 194" hidden="1">
          <a:extLst>
            <a:ext uri="{63B3BB69-23CF-44E3-9099-C40C66FF867C}">
              <a14:compatExt xmlns:a14="http://schemas.microsoft.com/office/drawing/2010/main" spid="_x0000_s1218"/>
            </a:ext>
            <a:ext uri="{FF2B5EF4-FFF2-40B4-BE49-F238E27FC236}">
              <a16:creationId xmlns:a16="http://schemas.microsoft.com/office/drawing/2014/main" id="{00000000-0008-0000-0E00-0000C3000000}"/>
            </a:ext>
          </a:extLst>
        </xdr:cNvPr>
        <xdr:cNvSpPr/>
      </xdr:nvSpPr>
      <xdr:spPr bwMode="auto">
        <a:xfrm>
          <a:off x="3562350" y="10477500"/>
          <a:ext cx="254000" cy="273050"/>
        </a:xfrm>
        <a:prstGeom prst="rect">
          <a:avLst/>
        </a:prstGeom>
        <a:noFill/>
        <a:ln w="9525">
          <a:miter lim="800000"/>
          <a:headEnd/>
          <a:tailEnd/>
        </a:ln>
      </xdr:spPr>
    </xdr:sp>
    <xdr:clientData/>
  </xdr:twoCellAnchor>
  <xdr:twoCellAnchor editAs="oneCell">
    <xdr:from>
      <xdr:col>2</xdr:col>
      <xdr:colOff>0</xdr:colOff>
      <xdr:row>50</xdr:row>
      <xdr:rowOff>0</xdr:rowOff>
    </xdr:from>
    <xdr:to>
      <xdr:col>2</xdr:col>
      <xdr:colOff>152400</xdr:colOff>
      <xdr:row>50</xdr:row>
      <xdr:rowOff>152400</xdr:rowOff>
    </xdr:to>
    <xdr:sp macro="" textlink="">
      <xdr:nvSpPr>
        <xdr:cNvPr id="196" name="Control 195" hidden="1">
          <a:extLst>
            <a:ext uri="{63B3BB69-23CF-44E3-9099-C40C66FF867C}">
              <a14:compatExt xmlns:a14="http://schemas.microsoft.com/office/drawing/2010/main" spid="_x0000_s1219"/>
            </a:ext>
            <a:ext uri="{FF2B5EF4-FFF2-40B4-BE49-F238E27FC236}">
              <a16:creationId xmlns:a16="http://schemas.microsoft.com/office/drawing/2014/main" id="{00000000-0008-0000-0E00-0000C4000000}"/>
            </a:ext>
          </a:extLst>
        </xdr:cNvPr>
        <xdr:cNvSpPr/>
      </xdr:nvSpPr>
      <xdr:spPr bwMode="auto">
        <a:xfrm>
          <a:off x="3562350" y="10477500"/>
          <a:ext cx="152400" cy="152400"/>
        </a:xfrm>
        <a:prstGeom prst="rect">
          <a:avLst/>
        </a:prstGeom>
        <a:noFill/>
        <a:ln w="9525">
          <a:miter lim="800000"/>
          <a:headEnd/>
          <a:tailEnd/>
        </a:ln>
      </xdr:spPr>
    </xdr:sp>
    <xdr:clientData/>
  </xdr:twoCellAnchor>
  <xdr:twoCellAnchor editAs="oneCell">
    <xdr:from>
      <xdr:col>2</xdr:col>
      <xdr:colOff>0</xdr:colOff>
      <xdr:row>50</xdr:row>
      <xdr:rowOff>0</xdr:rowOff>
    </xdr:from>
    <xdr:to>
      <xdr:col>2</xdr:col>
      <xdr:colOff>152400</xdr:colOff>
      <xdr:row>50</xdr:row>
      <xdr:rowOff>152400</xdr:rowOff>
    </xdr:to>
    <xdr:sp macro="" textlink="">
      <xdr:nvSpPr>
        <xdr:cNvPr id="197" name="Control 196" hidden="1">
          <a:extLst>
            <a:ext uri="{63B3BB69-23CF-44E3-9099-C40C66FF867C}">
              <a14:compatExt xmlns:a14="http://schemas.microsoft.com/office/drawing/2010/main" spid="_x0000_s1220"/>
            </a:ext>
            <a:ext uri="{FF2B5EF4-FFF2-40B4-BE49-F238E27FC236}">
              <a16:creationId xmlns:a16="http://schemas.microsoft.com/office/drawing/2014/main" id="{00000000-0008-0000-0E00-0000C5000000}"/>
            </a:ext>
          </a:extLst>
        </xdr:cNvPr>
        <xdr:cNvSpPr/>
      </xdr:nvSpPr>
      <xdr:spPr bwMode="auto">
        <a:xfrm>
          <a:off x="3562350" y="10477500"/>
          <a:ext cx="152400" cy="152400"/>
        </a:xfrm>
        <a:prstGeom prst="rect">
          <a:avLst/>
        </a:prstGeom>
        <a:noFill/>
        <a:ln w="9525">
          <a:miter lim="800000"/>
          <a:headEnd/>
          <a:tailEnd/>
        </a:ln>
      </xdr:spPr>
    </xdr:sp>
    <xdr:clientData/>
  </xdr:twoCellAnchor>
  <xdr:twoCellAnchor editAs="oneCell">
    <xdr:from>
      <xdr:col>0</xdr:col>
      <xdr:colOff>0</xdr:colOff>
      <xdr:row>51</xdr:row>
      <xdr:rowOff>0</xdr:rowOff>
    </xdr:from>
    <xdr:to>
      <xdr:col>0</xdr:col>
      <xdr:colOff>139700</xdr:colOff>
      <xdr:row>51</xdr:row>
      <xdr:rowOff>139700</xdr:rowOff>
    </xdr:to>
    <xdr:sp macro="" textlink="">
      <xdr:nvSpPr>
        <xdr:cNvPr id="198" name="Control 197" hidden="1">
          <a:extLst>
            <a:ext uri="{63B3BB69-23CF-44E3-9099-C40C66FF867C}">
              <a14:compatExt xmlns:a14="http://schemas.microsoft.com/office/drawing/2010/main" spid="_x0000_s1221"/>
            </a:ext>
            <a:ext uri="{FF2B5EF4-FFF2-40B4-BE49-F238E27FC236}">
              <a16:creationId xmlns:a16="http://schemas.microsoft.com/office/drawing/2014/main" id="{00000000-0008-0000-0E00-0000C6000000}"/>
            </a:ext>
          </a:extLst>
        </xdr:cNvPr>
        <xdr:cNvSpPr/>
      </xdr:nvSpPr>
      <xdr:spPr bwMode="auto">
        <a:xfrm>
          <a:off x="0" y="10687050"/>
          <a:ext cx="139700" cy="139700"/>
        </a:xfrm>
        <a:prstGeom prst="rect">
          <a:avLst/>
        </a:prstGeom>
        <a:noFill/>
        <a:ln w="9525">
          <a:miter lim="800000"/>
          <a:headEnd/>
          <a:tailEnd/>
        </a:ln>
      </xdr:spPr>
    </xdr:sp>
    <xdr:clientData/>
  </xdr:twoCellAnchor>
  <xdr:twoCellAnchor editAs="oneCell">
    <xdr:from>
      <xdr:col>2</xdr:col>
      <xdr:colOff>0</xdr:colOff>
      <xdr:row>51</xdr:row>
      <xdr:rowOff>0</xdr:rowOff>
    </xdr:from>
    <xdr:to>
      <xdr:col>2</xdr:col>
      <xdr:colOff>254000</xdr:colOff>
      <xdr:row>52</xdr:row>
      <xdr:rowOff>82550</xdr:rowOff>
    </xdr:to>
    <xdr:sp macro="" textlink="">
      <xdr:nvSpPr>
        <xdr:cNvPr id="199" name="Control 198" hidden="1">
          <a:extLst>
            <a:ext uri="{63B3BB69-23CF-44E3-9099-C40C66FF867C}">
              <a14:compatExt xmlns:a14="http://schemas.microsoft.com/office/drawing/2010/main" spid="_x0000_s1222"/>
            </a:ext>
            <a:ext uri="{FF2B5EF4-FFF2-40B4-BE49-F238E27FC236}">
              <a16:creationId xmlns:a16="http://schemas.microsoft.com/office/drawing/2014/main" id="{00000000-0008-0000-0E00-0000C7000000}"/>
            </a:ext>
          </a:extLst>
        </xdr:cNvPr>
        <xdr:cNvSpPr/>
      </xdr:nvSpPr>
      <xdr:spPr bwMode="auto">
        <a:xfrm>
          <a:off x="3562350" y="10687050"/>
          <a:ext cx="254000" cy="273050"/>
        </a:xfrm>
        <a:prstGeom prst="rect">
          <a:avLst/>
        </a:prstGeom>
        <a:noFill/>
        <a:ln w="9525">
          <a:miter lim="800000"/>
          <a:headEnd/>
          <a:tailEnd/>
        </a:ln>
      </xdr:spPr>
    </xdr:sp>
    <xdr:clientData/>
  </xdr:twoCellAnchor>
  <xdr:twoCellAnchor editAs="oneCell">
    <xdr:from>
      <xdr:col>2</xdr:col>
      <xdr:colOff>0</xdr:colOff>
      <xdr:row>51</xdr:row>
      <xdr:rowOff>0</xdr:rowOff>
    </xdr:from>
    <xdr:to>
      <xdr:col>2</xdr:col>
      <xdr:colOff>152400</xdr:colOff>
      <xdr:row>51</xdr:row>
      <xdr:rowOff>152400</xdr:rowOff>
    </xdr:to>
    <xdr:sp macro="" textlink="">
      <xdr:nvSpPr>
        <xdr:cNvPr id="200" name="Control 199" hidden="1">
          <a:extLst>
            <a:ext uri="{63B3BB69-23CF-44E3-9099-C40C66FF867C}">
              <a14:compatExt xmlns:a14="http://schemas.microsoft.com/office/drawing/2010/main" spid="_x0000_s1223"/>
            </a:ext>
            <a:ext uri="{FF2B5EF4-FFF2-40B4-BE49-F238E27FC236}">
              <a16:creationId xmlns:a16="http://schemas.microsoft.com/office/drawing/2014/main" id="{00000000-0008-0000-0E00-0000C8000000}"/>
            </a:ext>
          </a:extLst>
        </xdr:cNvPr>
        <xdr:cNvSpPr/>
      </xdr:nvSpPr>
      <xdr:spPr bwMode="auto">
        <a:xfrm>
          <a:off x="3562350" y="10687050"/>
          <a:ext cx="152400" cy="152400"/>
        </a:xfrm>
        <a:prstGeom prst="rect">
          <a:avLst/>
        </a:prstGeom>
        <a:noFill/>
        <a:ln w="9525">
          <a:miter lim="800000"/>
          <a:headEnd/>
          <a:tailEnd/>
        </a:ln>
      </xdr:spPr>
    </xdr:sp>
    <xdr:clientData/>
  </xdr:twoCellAnchor>
  <xdr:twoCellAnchor editAs="oneCell">
    <xdr:from>
      <xdr:col>2</xdr:col>
      <xdr:colOff>0</xdr:colOff>
      <xdr:row>51</xdr:row>
      <xdr:rowOff>0</xdr:rowOff>
    </xdr:from>
    <xdr:to>
      <xdr:col>2</xdr:col>
      <xdr:colOff>152400</xdr:colOff>
      <xdr:row>51</xdr:row>
      <xdr:rowOff>152400</xdr:rowOff>
    </xdr:to>
    <xdr:sp macro="" textlink="">
      <xdr:nvSpPr>
        <xdr:cNvPr id="201" name="Control 200" hidden="1">
          <a:extLst>
            <a:ext uri="{63B3BB69-23CF-44E3-9099-C40C66FF867C}">
              <a14:compatExt xmlns:a14="http://schemas.microsoft.com/office/drawing/2010/main" spid="_x0000_s1224"/>
            </a:ext>
            <a:ext uri="{FF2B5EF4-FFF2-40B4-BE49-F238E27FC236}">
              <a16:creationId xmlns:a16="http://schemas.microsoft.com/office/drawing/2014/main" id="{00000000-0008-0000-0E00-0000C9000000}"/>
            </a:ext>
          </a:extLst>
        </xdr:cNvPr>
        <xdr:cNvSpPr/>
      </xdr:nvSpPr>
      <xdr:spPr bwMode="auto">
        <a:xfrm>
          <a:off x="3562350" y="10687050"/>
          <a:ext cx="152400" cy="152400"/>
        </a:xfrm>
        <a:prstGeom prst="rect">
          <a:avLst/>
        </a:prstGeom>
        <a:noFill/>
        <a:ln w="9525">
          <a:miter lim="800000"/>
          <a:headEnd/>
          <a:tailEnd/>
        </a:ln>
      </xdr:spPr>
    </xdr:sp>
    <xdr:clientData/>
  </xdr:twoCellAnchor>
  <xdr:twoCellAnchor editAs="oneCell">
    <xdr:from>
      <xdr:col>0</xdr:col>
      <xdr:colOff>0</xdr:colOff>
      <xdr:row>52</xdr:row>
      <xdr:rowOff>0</xdr:rowOff>
    </xdr:from>
    <xdr:to>
      <xdr:col>0</xdr:col>
      <xdr:colOff>139700</xdr:colOff>
      <xdr:row>52</xdr:row>
      <xdr:rowOff>139700</xdr:rowOff>
    </xdr:to>
    <xdr:sp macro="" textlink="">
      <xdr:nvSpPr>
        <xdr:cNvPr id="202" name="Control 201" hidden="1">
          <a:extLst>
            <a:ext uri="{63B3BB69-23CF-44E3-9099-C40C66FF867C}">
              <a14:compatExt xmlns:a14="http://schemas.microsoft.com/office/drawing/2010/main" spid="_x0000_s1225"/>
            </a:ext>
            <a:ext uri="{FF2B5EF4-FFF2-40B4-BE49-F238E27FC236}">
              <a16:creationId xmlns:a16="http://schemas.microsoft.com/office/drawing/2014/main" id="{00000000-0008-0000-0E00-0000CA000000}"/>
            </a:ext>
          </a:extLst>
        </xdr:cNvPr>
        <xdr:cNvSpPr/>
      </xdr:nvSpPr>
      <xdr:spPr bwMode="auto">
        <a:xfrm>
          <a:off x="0" y="10896600"/>
          <a:ext cx="139700" cy="139700"/>
        </a:xfrm>
        <a:prstGeom prst="rect">
          <a:avLst/>
        </a:prstGeom>
        <a:noFill/>
        <a:ln w="9525">
          <a:miter lim="800000"/>
          <a:headEnd/>
          <a:tailEnd/>
        </a:ln>
      </xdr:spPr>
    </xdr:sp>
    <xdr:clientData/>
  </xdr:twoCellAnchor>
  <xdr:twoCellAnchor editAs="oneCell">
    <xdr:from>
      <xdr:col>2</xdr:col>
      <xdr:colOff>0</xdr:colOff>
      <xdr:row>52</xdr:row>
      <xdr:rowOff>0</xdr:rowOff>
    </xdr:from>
    <xdr:to>
      <xdr:col>2</xdr:col>
      <xdr:colOff>254000</xdr:colOff>
      <xdr:row>53</xdr:row>
      <xdr:rowOff>82550</xdr:rowOff>
    </xdr:to>
    <xdr:sp macro="" textlink="">
      <xdr:nvSpPr>
        <xdr:cNvPr id="203" name="Control 202" hidden="1">
          <a:extLst>
            <a:ext uri="{63B3BB69-23CF-44E3-9099-C40C66FF867C}">
              <a14:compatExt xmlns:a14="http://schemas.microsoft.com/office/drawing/2010/main" spid="_x0000_s1226"/>
            </a:ext>
            <a:ext uri="{FF2B5EF4-FFF2-40B4-BE49-F238E27FC236}">
              <a16:creationId xmlns:a16="http://schemas.microsoft.com/office/drawing/2014/main" id="{00000000-0008-0000-0E00-0000CB000000}"/>
            </a:ext>
          </a:extLst>
        </xdr:cNvPr>
        <xdr:cNvSpPr/>
      </xdr:nvSpPr>
      <xdr:spPr bwMode="auto">
        <a:xfrm>
          <a:off x="3562350" y="10896600"/>
          <a:ext cx="254000" cy="273050"/>
        </a:xfrm>
        <a:prstGeom prst="rect">
          <a:avLst/>
        </a:prstGeom>
        <a:noFill/>
        <a:ln w="9525">
          <a:miter lim="800000"/>
          <a:headEnd/>
          <a:tailEnd/>
        </a:ln>
      </xdr:spPr>
    </xdr:sp>
    <xdr:clientData/>
  </xdr:twoCellAnchor>
  <xdr:twoCellAnchor editAs="oneCell">
    <xdr:from>
      <xdr:col>2</xdr:col>
      <xdr:colOff>0</xdr:colOff>
      <xdr:row>52</xdr:row>
      <xdr:rowOff>0</xdr:rowOff>
    </xdr:from>
    <xdr:to>
      <xdr:col>2</xdr:col>
      <xdr:colOff>152400</xdr:colOff>
      <xdr:row>52</xdr:row>
      <xdr:rowOff>152400</xdr:rowOff>
    </xdr:to>
    <xdr:sp macro="" textlink="">
      <xdr:nvSpPr>
        <xdr:cNvPr id="204" name="Control 203" hidden="1">
          <a:extLst>
            <a:ext uri="{63B3BB69-23CF-44E3-9099-C40C66FF867C}">
              <a14:compatExt xmlns:a14="http://schemas.microsoft.com/office/drawing/2010/main" spid="_x0000_s1227"/>
            </a:ext>
            <a:ext uri="{FF2B5EF4-FFF2-40B4-BE49-F238E27FC236}">
              <a16:creationId xmlns:a16="http://schemas.microsoft.com/office/drawing/2014/main" id="{00000000-0008-0000-0E00-0000CC000000}"/>
            </a:ext>
          </a:extLst>
        </xdr:cNvPr>
        <xdr:cNvSpPr/>
      </xdr:nvSpPr>
      <xdr:spPr bwMode="auto">
        <a:xfrm>
          <a:off x="3562350" y="10896600"/>
          <a:ext cx="152400" cy="152400"/>
        </a:xfrm>
        <a:prstGeom prst="rect">
          <a:avLst/>
        </a:prstGeom>
        <a:noFill/>
        <a:ln w="9525">
          <a:miter lim="800000"/>
          <a:headEnd/>
          <a:tailEnd/>
        </a:ln>
      </xdr:spPr>
    </xdr:sp>
    <xdr:clientData/>
  </xdr:twoCellAnchor>
  <xdr:twoCellAnchor editAs="oneCell">
    <xdr:from>
      <xdr:col>2</xdr:col>
      <xdr:colOff>0</xdr:colOff>
      <xdr:row>52</xdr:row>
      <xdr:rowOff>0</xdr:rowOff>
    </xdr:from>
    <xdr:to>
      <xdr:col>2</xdr:col>
      <xdr:colOff>152400</xdr:colOff>
      <xdr:row>52</xdr:row>
      <xdr:rowOff>152400</xdr:rowOff>
    </xdr:to>
    <xdr:sp macro="" textlink="">
      <xdr:nvSpPr>
        <xdr:cNvPr id="205" name="Control 204" hidden="1">
          <a:extLst>
            <a:ext uri="{63B3BB69-23CF-44E3-9099-C40C66FF867C}">
              <a14:compatExt xmlns:a14="http://schemas.microsoft.com/office/drawing/2010/main" spid="_x0000_s1228"/>
            </a:ext>
            <a:ext uri="{FF2B5EF4-FFF2-40B4-BE49-F238E27FC236}">
              <a16:creationId xmlns:a16="http://schemas.microsoft.com/office/drawing/2014/main" id="{00000000-0008-0000-0E00-0000CD000000}"/>
            </a:ext>
          </a:extLst>
        </xdr:cNvPr>
        <xdr:cNvSpPr/>
      </xdr:nvSpPr>
      <xdr:spPr bwMode="auto">
        <a:xfrm>
          <a:off x="3562350" y="10896600"/>
          <a:ext cx="152400" cy="152400"/>
        </a:xfrm>
        <a:prstGeom prst="rect">
          <a:avLst/>
        </a:prstGeom>
        <a:noFill/>
        <a:ln w="9525">
          <a:miter lim="800000"/>
          <a:headEnd/>
          <a:tailEnd/>
        </a:ln>
      </xdr:spPr>
    </xdr:sp>
    <xdr:clientData/>
  </xdr:twoCellAnchor>
  <xdr:twoCellAnchor editAs="oneCell">
    <xdr:from>
      <xdr:col>0</xdr:col>
      <xdr:colOff>0</xdr:colOff>
      <xdr:row>53</xdr:row>
      <xdr:rowOff>0</xdr:rowOff>
    </xdr:from>
    <xdr:to>
      <xdr:col>0</xdr:col>
      <xdr:colOff>139700</xdr:colOff>
      <xdr:row>53</xdr:row>
      <xdr:rowOff>139700</xdr:rowOff>
    </xdr:to>
    <xdr:sp macro="" textlink="">
      <xdr:nvSpPr>
        <xdr:cNvPr id="206" name="Control 205" hidden="1">
          <a:extLst>
            <a:ext uri="{63B3BB69-23CF-44E3-9099-C40C66FF867C}">
              <a14:compatExt xmlns:a14="http://schemas.microsoft.com/office/drawing/2010/main" spid="_x0000_s1229"/>
            </a:ext>
            <a:ext uri="{FF2B5EF4-FFF2-40B4-BE49-F238E27FC236}">
              <a16:creationId xmlns:a16="http://schemas.microsoft.com/office/drawing/2014/main" id="{00000000-0008-0000-0E00-0000CE000000}"/>
            </a:ext>
          </a:extLst>
        </xdr:cNvPr>
        <xdr:cNvSpPr/>
      </xdr:nvSpPr>
      <xdr:spPr bwMode="auto">
        <a:xfrm>
          <a:off x="0" y="11106150"/>
          <a:ext cx="139700" cy="139700"/>
        </a:xfrm>
        <a:prstGeom prst="rect">
          <a:avLst/>
        </a:prstGeom>
        <a:noFill/>
        <a:ln w="9525">
          <a:miter lim="800000"/>
          <a:headEnd/>
          <a:tailEnd/>
        </a:ln>
      </xdr:spPr>
    </xdr:sp>
    <xdr:clientData/>
  </xdr:twoCellAnchor>
  <xdr:twoCellAnchor editAs="oneCell">
    <xdr:from>
      <xdr:col>2</xdr:col>
      <xdr:colOff>0</xdr:colOff>
      <xdr:row>53</xdr:row>
      <xdr:rowOff>0</xdr:rowOff>
    </xdr:from>
    <xdr:to>
      <xdr:col>2</xdr:col>
      <xdr:colOff>254000</xdr:colOff>
      <xdr:row>54</xdr:row>
      <xdr:rowOff>82550</xdr:rowOff>
    </xdr:to>
    <xdr:sp macro="" textlink="">
      <xdr:nvSpPr>
        <xdr:cNvPr id="207" name="Control 206" hidden="1">
          <a:extLst>
            <a:ext uri="{63B3BB69-23CF-44E3-9099-C40C66FF867C}">
              <a14:compatExt xmlns:a14="http://schemas.microsoft.com/office/drawing/2010/main" spid="_x0000_s1230"/>
            </a:ext>
            <a:ext uri="{FF2B5EF4-FFF2-40B4-BE49-F238E27FC236}">
              <a16:creationId xmlns:a16="http://schemas.microsoft.com/office/drawing/2014/main" id="{00000000-0008-0000-0E00-0000CF000000}"/>
            </a:ext>
          </a:extLst>
        </xdr:cNvPr>
        <xdr:cNvSpPr/>
      </xdr:nvSpPr>
      <xdr:spPr bwMode="auto">
        <a:xfrm>
          <a:off x="3562350" y="11106150"/>
          <a:ext cx="254000" cy="273050"/>
        </a:xfrm>
        <a:prstGeom prst="rect">
          <a:avLst/>
        </a:prstGeom>
        <a:noFill/>
        <a:ln w="9525">
          <a:miter lim="800000"/>
          <a:headEnd/>
          <a:tailEnd/>
        </a:ln>
      </xdr:spPr>
    </xdr:sp>
    <xdr:clientData/>
  </xdr:twoCellAnchor>
  <xdr:twoCellAnchor editAs="oneCell">
    <xdr:from>
      <xdr:col>2</xdr:col>
      <xdr:colOff>0</xdr:colOff>
      <xdr:row>53</xdr:row>
      <xdr:rowOff>0</xdr:rowOff>
    </xdr:from>
    <xdr:to>
      <xdr:col>2</xdr:col>
      <xdr:colOff>152400</xdr:colOff>
      <xdr:row>53</xdr:row>
      <xdr:rowOff>152400</xdr:rowOff>
    </xdr:to>
    <xdr:sp macro="" textlink="">
      <xdr:nvSpPr>
        <xdr:cNvPr id="208" name="Control 207" hidden="1">
          <a:extLst>
            <a:ext uri="{63B3BB69-23CF-44E3-9099-C40C66FF867C}">
              <a14:compatExt xmlns:a14="http://schemas.microsoft.com/office/drawing/2010/main" spid="_x0000_s1231"/>
            </a:ext>
            <a:ext uri="{FF2B5EF4-FFF2-40B4-BE49-F238E27FC236}">
              <a16:creationId xmlns:a16="http://schemas.microsoft.com/office/drawing/2014/main" id="{00000000-0008-0000-0E00-0000D0000000}"/>
            </a:ext>
          </a:extLst>
        </xdr:cNvPr>
        <xdr:cNvSpPr/>
      </xdr:nvSpPr>
      <xdr:spPr bwMode="auto">
        <a:xfrm>
          <a:off x="3562350" y="11106150"/>
          <a:ext cx="152400" cy="152400"/>
        </a:xfrm>
        <a:prstGeom prst="rect">
          <a:avLst/>
        </a:prstGeom>
        <a:noFill/>
        <a:ln w="9525">
          <a:miter lim="800000"/>
          <a:headEnd/>
          <a:tailEnd/>
        </a:ln>
      </xdr:spPr>
    </xdr:sp>
    <xdr:clientData/>
  </xdr:twoCellAnchor>
  <xdr:twoCellAnchor editAs="oneCell">
    <xdr:from>
      <xdr:col>2</xdr:col>
      <xdr:colOff>0</xdr:colOff>
      <xdr:row>53</xdr:row>
      <xdr:rowOff>0</xdr:rowOff>
    </xdr:from>
    <xdr:to>
      <xdr:col>2</xdr:col>
      <xdr:colOff>152400</xdr:colOff>
      <xdr:row>53</xdr:row>
      <xdr:rowOff>152400</xdr:rowOff>
    </xdr:to>
    <xdr:sp macro="" textlink="">
      <xdr:nvSpPr>
        <xdr:cNvPr id="209" name="Control 208" hidden="1">
          <a:extLst>
            <a:ext uri="{63B3BB69-23CF-44E3-9099-C40C66FF867C}">
              <a14:compatExt xmlns:a14="http://schemas.microsoft.com/office/drawing/2010/main" spid="_x0000_s1232"/>
            </a:ext>
            <a:ext uri="{FF2B5EF4-FFF2-40B4-BE49-F238E27FC236}">
              <a16:creationId xmlns:a16="http://schemas.microsoft.com/office/drawing/2014/main" id="{00000000-0008-0000-0E00-0000D1000000}"/>
            </a:ext>
          </a:extLst>
        </xdr:cNvPr>
        <xdr:cNvSpPr/>
      </xdr:nvSpPr>
      <xdr:spPr bwMode="auto">
        <a:xfrm>
          <a:off x="3562350" y="11106150"/>
          <a:ext cx="152400" cy="152400"/>
        </a:xfrm>
        <a:prstGeom prst="rect">
          <a:avLst/>
        </a:prstGeom>
        <a:noFill/>
        <a:ln w="9525">
          <a:miter lim="800000"/>
          <a:headEnd/>
          <a:tailEnd/>
        </a:ln>
      </xdr:spPr>
    </xdr:sp>
    <xdr:clientData/>
  </xdr:twoCellAnchor>
  <xdr:twoCellAnchor editAs="oneCell">
    <xdr:from>
      <xdr:col>0</xdr:col>
      <xdr:colOff>0</xdr:colOff>
      <xdr:row>54</xdr:row>
      <xdr:rowOff>0</xdr:rowOff>
    </xdr:from>
    <xdr:to>
      <xdr:col>0</xdr:col>
      <xdr:colOff>139700</xdr:colOff>
      <xdr:row>54</xdr:row>
      <xdr:rowOff>139700</xdr:rowOff>
    </xdr:to>
    <xdr:sp macro="" textlink="">
      <xdr:nvSpPr>
        <xdr:cNvPr id="210" name="Control 209" hidden="1">
          <a:extLst>
            <a:ext uri="{63B3BB69-23CF-44E3-9099-C40C66FF867C}">
              <a14:compatExt xmlns:a14="http://schemas.microsoft.com/office/drawing/2010/main" spid="_x0000_s1233"/>
            </a:ext>
            <a:ext uri="{FF2B5EF4-FFF2-40B4-BE49-F238E27FC236}">
              <a16:creationId xmlns:a16="http://schemas.microsoft.com/office/drawing/2014/main" id="{00000000-0008-0000-0E00-0000D2000000}"/>
            </a:ext>
          </a:extLst>
        </xdr:cNvPr>
        <xdr:cNvSpPr/>
      </xdr:nvSpPr>
      <xdr:spPr bwMode="auto">
        <a:xfrm>
          <a:off x="0" y="11315700"/>
          <a:ext cx="139700" cy="139700"/>
        </a:xfrm>
        <a:prstGeom prst="rect">
          <a:avLst/>
        </a:prstGeom>
        <a:noFill/>
        <a:ln w="9525">
          <a:miter lim="800000"/>
          <a:headEnd/>
          <a:tailEnd/>
        </a:ln>
      </xdr:spPr>
    </xdr:sp>
    <xdr:clientData/>
  </xdr:twoCellAnchor>
  <xdr:twoCellAnchor editAs="oneCell">
    <xdr:from>
      <xdr:col>2</xdr:col>
      <xdr:colOff>0</xdr:colOff>
      <xdr:row>54</xdr:row>
      <xdr:rowOff>0</xdr:rowOff>
    </xdr:from>
    <xdr:to>
      <xdr:col>2</xdr:col>
      <xdr:colOff>254000</xdr:colOff>
      <xdr:row>55</xdr:row>
      <xdr:rowOff>82550</xdr:rowOff>
    </xdr:to>
    <xdr:sp macro="" textlink="">
      <xdr:nvSpPr>
        <xdr:cNvPr id="211" name="Control 210" hidden="1">
          <a:extLst>
            <a:ext uri="{63B3BB69-23CF-44E3-9099-C40C66FF867C}">
              <a14:compatExt xmlns:a14="http://schemas.microsoft.com/office/drawing/2010/main" spid="_x0000_s1234"/>
            </a:ext>
            <a:ext uri="{FF2B5EF4-FFF2-40B4-BE49-F238E27FC236}">
              <a16:creationId xmlns:a16="http://schemas.microsoft.com/office/drawing/2014/main" id="{00000000-0008-0000-0E00-0000D3000000}"/>
            </a:ext>
          </a:extLst>
        </xdr:cNvPr>
        <xdr:cNvSpPr/>
      </xdr:nvSpPr>
      <xdr:spPr bwMode="auto">
        <a:xfrm>
          <a:off x="3562350" y="11315700"/>
          <a:ext cx="254000" cy="273050"/>
        </a:xfrm>
        <a:prstGeom prst="rect">
          <a:avLst/>
        </a:prstGeom>
        <a:noFill/>
        <a:ln w="9525">
          <a:miter lim="800000"/>
          <a:headEnd/>
          <a:tailEnd/>
        </a:ln>
      </xdr:spPr>
    </xdr:sp>
    <xdr:clientData/>
  </xdr:twoCellAnchor>
  <xdr:twoCellAnchor editAs="oneCell">
    <xdr:from>
      <xdr:col>2</xdr:col>
      <xdr:colOff>0</xdr:colOff>
      <xdr:row>54</xdr:row>
      <xdr:rowOff>0</xdr:rowOff>
    </xdr:from>
    <xdr:to>
      <xdr:col>2</xdr:col>
      <xdr:colOff>152400</xdr:colOff>
      <xdr:row>54</xdr:row>
      <xdr:rowOff>152400</xdr:rowOff>
    </xdr:to>
    <xdr:sp macro="" textlink="">
      <xdr:nvSpPr>
        <xdr:cNvPr id="212" name="Control 211" hidden="1">
          <a:extLst>
            <a:ext uri="{63B3BB69-23CF-44E3-9099-C40C66FF867C}">
              <a14:compatExt xmlns:a14="http://schemas.microsoft.com/office/drawing/2010/main" spid="_x0000_s1235"/>
            </a:ext>
            <a:ext uri="{FF2B5EF4-FFF2-40B4-BE49-F238E27FC236}">
              <a16:creationId xmlns:a16="http://schemas.microsoft.com/office/drawing/2014/main" id="{00000000-0008-0000-0E00-0000D4000000}"/>
            </a:ext>
          </a:extLst>
        </xdr:cNvPr>
        <xdr:cNvSpPr/>
      </xdr:nvSpPr>
      <xdr:spPr bwMode="auto">
        <a:xfrm>
          <a:off x="3562350" y="11315700"/>
          <a:ext cx="152400" cy="152400"/>
        </a:xfrm>
        <a:prstGeom prst="rect">
          <a:avLst/>
        </a:prstGeom>
        <a:noFill/>
        <a:ln w="9525">
          <a:miter lim="800000"/>
          <a:headEnd/>
          <a:tailEnd/>
        </a:ln>
      </xdr:spPr>
    </xdr:sp>
    <xdr:clientData/>
  </xdr:twoCellAnchor>
  <xdr:twoCellAnchor editAs="oneCell">
    <xdr:from>
      <xdr:col>2</xdr:col>
      <xdr:colOff>0</xdr:colOff>
      <xdr:row>54</xdr:row>
      <xdr:rowOff>0</xdr:rowOff>
    </xdr:from>
    <xdr:to>
      <xdr:col>2</xdr:col>
      <xdr:colOff>152400</xdr:colOff>
      <xdr:row>54</xdr:row>
      <xdr:rowOff>152400</xdr:rowOff>
    </xdr:to>
    <xdr:sp macro="" textlink="">
      <xdr:nvSpPr>
        <xdr:cNvPr id="213" name="Control 212" hidden="1">
          <a:extLst>
            <a:ext uri="{63B3BB69-23CF-44E3-9099-C40C66FF867C}">
              <a14:compatExt xmlns:a14="http://schemas.microsoft.com/office/drawing/2010/main" spid="_x0000_s1236"/>
            </a:ext>
            <a:ext uri="{FF2B5EF4-FFF2-40B4-BE49-F238E27FC236}">
              <a16:creationId xmlns:a16="http://schemas.microsoft.com/office/drawing/2014/main" id="{00000000-0008-0000-0E00-0000D5000000}"/>
            </a:ext>
          </a:extLst>
        </xdr:cNvPr>
        <xdr:cNvSpPr/>
      </xdr:nvSpPr>
      <xdr:spPr bwMode="auto">
        <a:xfrm>
          <a:off x="3562350" y="11315700"/>
          <a:ext cx="152400" cy="152400"/>
        </a:xfrm>
        <a:prstGeom prst="rect">
          <a:avLst/>
        </a:prstGeom>
        <a:noFill/>
        <a:ln w="9525">
          <a:miter lim="800000"/>
          <a:headEnd/>
          <a:tailEnd/>
        </a:ln>
      </xdr:spPr>
    </xdr:sp>
    <xdr:clientData/>
  </xdr:twoCellAnchor>
  <xdr:twoCellAnchor editAs="oneCell">
    <xdr:from>
      <xdr:col>0</xdr:col>
      <xdr:colOff>0</xdr:colOff>
      <xdr:row>55</xdr:row>
      <xdr:rowOff>0</xdr:rowOff>
    </xdr:from>
    <xdr:to>
      <xdr:col>0</xdr:col>
      <xdr:colOff>139700</xdr:colOff>
      <xdr:row>55</xdr:row>
      <xdr:rowOff>139700</xdr:rowOff>
    </xdr:to>
    <xdr:sp macro="" textlink="">
      <xdr:nvSpPr>
        <xdr:cNvPr id="214" name="Control 213" hidden="1">
          <a:extLst>
            <a:ext uri="{63B3BB69-23CF-44E3-9099-C40C66FF867C}">
              <a14:compatExt xmlns:a14="http://schemas.microsoft.com/office/drawing/2010/main" spid="_x0000_s1237"/>
            </a:ext>
            <a:ext uri="{FF2B5EF4-FFF2-40B4-BE49-F238E27FC236}">
              <a16:creationId xmlns:a16="http://schemas.microsoft.com/office/drawing/2014/main" id="{00000000-0008-0000-0E00-0000D6000000}"/>
            </a:ext>
          </a:extLst>
        </xdr:cNvPr>
        <xdr:cNvSpPr/>
      </xdr:nvSpPr>
      <xdr:spPr bwMode="auto">
        <a:xfrm>
          <a:off x="0" y="11525250"/>
          <a:ext cx="139700" cy="139700"/>
        </a:xfrm>
        <a:prstGeom prst="rect">
          <a:avLst/>
        </a:prstGeom>
        <a:noFill/>
        <a:ln w="9525">
          <a:miter lim="800000"/>
          <a:headEnd/>
          <a:tailEnd/>
        </a:ln>
      </xdr:spPr>
    </xdr:sp>
    <xdr:clientData/>
  </xdr:twoCellAnchor>
  <xdr:twoCellAnchor editAs="oneCell">
    <xdr:from>
      <xdr:col>2</xdr:col>
      <xdr:colOff>0</xdr:colOff>
      <xdr:row>55</xdr:row>
      <xdr:rowOff>0</xdr:rowOff>
    </xdr:from>
    <xdr:to>
      <xdr:col>2</xdr:col>
      <xdr:colOff>254000</xdr:colOff>
      <xdr:row>56</xdr:row>
      <xdr:rowOff>82550</xdr:rowOff>
    </xdr:to>
    <xdr:sp macro="" textlink="">
      <xdr:nvSpPr>
        <xdr:cNvPr id="215" name="Control 214" hidden="1">
          <a:extLst>
            <a:ext uri="{63B3BB69-23CF-44E3-9099-C40C66FF867C}">
              <a14:compatExt xmlns:a14="http://schemas.microsoft.com/office/drawing/2010/main" spid="_x0000_s1238"/>
            </a:ext>
            <a:ext uri="{FF2B5EF4-FFF2-40B4-BE49-F238E27FC236}">
              <a16:creationId xmlns:a16="http://schemas.microsoft.com/office/drawing/2014/main" id="{00000000-0008-0000-0E00-0000D7000000}"/>
            </a:ext>
          </a:extLst>
        </xdr:cNvPr>
        <xdr:cNvSpPr/>
      </xdr:nvSpPr>
      <xdr:spPr bwMode="auto">
        <a:xfrm>
          <a:off x="3562350" y="11525250"/>
          <a:ext cx="254000" cy="273050"/>
        </a:xfrm>
        <a:prstGeom prst="rect">
          <a:avLst/>
        </a:prstGeom>
        <a:noFill/>
        <a:ln w="9525">
          <a:miter lim="800000"/>
          <a:headEnd/>
          <a:tailEnd/>
        </a:ln>
      </xdr:spPr>
    </xdr:sp>
    <xdr:clientData/>
  </xdr:twoCellAnchor>
  <xdr:twoCellAnchor editAs="oneCell">
    <xdr:from>
      <xdr:col>2</xdr:col>
      <xdr:colOff>0</xdr:colOff>
      <xdr:row>55</xdr:row>
      <xdr:rowOff>0</xdr:rowOff>
    </xdr:from>
    <xdr:to>
      <xdr:col>2</xdr:col>
      <xdr:colOff>152400</xdr:colOff>
      <xdr:row>55</xdr:row>
      <xdr:rowOff>152400</xdr:rowOff>
    </xdr:to>
    <xdr:sp macro="" textlink="">
      <xdr:nvSpPr>
        <xdr:cNvPr id="216" name="Control 215" hidden="1">
          <a:extLst>
            <a:ext uri="{63B3BB69-23CF-44E3-9099-C40C66FF867C}">
              <a14:compatExt xmlns:a14="http://schemas.microsoft.com/office/drawing/2010/main" spid="_x0000_s1239"/>
            </a:ext>
            <a:ext uri="{FF2B5EF4-FFF2-40B4-BE49-F238E27FC236}">
              <a16:creationId xmlns:a16="http://schemas.microsoft.com/office/drawing/2014/main" id="{00000000-0008-0000-0E00-0000D8000000}"/>
            </a:ext>
          </a:extLst>
        </xdr:cNvPr>
        <xdr:cNvSpPr/>
      </xdr:nvSpPr>
      <xdr:spPr bwMode="auto">
        <a:xfrm>
          <a:off x="3562350" y="11525250"/>
          <a:ext cx="152400" cy="152400"/>
        </a:xfrm>
        <a:prstGeom prst="rect">
          <a:avLst/>
        </a:prstGeom>
        <a:noFill/>
        <a:ln w="9525">
          <a:miter lim="800000"/>
          <a:headEnd/>
          <a:tailEnd/>
        </a:ln>
      </xdr:spPr>
    </xdr:sp>
    <xdr:clientData/>
  </xdr:twoCellAnchor>
  <xdr:twoCellAnchor editAs="oneCell">
    <xdr:from>
      <xdr:col>2</xdr:col>
      <xdr:colOff>0</xdr:colOff>
      <xdr:row>55</xdr:row>
      <xdr:rowOff>0</xdr:rowOff>
    </xdr:from>
    <xdr:to>
      <xdr:col>2</xdr:col>
      <xdr:colOff>152400</xdr:colOff>
      <xdr:row>55</xdr:row>
      <xdr:rowOff>152400</xdr:rowOff>
    </xdr:to>
    <xdr:sp macro="" textlink="">
      <xdr:nvSpPr>
        <xdr:cNvPr id="217" name="Control 216" hidden="1">
          <a:extLst>
            <a:ext uri="{63B3BB69-23CF-44E3-9099-C40C66FF867C}">
              <a14:compatExt xmlns:a14="http://schemas.microsoft.com/office/drawing/2010/main" spid="_x0000_s1240"/>
            </a:ext>
            <a:ext uri="{FF2B5EF4-FFF2-40B4-BE49-F238E27FC236}">
              <a16:creationId xmlns:a16="http://schemas.microsoft.com/office/drawing/2014/main" id="{00000000-0008-0000-0E00-0000D9000000}"/>
            </a:ext>
          </a:extLst>
        </xdr:cNvPr>
        <xdr:cNvSpPr/>
      </xdr:nvSpPr>
      <xdr:spPr bwMode="auto">
        <a:xfrm>
          <a:off x="3562350" y="11525250"/>
          <a:ext cx="152400" cy="152400"/>
        </a:xfrm>
        <a:prstGeom prst="rect">
          <a:avLst/>
        </a:prstGeom>
        <a:noFill/>
        <a:ln w="9525">
          <a:miter lim="800000"/>
          <a:headEnd/>
          <a:tailEnd/>
        </a:ln>
      </xdr:spPr>
    </xdr:sp>
    <xdr:clientData/>
  </xdr:twoCellAnchor>
  <xdr:twoCellAnchor editAs="oneCell">
    <xdr:from>
      <xdr:col>0</xdr:col>
      <xdr:colOff>0</xdr:colOff>
      <xdr:row>56</xdr:row>
      <xdr:rowOff>0</xdr:rowOff>
    </xdr:from>
    <xdr:to>
      <xdr:col>0</xdr:col>
      <xdr:colOff>139700</xdr:colOff>
      <xdr:row>56</xdr:row>
      <xdr:rowOff>139700</xdr:rowOff>
    </xdr:to>
    <xdr:sp macro="" textlink="">
      <xdr:nvSpPr>
        <xdr:cNvPr id="218" name="Control 217" hidden="1">
          <a:extLst>
            <a:ext uri="{63B3BB69-23CF-44E3-9099-C40C66FF867C}">
              <a14:compatExt xmlns:a14="http://schemas.microsoft.com/office/drawing/2010/main" spid="_x0000_s1241"/>
            </a:ext>
            <a:ext uri="{FF2B5EF4-FFF2-40B4-BE49-F238E27FC236}">
              <a16:creationId xmlns:a16="http://schemas.microsoft.com/office/drawing/2014/main" id="{00000000-0008-0000-0E00-0000DA000000}"/>
            </a:ext>
          </a:extLst>
        </xdr:cNvPr>
        <xdr:cNvSpPr/>
      </xdr:nvSpPr>
      <xdr:spPr bwMode="auto">
        <a:xfrm>
          <a:off x="0" y="11734800"/>
          <a:ext cx="139700" cy="139700"/>
        </a:xfrm>
        <a:prstGeom prst="rect">
          <a:avLst/>
        </a:prstGeom>
        <a:noFill/>
        <a:ln w="9525">
          <a:miter lim="800000"/>
          <a:headEnd/>
          <a:tailEnd/>
        </a:ln>
      </xdr:spPr>
    </xdr:sp>
    <xdr:clientData/>
  </xdr:twoCellAnchor>
  <xdr:twoCellAnchor editAs="oneCell">
    <xdr:from>
      <xdr:col>2</xdr:col>
      <xdr:colOff>0</xdr:colOff>
      <xdr:row>56</xdr:row>
      <xdr:rowOff>0</xdr:rowOff>
    </xdr:from>
    <xdr:to>
      <xdr:col>2</xdr:col>
      <xdr:colOff>254000</xdr:colOff>
      <xdr:row>57</xdr:row>
      <xdr:rowOff>82550</xdr:rowOff>
    </xdr:to>
    <xdr:sp macro="" textlink="">
      <xdr:nvSpPr>
        <xdr:cNvPr id="219" name="Control 218" hidden="1">
          <a:extLst>
            <a:ext uri="{63B3BB69-23CF-44E3-9099-C40C66FF867C}">
              <a14:compatExt xmlns:a14="http://schemas.microsoft.com/office/drawing/2010/main" spid="_x0000_s1242"/>
            </a:ext>
            <a:ext uri="{FF2B5EF4-FFF2-40B4-BE49-F238E27FC236}">
              <a16:creationId xmlns:a16="http://schemas.microsoft.com/office/drawing/2014/main" id="{00000000-0008-0000-0E00-0000DB000000}"/>
            </a:ext>
          </a:extLst>
        </xdr:cNvPr>
        <xdr:cNvSpPr/>
      </xdr:nvSpPr>
      <xdr:spPr bwMode="auto">
        <a:xfrm>
          <a:off x="3562350" y="11734800"/>
          <a:ext cx="254000" cy="273050"/>
        </a:xfrm>
        <a:prstGeom prst="rect">
          <a:avLst/>
        </a:prstGeom>
        <a:noFill/>
        <a:ln w="9525">
          <a:miter lim="800000"/>
          <a:headEnd/>
          <a:tailEnd/>
        </a:ln>
      </xdr:spPr>
    </xdr:sp>
    <xdr:clientData/>
  </xdr:twoCellAnchor>
  <xdr:twoCellAnchor editAs="oneCell">
    <xdr:from>
      <xdr:col>2</xdr:col>
      <xdr:colOff>0</xdr:colOff>
      <xdr:row>56</xdr:row>
      <xdr:rowOff>0</xdr:rowOff>
    </xdr:from>
    <xdr:to>
      <xdr:col>2</xdr:col>
      <xdr:colOff>152400</xdr:colOff>
      <xdr:row>56</xdr:row>
      <xdr:rowOff>152400</xdr:rowOff>
    </xdr:to>
    <xdr:sp macro="" textlink="">
      <xdr:nvSpPr>
        <xdr:cNvPr id="220" name="Control 219" hidden="1">
          <a:extLst>
            <a:ext uri="{63B3BB69-23CF-44E3-9099-C40C66FF867C}">
              <a14:compatExt xmlns:a14="http://schemas.microsoft.com/office/drawing/2010/main" spid="_x0000_s1243"/>
            </a:ext>
            <a:ext uri="{FF2B5EF4-FFF2-40B4-BE49-F238E27FC236}">
              <a16:creationId xmlns:a16="http://schemas.microsoft.com/office/drawing/2014/main" id="{00000000-0008-0000-0E00-0000DC000000}"/>
            </a:ext>
          </a:extLst>
        </xdr:cNvPr>
        <xdr:cNvSpPr/>
      </xdr:nvSpPr>
      <xdr:spPr bwMode="auto">
        <a:xfrm>
          <a:off x="3562350" y="11734800"/>
          <a:ext cx="152400" cy="152400"/>
        </a:xfrm>
        <a:prstGeom prst="rect">
          <a:avLst/>
        </a:prstGeom>
        <a:noFill/>
        <a:ln w="9525">
          <a:miter lim="800000"/>
          <a:headEnd/>
          <a:tailEnd/>
        </a:ln>
      </xdr:spPr>
    </xdr:sp>
    <xdr:clientData/>
  </xdr:twoCellAnchor>
  <xdr:twoCellAnchor editAs="oneCell">
    <xdr:from>
      <xdr:col>2</xdr:col>
      <xdr:colOff>0</xdr:colOff>
      <xdr:row>56</xdr:row>
      <xdr:rowOff>0</xdr:rowOff>
    </xdr:from>
    <xdr:to>
      <xdr:col>2</xdr:col>
      <xdr:colOff>152400</xdr:colOff>
      <xdr:row>56</xdr:row>
      <xdr:rowOff>152400</xdr:rowOff>
    </xdr:to>
    <xdr:sp macro="" textlink="">
      <xdr:nvSpPr>
        <xdr:cNvPr id="221" name="Control 220" hidden="1">
          <a:extLst>
            <a:ext uri="{63B3BB69-23CF-44E3-9099-C40C66FF867C}">
              <a14:compatExt xmlns:a14="http://schemas.microsoft.com/office/drawing/2010/main" spid="_x0000_s1244"/>
            </a:ext>
            <a:ext uri="{FF2B5EF4-FFF2-40B4-BE49-F238E27FC236}">
              <a16:creationId xmlns:a16="http://schemas.microsoft.com/office/drawing/2014/main" id="{00000000-0008-0000-0E00-0000DD000000}"/>
            </a:ext>
          </a:extLst>
        </xdr:cNvPr>
        <xdr:cNvSpPr/>
      </xdr:nvSpPr>
      <xdr:spPr bwMode="auto">
        <a:xfrm>
          <a:off x="3562350" y="11734800"/>
          <a:ext cx="152400" cy="152400"/>
        </a:xfrm>
        <a:prstGeom prst="rect">
          <a:avLst/>
        </a:prstGeom>
        <a:noFill/>
        <a:ln w="9525">
          <a:miter lim="800000"/>
          <a:headEnd/>
          <a:tailEnd/>
        </a:ln>
      </xdr:spPr>
    </xdr:sp>
    <xdr:clientData/>
  </xdr:twoCellAnchor>
  <xdr:twoCellAnchor editAs="oneCell">
    <xdr:from>
      <xdr:col>0</xdr:col>
      <xdr:colOff>0</xdr:colOff>
      <xdr:row>57</xdr:row>
      <xdr:rowOff>0</xdr:rowOff>
    </xdr:from>
    <xdr:to>
      <xdr:col>0</xdr:col>
      <xdr:colOff>139700</xdr:colOff>
      <xdr:row>57</xdr:row>
      <xdr:rowOff>139700</xdr:rowOff>
    </xdr:to>
    <xdr:sp macro="" textlink="">
      <xdr:nvSpPr>
        <xdr:cNvPr id="222" name="Control 221" hidden="1">
          <a:extLst>
            <a:ext uri="{63B3BB69-23CF-44E3-9099-C40C66FF867C}">
              <a14:compatExt xmlns:a14="http://schemas.microsoft.com/office/drawing/2010/main" spid="_x0000_s1245"/>
            </a:ext>
            <a:ext uri="{FF2B5EF4-FFF2-40B4-BE49-F238E27FC236}">
              <a16:creationId xmlns:a16="http://schemas.microsoft.com/office/drawing/2014/main" id="{00000000-0008-0000-0E00-0000DE000000}"/>
            </a:ext>
          </a:extLst>
        </xdr:cNvPr>
        <xdr:cNvSpPr/>
      </xdr:nvSpPr>
      <xdr:spPr bwMode="auto">
        <a:xfrm>
          <a:off x="0" y="11944350"/>
          <a:ext cx="139700" cy="139700"/>
        </a:xfrm>
        <a:prstGeom prst="rect">
          <a:avLst/>
        </a:prstGeom>
        <a:noFill/>
        <a:ln w="9525">
          <a:miter lim="800000"/>
          <a:headEnd/>
          <a:tailEnd/>
        </a:ln>
      </xdr:spPr>
    </xdr:sp>
    <xdr:clientData/>
  </xdr:twoCellAnchor>
  <xdr:twoCellAnchor editAs="oneCell">
    <xdr:from>
      <xdr:col>2</xdr:col>
      <xdr:colOff>0</xdr:colOff>
      <xdr:row>57</xdr:row>
      <xdr:rowOff>0</xdr:rowOff>
    </xdr:from>
    <xdr:to>
      <xdr:col>2</xdr:col>
      <xdr:colOff>254000</xdr:colOff>
      <xdr:row>58</xdr:row>
      <xdr:rowOff>82550</xdr:rowOff>
    </xdr:to>
    <xdr:sp macro="" textlink="">
      <xdr:nvSpPr>
        <xdr:cNvPr id="223" name="Control 222" hidden="1">
          <a:extLst>
            <a:ext uri="{63B3BB69-23CF-44E3-9099-C40C66FF867C}">
              <a14:compatExt xmlns:a14="http://schemas.microsoft.com/office/drawing/2010/main" spid="_x0000_s1246"/>
            </a:ext>
            <a:ext uri="{FF2B5EF4-FFF2-40B4-BE49-F238E27FC236}">
              <a16:creationId xmlns:a16="http://schemas.microsoft.com/office/drawing/2014/main" id="{00000000-0008-0000-0E00-0000DF000000}"/>
            </a:ext>
          </a:extLst>
        </xdr:cNvPr>
        <xdr:cNvSpPr/>
      </xdr:nvSpPr>
      <xdr:spPr bwMode="auto">
        <a:xfrm>
          <a:off x="3562350" y="11944350"/>
          <a:ext cx="254000" cy="273050"/>
        </a:xfrm>
        <a:prstGeom prst="rect">
          <a:avLst/>
        </a:prstGeom>
        <a:noFill/>
        <a:ln w="9525">
          <a:miter lim="800000"/>
          <a:headEnd/>
          <a:tailEnd/>
        </a:ln>
      </xdr:spPr>
    </xdr:sp>
    <xdr:clientData/>
  </xdr:twoCellAnchor>
  <xdr:twoCellAnchor editAs="oneCell">
    <xdr:from>
      <xdr:col>2</xdr:col>
      <xdr:colOff>0</xdr:colOff>
      <xdr:row>57</xdr:row>
      <xdr:rowOff>0</xdr:rowOff>
    </xdr:from>
    <xdr:to>
      <xdr:col>2</xdr:col>
      <xdr:colOff>152400</xdr:colOff>
      <xdr:row>57</xdr:row>
      <xdr:rowOff>152400</xdr:rowOff>
    </xdr:to>
    <xdr:sp macro="" textlink="">
      <xdr:nvSpPr>
        <xdr:cNvPr id="224" name="Control 223" hidden="1">
          <a:extLst>
            <a:ext uri="{63B3BB69-23CF-44E3-9099-C40C66FF867C}">
              <a14:compatExt xmlns:a14="http://schemas.microsoft.com/office/drawing/2010/main" spid="_x0000_s1247"/>
            </a:ext>
            <a:ext uri="{FF2B5EF4-FFF2-40B4-BE49-F238E27FC236}">
              <a16:creationId xmlns:a16="http://schemas.microsoft.com/office/drawing/2014/main" id="{00000000-0008-0000-0E00-0000E0000000}"/>
            </a:ext>
          </a:extLst>
        </xdr:cNvPr>
        <xdr:cNvSpPr/>
      </xdr:nvSpPr>
      <xdr:spPr bwMode="auto">
        <a:xfrm>
          <a:off x="3562350" y="11944350"/>
          <a:ext cx="152400" cy="152400"/>
        </a:xfrm>
        <a:prstGeom prst="rect">
          <a:avLst/>
        </a:prstGeom>
        <a:noFill/>
        <a:ln w="9525">
          <a:miter lim="800000"/>
          <a:headEnd/>
          <a:tailEnd/>
        </a:ln>
      </xdr:spPr>
    </xdr:sp>
    <xdr:clientData/>
  </xdr:twoCellAnchor>
  <xdr:twoCellAnchor editAs="oneCell">
    <xdr:from>
      <xdr:col>2</xdr:col>
      <xdr:colOff>0</xdr:colOff>
      <xdr:row>57</xdr:row>
      <xdr:rowOff>0</xdr:rowOff>
    </xdr:from>
    <xdr:to>
      <xdr:col>2</xdr:col>
      <xdr:colOff>152400</xdr:colOff>
      <xdr:row>57</xdr:row>
      <xdr:rowOff>152400</xdr:rowOff>
    </xdr:to>
    <xdr:sp macro="" textlink="">
      <xdr:nvSpPr>
        <xdr:cNvPr id="225" name="Control 224" hidden="1">
          <a:extLst>
            <a:ext uri="{63B3BB69-23CF-44E3-9099-C40C66FF867C}">
              <a14:compatExt xmlns:a14="http://schemas.microsoft.com/office/drawing/2010/main" spid="_x0000_s1248"/>
            </a:ext>
            <a:ext uri="{FF2B5EF4-FFF2-40B4-BE49-F238E27FC236}">
              <a16:creationId xmlns:a16="http://schemas.microsoft.com/office/drawing/2014/main" id="{00000000-0008-0000-0E00-0000E1000000}"/>
            </a:ext>
          </a:extLst>
        </xdr:cNvPr>
        <xdr:cNvSpPr/>
      </xdr:nvSpPr>
      <xdr:spPr bwMode="auto">
        <a:xfrm>
          <a:off x="3562350" y="11944350"/>
          <a:ext cx="152400" cy="152400"/>
        </a:xfrm>
        <a:prstGeom prst="rect">
          <a:avLst/>
        </a:prstGeom>
        <a:noFill/>
        <a:ln w="9525">
          <a:miter lim="800000"/>
          <a:headEnd/>
          <a:tailEnd/>
        </a:ln>
      </xdr:spPr>
    </xdr:sp>
    <xdr:clientData/>
  </xdr:twoCellAnchor>
  <xdr:twoCellAnchor editAs="oneCell">
    <xdr:from>
      <xdr:col>0</xdr:col>
      <xdr:colOff>0</xdr:colOff>
      <xdr:row>58</xdr:row>
      <xdr:rowOff>0</xdr:rowOff>
    </xdr:from>
    <xdr:to>
      <xdr:col>0</xdr:col>
      <xdr:colOff>139700</xdr:colOff>
      <xdr:row>58</xdr:row>
      <xdr:rowOff>139700</xdr:rowOff>
    </xdr:to>
    <xdr:sp macro="" textlink="">
      <xdr:nvSpPr>
        <xdr:cNvPr id="226" name="Control 225" hidden="1">
          <a:extLst>
            <a:ext uri="{63B3BB69-23CF-44E3-9099-C40C66FF867C}">
              <a14:compatExt xmlns:a14="http://schemas.microsoft.com/office/drawing/2010/main" spid="_x0000_s1249"/>
            </a:ext>
            <a:ext uri="{FF2B5EF4-FFF2-40B4-BE49-F238E27FC236}">
              <a16:creationId xmlns:a16="http://schemas.microsoft.com/office/drawing/2014/main" id="{00000000-0008-0000-0E00-0000E2000000}"/>
            </a:ext>
          </a:extLst>
        </xdr:cNvPr>
        <xdr:cNvSpPr/>
      </xdr:nvSpPr>
      <xdr:spPr bwMode="auto">
        <a:xfrm>
          <a:off x="0" y="12153900"/>
          <a:ext cx="139700" cy="139700"/>
        </a:xfrm>
        <a:prstGeom prst="rect">
          <a:avLst/>
        </a:prstGeom>
        <a:noFill/>
        <a:ln w="9525">
          <a:miter lim="800000"/>
          <a:headEnd/>
          <a:tailEnd/>
        </a:ln>
      </xdr:spPr>
    </xdr:sp>
    <xdr:clientData/>
  </xdr:twoCellAnchor>
  <xdr:twoCellAnchor editAs="oneCell">
    <xdr:from>
      <xdr:col>2</xdr:col>
      <xdr:colOff>0</xdr:colOff>
      <xdr:row>58</xdr:row>
      <xdr:rowOff>0</xdr:rowOff>
    </xdr:from>
    <xdr:to>
      <xdr:col>2</xdr:col>
      <xdr:colOff>254000</xdr:colOff>
      <xdr:row>59</xdr:row>
      <xdr:rowOff>82550</xdr:rowOff>
    </xdr:to>
    <xdr:sp macro="" textlink="">
      <xdr:nvSpPr>
        <xdr:cNvPr id="227" name="Control 226" hidden="1">
          <a:extLst>
            <a:ext uri="{63B3BB69-23CF-44E3-9099-C40C66FF867C}">
              <a14:compatExt xmlns:a14="http://schemas.microsoft.com/office/drawing/2010/main" spid="_x0000_s1250"/>
            </a:ext>
            <a:ext uri="{FF2B5EF4-FFF2-40B4-BE49-F238E27FC236}">
              <a16:creationId xmlns:a16="http://schemas.microsoft.com/office/drawing/2014/main" id="{00000000-0008-0000-0E00-0000E3000000}"/>
            </a:ext>
          </a:extLst>
        </xdr:cNvPr>
        <xdr:cNvSpPr/>
      </xdr:nvSpPr>
      <xdr:spPr bwMode="auto">
        <a:xfrm>
          <a:off x="3562350" y="12153900"/>
          <a:ext cx="254000" cy="273050"/>
        </a:xfrm>
        <a:prstGeom prst="rect">
          <a:avLst/>
        </a:prstGeom>
        <a:noFill/>
        <a:ln w="9525">
          <a:miter lim="800000"/>
          <a:headEnd/>
          <a:tailEnd/>
        </a:ln>
      </xdr:spPr>
    </xdr:sp>
    <xdr:clientData/>
  </xdr:twoCellAnchor>
  <xdr:twoCellAnchor editAs="oneCell">
    <xdr:from>
      <xdr:col>2</xdr:col>
      <xdr:colOff>0</xdr:colOff>
      <xdr:row>58</xdr:row>
      <xdr:rowOff>0</xdr:rowOff>
    </xdr:from>
    <xdr:to>
      <xdr:col>2</xdr:col>
      <xdr:colOff>152400</xdr:colOff>
      <xdr:row>58</xdr:row>
      <xdr:rowOff>152400</xdr:rowOff>
    </xdr:to>
    <xdr:sp macro="" textlink="">
      <xdr:nvSpPr>
        <xdr:cNvPr id="228" name="Control 227" hidden="1">
          <a:extLst>
            <a:ext uri="{63B3BB69-23CF-44E3-9099-C40C66FF867C}">
              <a14:compatExt xmlns:a14="http://schemas.microsoft.com/office/drawing/2010/main" spid="_x0000_s1251"/>
            </a:ext>
            <a:ext uri="{FF2B5EF4-FFF2-40B4-BE49-F238E27FC236}">
              <a16:creationId xmlns:a16="http://schemas.microsoft.com/office/drawing/2014/main" id="{00000000-0008-0000-0E00-0000E4000000}"/>
            </a:ext>
          </a:extLst>
        </xdr:cNvPr>
        <xdr:cNvSpPr/>
      </xdr:nvSpPr>
      <xdr:spPr bwMode="auto">
        <a:xfrm>
          <a:off x="3562350" y="12153900"/>
          <a:ext cx="152400" cy="152400"/>
        </a:xfrm>
        <a:prstGeom prst="rect">
          <a:avLst/>
        </a:prstGeom>
        <a:noFill/>
        <a:ln w="9525">
          <a:miter lim="800000"/>
          <a:headEnd/>
          <a:tailEnd/>
        </a:ln>
      </xdr:spPr>
    </xdr:sp>
    <xdr:clientData/>
  </xdr:twoCellAnchor>
  <xdr:twoCellAnchor editAs="oneCell">
    <xdr:from>
      <xdr:col>2</xdr:col>
      <xdr:colOff>0</xdr:colOff>
      <xdr:row>58</xdr:row>
      <xdr:rowOff>0</xdr:rowOff>
    </xdr:from>
    <xdr:to>
      <xdr:col>2</xdr:col>
      <xdr:colOff>152400</xdr:colOff>
      <xdr:row>58</xdr:row>
      <xdr:rowOff>152400</xdr:rowOff>
    </xdr:to>
    <xdr:sp macro="" textlink="">
      <xdr:nvSpPr>
        <xdr:cNvPr id="229" name="Control 228" hidden="1">
          <a:extLst>
            <a:ext uri="{63B3BB69-23CF-44E3-9099-C40C66FF867C}">
              <a14:compatExt xmlns:a14="http://schemas.microsoft.com/office/drawing/2010/main" spid="_x0000_s1252"/>
            </a:ext>
            <a:ext uri="{FF2B5EF4-FFF2-40B4-BE49-F238E27FC236}">
              <a16:creationId xmlns:a16="http://schemas.microsoft.com/office/drawing/2014/main" id="{00000000-0008-0000-0E00-0000E5000000}"/>
            </a:ext>
          </a:extLst>
        </xdr:cNvPr>
        <xdr:cNvSpPr/>
      </xdr:nvSpPr>
      <xdr:spPr bwMode="auto">
        <a:xfrm>
          <a:off x="3562350" y="12153900"/>
          <a:ext cx="152400" cy="152400"/>
        </a:xfrm>
        <a:prstGeom prst="rect">
          <a:avLst/>
        </a:prstGeom>
        <a:noFill/>
        <a:ln w="9525">
          <a:miter lim="800000"/>
          <a:headEnd/>
          <a:tailEnd/>
        </a:ln>
      </xdr:spPr>
    </xdr:sp>
    <xdr:clientData/>
  </xdr:twoCellAnchor>
  <xdr:twoCellAnchor editAs="oneCell">
    <xdr:from>
      <xdr:col>0</xdr:col>
      <xdr:colOff>0</xdr:colOff>
      <xdr:row>59</xdr:row>
      <xdr:rowOff>0</xdr:rowOff>
    </xdr:from>
    <xdr:to>
      <xdr:col>0</xdr:col>
      <xdr:colOff>139700</xdr:colOff>
      <xdr:row>59</xdr:row>
      <xdr:rowOff>139700</xdr:rowOff>
    </xdr:to>
    <xdr:sp macro="" textlink="">
      <xdr:nvSpPr>
        <xdr:cNvPr id="230" name="Control 229" hidden="1">
          <a:extLst>
            <a:ext uri="{63B3BB69-23CF-44E3-9099-C40C66FF867C}">
              <a14:compatExt xmlns:a14="http://schemas.microsoft.com/office/drawing/2010/main" spid="_x0000_s1253"/>
            </a:ext>
            <a:ext uri="{FF2B5EF4-FFF2-40B4-BE49-F238E27FC236}">
              <a16:creationId xmlns:a16="http://schemas.microsoft.com/office/drawing/2014/main" id="{00000000-0008-0000-0E00-0000E6000000}"/>
            </a:ext>
          </a:extLst>
        </xdr:cNvPr>
        <xdr:cNvSpPr/>
      </xdr:nvSpPr>
      <xdr:spPr bwMode="auto">
        <a:xfrm>
          <a:off x="0" y="12363450"/>
          <a:ext cx="139700" cy="139700"/>
        </a:xfrm>
        <a:prstGeom prst="rect">
          <a:avLst/>
        </a:prstGeom>
        <a:noFill/>
        <a:ln w="9525">
          <a:miter lim="800000"/>
          <a:headEnd/>
          <a:tailEnd/>
        </a:ln>
      </xdr:spPr>
    </xdr:sp>
    <xdr:clientData/>
  </xdr:twoCellAnchor>
  <xdr:twoCellAnchor editAs="oneCell">
    <xdr:from>
      <xdr:col>2</xdr:col>
      <xdr:colOff>0</xdr:colOff>
      <xdr:row>59</xdr:row>
      <xdr:rowOff>0</xdr:rowOff>
    </xdr:from>
    <xdr:to>
      <xdr:col>2</xdr:col>
      <xdr:colOff>254000</xdr:colOff>
      <xdr:row>60</xdr:row>
      <xdr:rowOff>82550</xdr:rowOff>
    </xdr:to>
    <xdr:sp macro="" textlink="">
      <xdr:nvSpPr>
        <xdr:cNvPr id="231" name="Control 230" hidden="1">
          <a:extLst>
            <a:ext uri="{63B3BB69-23CF-44E3-9099-C40C66FF867C}">
              <a14:compatExt xmlns:a14="http://schemas.microsoft.com/office/drawing/2010/main" spid="_x0000_s1254"/>
            </a:ext>
            <a:ext uri="{FF2B5EF4-FFF2-40B4-BE49-F238E27FC236}">
              <a16:creationId xmlns:a16="http://schemas.microsoft.com/office/drawing/2014/main" id="{00000000-0008-0000-0E00-0000E7000000}"/>
            </a:ext>
          </a:extLst>
        </xdr:cNvPr>
        <xdr:cNvSpPr/>
      </xdr:nvSpPr>
      <xdr:spPr bwMode="auto">
        <a:xfrm>
          <a:off x="3562350" y="12363450"/>
          <a:ext cx="254000" cy="273050"/>
        </a:xfrm>
        <a:prstGeom prst="rect">
          <a:avLst/>
        </a:prstGeom>
        <a:noFill/>
        <a:ln w="9525">
          <a:miter lim="800000"/>
          <a:headEnd/>
          <a:tailEnd/>
        </a:ln>
      </xdr:spPr>
    </xdr:sp>
    <xdr:clientData/>
  </xdr:twoCellAnchor>
  <xdr:twoCellAnchor editAs="oneCell">
    <xdr:from>
      <xdr:col>2</xdr:col>
      <xdr:colOff>0</xdr:colOff>
      <xdr:row>59</xdr:row>
      <xdr:rowOff>0</xdr:rowOff>
    </xdr:from>
    <xdr:to>
      <xdr:col>2</xdr:col>
      <xdr:colOff>152400</xdr:colOff>
      <xdr:row>59</xdr:row>
      <xdr:rowOff>152400</xdr:rowOff>
    </xdr:to>
    <xdr:sp macro="" textlink="">
      <xdr:nvSpPr>
        <xdr:cNvPr id="232" name="Control 231" hidden="1">
          <a:extLst>
            <a:ext uri="{63B3BB69-23CF-44E3-9099-C40C66FF867C}">
              <a14:compatExt xmlns:a14="http://schemas.microsoft.com/office/drawing/2010/main" spid="_x0000_s1255"/>
            </a:ext>
            <a:ext uri="{FF2B5EF4-FFF2-40B4-BE49-F238E27FC236}">
              <a16:creationId xmlns:a16="http://schemas.microsoft.com/office/drawing/2014/main" id="{00000000-0008-0000-0E00-0000E8000000}"/>
            </a:ext>
          </a:extLst>
        </xdr:cNvPr>
        <xdr:cNvSpPr/>
      </xdr:nvSpPr>
      <xdr:spPr bwMode="auto">
        <a:xfrm>
          <a:off x="3562350" y="12363450"/>
          <a:ext cx="152400" cy="152400"/>
        </a:xfrm>
        <a:prstGeom prst="rect">
          <a:avLst/>
        </a:prstGeom>
        <a:noFill/>
        <a:ln w="9525">
          <a:miter lim="800000"/>
          <a:headEnd/>
          <a:tailEnd/>
        </a:ln>
      </xdr:spPr>
    </xdr:sp>
    <xdr:clientData/>
  </xdr:twoCellAnchor>
  <xdr:twoCellAnchor editAs="oneCell">
    <xdr:from>
      <xdr:col>2</xdr:col>
      <xdr:colOff>0</xdr:colOff>
      <xdr:row>59</xdr:row>
      <xdr:rowOff>0</xdr:rowOff>
    </xdr:from>
    <xdr:to>
      <xdr:col>2</xdr:col>
      <xdr:colOff>152400</xdr:colOff>
      <xdr:row>59</xdr:row>
      <xdr:rowOff>152400</xdr:rowOff>
    </xdr:to>
    <xdr:sp macro="" textlink="">
      <xdr:nvSpPr>
        <xdr:cNvPr id="233" name="Control 232" hidden="1">
          <a:extLst>
            <a:ext uri="{63B3BB69-23CF-44E3-9099-C40C66FF867C}">
              <a14:compatExt xmlns:a14="http://schemas.microsoft.com/office/drawing/2010/main" spid="_x0000_s1256"/>
            </a:ext>
            <a:ext uri="{FF2B5EF4-FFF2-40B4-BE49-F238E27FC236}">
              <a16:creationId xmlns:a16="http://schemas.microsoft.com/office/drawing/2014/main" id="{00000000-0008-0000-0E00-0000E9000000}"/>
            </a:ext>
          </a:extLst>
        </xdr:cNvPr>
        <xdr:cNvSpPr/>
      </xdr:nvSpPr>
      <xdr:spPr bwMode="auto">
        <a:xfrm>
          <a:off x="3562350" y="12363450"/>
          <a:ext cx="152400" cy="152400"/>
        </a:xfrm>
        <a:prstGeom prst="rect">
          <a:avLst/>
        </a:prstGeom>
        <a:noFill/>
        <a:ln w="9525">
          <a:miter lim="800000"/>
          <a:headEnd/>
          <a:tailEnd/>
        </a:ln>
      </xdr:spPr>
    </xdr:sp>
    <xdr:clientData/>
  </xdr:twoCellAnchor>
  <xdr:twoCellAnchor editAs="oneCell">
    <xdr:from>
      <xdr:col>0</xdr:col>
      <xdr:colOff>0</xdr:colOff>
      <xdr:row>60</xdr:row>
      <xdr:rowOff>0</xdr:rowOff>
    </xdr:from>
    <xdr:to>
      <xdr:col>0</xdr:col>
      <xdr:colOff>139700</xdr:colOff>
      <xdr:row>60</xdr:row>
      <xdr:rowOff>139700</xdr:rowOff>
    </xdr:to>
    <xdr:sp macro="" textlink="">
      <xdr:nvSpPr>
        <xdr:cNvPr id="234" name="Control 233" hidden="1">
          <a:extLst>
            <a:ext uri="{63B3BB69-23CF-44E3-9099-C40C66FF867C}">
              <a14:compatExt xmlns:a14="http://schemas.microsoft.com/office/drawing/2010/main" spid="_x0000_s1257"/>
            </a:ext>
            <a:ext uri="{FF2B5EF4-FFF2-40B4-BE49-F238E27FC236}">
              <a16:creationId xmlns:a16="http://schemas.microsoft.com/office/drawing/2014/main" id="{00000000-0008-0000-0E00-0000EA000000}"/>
            </a:ext>
          </a:extLst>
        </xdr:cNvPr>
        <xdr:cNvSpPr/>
      </xdr:nvSpPr>
      <xdr:spPr bwMode="auto">
        <a:xfrm>
          <a:off x="0" y="12573000"/>
          <a:ext cx="139700" cy="139700"/>
        </a:xfrm>
        <a:prstGeom prst="rect">
          <a:avLst/>
        </a:prstGeom>
        <a:noFill/>
        <a:ln w="9525">
          <a:miter lim="800000"/>
          <a:headEnd/>
          <a:tailEnd/>
        </a:ln>
      </xdr:spPr>
    </xdr:sp>
    <xdr:clientData/>
  </xdr:twoCellAnchor>
  <xdr:twoCellAnchor editAs="oneCell">
    <xdr:from>
      <xdr:col>2</xdr:col>
      <xdr:colOff>0</xdr:colOff>
      <xdr:row>60</xdr:row>
      <xdr:rowOff>0</xdr:rowOff>
    </xdr:from>
    <xdr:to>
      <xdr:col>2</xdr:col>
      <xdr:colOff>254000</xdr:colOff>
      <xdr:row>61</xdr:row>
      <xdr:rowOff>82550</xdr:rowOff>
    </xdr:to>
    <xdr:sp macro="" textlink="">
      <xdr:nvSpPr>
        <xdr:cNvPr id="235" name="Control 234" hidden="1">
          <a:extLst>
            <a:ext uri="{63B3BB69-23CF-44E3-9099-C40C66FF867C}">
              <a14:compatExt xmlns:a14="http://schemas.microsoft.com/office/drawing/2010/main" spid="_x0000_s1258"/>
            </a:ext>
            <a:ext uri="{FF2B5EF4-FFF2-40B4-BE49-F238E27FC236}">
              <a16:creationId xmlns:a16="http://schemas.microsoft.com/office/drawing/2014/main" id="{00000000-0008-0000-0E00-0000EB000000}"/>
            </a:ext>
          </a:extLst>
        </xdr:cNvPr>
        <xdr:cNvSpPr/>
      </xdr:nvSpPr>
      <xdr:spPr bwMode="auto">
        <a:xfrm>
          <a:off x="3562350" y="12573000"/>
          <a:ext cx="254000" cy="273050"/>
        </a:xfrm>
        <a:prstGeom prst="rect">
          <a:avLst/>
        </a:prstGeom>
        <a:noFill/>
        <a:ln w="9525">
          <a:miter lim="800000"/>
          <a:headEnd/>
          <a:tailEnd/>
        </a:ln>
      </xdr:spPr>
    </xdr:sp>
    <xdr:clientData/>
  </xdr:twoCellAnchor>
  <xdr:twoCellAnchor editAs="oneCell">
    <xdr:from>
      <xdr:col>2</xdr:col>
      <xdr:colOff>0</xdr:colOff>
      <xdr:row>60</xdr:row>
      <xdr:rowOff>0</xdr:rowOff>
    </xdr:from>
    <xdr:to>
      <xdr:col>2</xdr:col>
      <xdr:colOff>152400</xdr:colOff>
      <xdr:row>60</xdr:row>
      <xdr:rowOff>152400</xdr:rowOff>
    </xdr:to>
    <xdr:sp macro="" textlink="">
      <xdr:nvSpPr>
        <xdr:cNvPr id="236" name="Control 235" hidden="1">
          <a:extLst>
            <a:ext uri="{63B3BB69-23CF-44E3-9099-C40C66FF867C}">
              <a14:compatExt xmlns:a14="http://schemas.microsoft.com/office/drawing/2010/main" spid="_x0000_s1259"/>
            </a:ext>
            <a:ext uri="{FF2B5EF4-FFF2-40B4-BE49-F238E27FC236}">
              <a16:creationId xmlns:a16="http://schemas.microsoft.com/office/drawing/2014/main" id="{00000000-0008-0000-0E00-0000EC000000}"/>
            </a:ext>
          </a:extLst>
        </xdr:cNvPr>
        <xdr:cNvSpPr/>
      </xdr:nvSpPr>
      <xdr:spPr bwMode="auto">
        <a:xfrm>
          <a:off x="3562350" y="12573000"/>
          <a:ext cx="152400" cy="152400"/>
        </a:xfrm>
        <a:prstGeom prst="rect">
          <a:avLst/>
        </a:prstGeom>
        <a:noFill/>
        <a:ln w="9525">
          <a:miter lim="800000"/>
          <a:headEnd/>
          <a:tailEnd/>
        </a:ln>
      </xdr:spPr>
    </xdr:sp>
    <xdr:clientData/>
  </xdr:twoCellAnchor>
  <xdr:twoCellAnchor editAs="oneCell">
    <xdr:from>
      <xdr:col>2</xdr:col>
      <xdr:colOff>0</xdr:colOff>
      <xdr:row>60</xdr:row>
      <xdr:rowOff>0</xdr:rowOff>
    </xdr:from>
    <xdr:to>
      <xdr:col>2</xdr:col>
      <xdr:colOff>152400</xdr:colOff>
      <xdr:row>60</xdr:row>
      <xdr:rowOff>152400</xdr:rowOff>
    </xdr:to>
    <xdr:sp macro="" textlink="">
      <xdr:nvSpPr>
        <xdr:cNvPr id="237" name="Control 236" hidden="1">
          <a:extLst>
            <a:ext uri="{63B3BB69-23CF-44E3-9099-C40C66FF867C}">
              <a14:compatExt xmlns:a14="http://schemas.microsoft.com/office/drawing/2010/main" spid="_x0000_s1260"/>
            </a:ext>
            <a:ext uri="{FF2B5EF4-FFF2-40B4-BE49-F238E27FC236}">
              <a16:creationId xmlns:a16="http://schemas.microsoft.com/office/drawing/2014/main" id="{00000000-0008-0000-0E00-0000ED000000}"/>
            </a:ext>
          </a:extLst>
        </xdr:cNvPr>
        <xdr:cNvSpPr/>
      </xdr:nvSpPr>
      <xdr:spPr bwMode="auto">
        <a:xfrm>
          <a:off x="3562350" y="12573000"/>
          <a:ext cx="152400" cy="152400"/>
        </a:xfrm>
        <a:prstGeom prst="rect">
          <a:avLst/>
        </a:prstGeom>
        <a:noFill/>
        <a:ln w="9525">
          <a:miter lim="800000"/>
          <a:headEnd/>
          <a:tailEnd/>
        </a:ln>
      </xdr:spPr>
    </xdr:sp>
    <xdr:clientData/>
  </xdr:twoCellAnchor>
  <xdr:twoCellAnchor editAs="oneCell">
    <xdr:from>
      <xdr:col>2</xdr:col>
      <xdr:colOff>0</xdr:colOff>
      <xdr:row>61</xdr:row>
      <xdr:rowOff>0</xdr:rowOff>
    </xdr:from>
    <xdr:to>
      <xdr:col>2</xdr:col>
      <xdr:colOff>254000</xdr:colOff>
      <xdr:row>62</xdr:row>
      <xdr:rowOff>82550</xdr:rowOff>
    </xdr:to>
    <xdr:sp macro="" textlink="">
      <xdr:nvSpPr>
        <xdr:cNvPr id="238" name="Control 237" hidden="1">
          <a:extLst>
            <a:ext uri="{63B3BB69-23CF-44E3-9099-C40C66FF867C}">
              <a14:compatExt xmlns:a14="http://schemas.microsoft.com/office/drawing/2010/main" spid="_x0000_s1261"/>
            </a:ext>
            <a:ext uri="{FF2B5EF4-FFF2-40B4-BE49-F238E27FC236}">
              <a16:creationId xmlns:a16="http://schemas.microsoft.com/office/drawing/2014/main" id="{00000000-0008-0000-0E00-0000EE000000}"/>
            </a:ext>
          </a:extLst>
        </xdr:cNvPr>
        <xdr:cNvSpPr/>
      </xdr:nvSpPr>
      <xdr:spPr bwMode="auto">
        <a:xfrm>
          <a:off x="3562350" y="12782550"/>
          <a:ext cx="254000" cy="273050"/>
        </a:xfrm>
        <a:prstGeom prst="rect">
          <a:avLst/>
        </a:prstGeom>
        <a:noFill/>
        <a:ln w="9525">
          <a:miter lim="800000"/>
          <a:headEnd/>
          <a:tailEnd/>
        </a:ln>
      </xdr:spPr>
    </xdr:sp>
    <xdr:clientData/>
  </xdr:twoCellAnchor>
  <xdr:twoCellAnchor editAs="oneCell">
    <xdr:from>
      <xdr:col>2</xdr:col>
      <xdr:colOff>0</xdr:colOff>
      <xdr:row>61</xdr:row>
      <xdr:rowOff>0</xdr:rowOff>
    </xdr:from>
    <xdr:to>
      <xdr:col>2</xdr:col>
      <xdr:colOff>152400</xdr:colOff>
      <xdr:row>61</xdr:row>
      <xdr:rowOff>152400</xdr:rowOff>
    </xdr:to>
    <xdr:sp macro="" textlink="">
      <xdr:nvSpPr>
        <xdr:cNvPr id="239" name="Control 238" hidden="1">
          <a:extLst>
            <a:ext uri="{63B3BB69-23CF-44E3-9099-C40C66FF867C}">
              <a14:compatExt xmlns:a14="http://schemas.microsoft.com/office/drawing/2010/main" spid="_x0000_s1262"/>
            </a:ext>
            <a:ext uri="{FF2B5EF4-FFF2-40B4-BE49-F238E27FC236}">
              <a16:creationId xmlns:a16="http://schemas.microsoft.com/office/drawing/2014/main" id="{00000000-0008-0000-0E00-0000EF000000}"/>
            </a:ext>
          </a:extLst>
        </xdr:cNvPr>
        <xdr:cNvSpPr/>
      </xdr:nvSpPr>
      <xdr:spPr bwMode="auto">
        <a:xfrm>
          <a:off x="3562350" y="12782550"/>
          <a:ext cx="152400" cy="152400"/>
        </a:xfrm>
        <a:prstGeom prst="rect">
          <a:avLst/>
        </a:prstGeom>
        <a:noFill/>
        <a:ln w="9525">
          <a:miter lim="800000"/>
          <a:headEnd/>
          <a:tailEnd/>
        </a:ln>
      </xdr:spPr>
    </xdr:sp>
    <xdr:clientData/>
  </xdr:twoCellAnchor>
  <xdr:twoCellAnchor editAs="oneCell">
    <xdr:from>
      <xdr:col>2</xdr:col>
      <xdr:colOff>0</xdr:colOff>
      <xdr:row>61</xdr:row>
      <xdr:rowOff>0</xdr:rowOff>
    </xdr:from>
    <xdr:to>
      <xdr:col>2</xdr:col>
      <xdr:colOff>152400</xdr:colOff>
      <xdr:row>61</xdr:row>
      <xdr:rowOff>152400</xdr:rowOff>
    </xdr:to>
    <xdr:sp macro="" textlink="">
      <xdr:nvSpPr>
        <xdr:cNvPr id="240" name="Control 239" hidden="1">
          <a:extLst>
            <a:ext uri="{63B3BB69-23CF-44E3-9099-C40C66FF867C}">
              <a14:compatExt xmlns:a14="http://schemas.microsoft.com/office/drawing/2010/main" spid="_x0000_s1263"/>
            </a:ext>
            <a:ext uri="{FF2B5EF4-FFF2-40B4-BE49-F238E27FC236}">
              <a16:creationId xmlns:a16="http://schemas.microsoft.com/office/drawing/2014/main" id="{00000000-0008-0000-0E00-0000F0000000}"/>
            </a:ext>
          </a:extLst>
        </xdr:cNvPr>
        <xdr:cNvSpPr/>
      </xdr:nvSpPr>
      <xdr:spPr bwMode="auto">
        <a:xfrm>
          <a:off x="3562350" y="12782550"/>
          <a:ext cx="152400" cy="152400"/>
        </a:xfrm>
        <a:prstGeom prst="rect">
          <a:avLst/>
        </a:prstGeom>
        <a:noFill/>
        <a:ln w="9525">
          <a:miter lim="800000"/>
          <a:headEnd/>
          <a:tailEnd/>
        </a:ln>
      </xdr:spPr>
    </xdr:sp>
    <xdr:clientData/>
  </xdr:twoCellAnchor>
  <xdr:twoCellAnchor editAs="oneCell">
    <xdr:from>
      <xdr:col>0</xdr:col>
      <xdr:colOff>0</xdr:colOff>
      <xdr:row>62</xdr:row>
      <xdr:rowOff>0</xdr:rowOff>
    </xdr:from>
    <xdr:to>
      <xdr:col>0</xdr:col>
      <xdr:colOff>139700</xdr:colOff>
      <xdr:row>62</xdr:row>
      <xdr:rowOff>139700</xdr:rowOff>
    </xdr:to>
    <xdr:sp macro="" textlink="">
      <xdr:nvSpPr>
        <xdr:cNvPr id="241" name="Control 240" hidden="1">
          <a:extLst>
            <a:ext uri="{63B3BB69-23CF-44E3-9099-C40C66FF867C}">
              <a14:compatExt xmlns:a14="http://schemas.microsoft.com/office/drawing/2010/main" spid="_x0000_s1264"/>
            </a:ext>
            <a:ext uri="{FF2B5EF4-FFF2-40B4-BE49-F238E27FC236}">
              <a16:creationId xmlns:a16="http://schemas.microsoft.com/office/drawing/2014/main" id="{00000000-0008-0000-0E00-0000F1000000}"/>
            </a:ext>
          </a:extLst>
        </xdr:cNvPr>
        <xdr:cNvSpPr/>
      </xdr:nvSpPr>
      <xdr:spPr bwMode="auto">
        <a:xfrm>
          <a:off x="0" y="12992100"/>
          <a:ext cx="139700" cy="139700"/>
        </a:xfrm>
        <a:prstGeom prst="rect">
          <a:avLst/>
        </a:prstGeom>
        <a:noFill/>
        <a:ln w="9525">
          <a:miter lim="800000"/>
          <a:headEnd/>
          <a:tailEnd/>
        </a:ln>
      </xdr:spPr>
    </xdr:sp>
    <xdr:clientData/>
  </xdr:twoCellAnchor>
  <xdr:twoCellAnchor editAs="oneCell">
    <xdr:from>
      <xdr:col>2</xdr:col>
      <xdr:colOff>0</xdr:colOff>
      <xdr:row>62</xdr:row>
      <xdr:rowOff>0</xdr:rowOff>
    </xdr:from>
    <xdr:to>
      <xdr:col>2</xdr:col>
      <xdr:colOff>254000</xdr:colOff>
      <xdr:row>63</xdr:row>
      <xdr:rowOff>82550</xdr:rowOff>
    </xdr:to>
    <xdr:sp macro="" textlink="">
      <xdr:nvSpPr>
        <xdr:cNvPr id="242" name="Control 241" hidden="1">
          <a:extLst>
            <a:ext uri="{63B3BB69-23CF-44E3-9099-C40C66FF867C}">
              <a14:compatExt xmlns:a14="http://schemas.microsoft.com/office/drawing/2010/main" spid="_x0000_s1265"/>
            </a:ext>
            <a:ext uri="{FF2B5EF4-FFF2-40B4-BE49-F238E27FC236}">
              <a16:creationId xmlns:a16="http://schemas.microsoft.com/office/drawing/2014/main" id="{00000000-0008-0000-0E00-0000F2000000}"/>
            </a:ext>
          </a:extLst>
        </xdr:cNvPr>
        <xdr:cNvSpPr/>
      </xdr:nvSpPr>
      <xdr:spPr bwMode="auto">
        <a:xfrm>
          <a:off x="3562350" y="12992100"/>
          <a:ext cx="254000" cy="273050"/>
        </a:xfrm>
        <a:prstGeom prst="rect">
          <a:avLst/>
        </a:prstGeom>
        <a:noFill/>
        <a:ln w="9525">
          <a:miter lim="800000"/>
          <a:headEnd/>
          <a:tailEnd/>
        </a:ln>
      </xdr:spPr>
    </xdr:sp>
    <xdr:clientData/>
  </xdr:twoCellAnchor>
  <xdr:twoCellAnchor editAs="oneCell">
    <xdr:from>
      <xdr:col>2</xdr:col>
      <xdr:colOff>0</xdr:colOff>
      <xdr:row>62</xdr:row>
      <xdr:rowOff>0</xdr:rowOff>
    </xdr:from>
    <xdr:to>
      <xdr:col>2</xdr:col>
      <xdr:colOff>152400</xdr:colOff>
      <xdr:row>62</xdr:row>
      <xdr:rowOff>152400</xdr:rowOff>
    </xdr:to>
    <xdr:sp macro="" textlink="">
      <xdr:nvSpPr>
        <xdr:cNvPr id="243" name="Control 242" hidden="1">
          <a:extLst>
            <a:ext uri="{63B3BB69-23CF-44E3-9099-C40C66FF867C}">
              <a14:compatExt xmlns:a14="http://schemas.microsoft.com/office/drawing/2010/main" spid="_x0000_s1266"/>
            </a:ext>
            <a:ext uri="{FF2B5EF4-FFF2-40B4-BE49-F238E27FC236}">
              <a16:creationId xmlns:a16="http://schemas.microsoft.com/office/drawing/2014/main" id="{00000000-0008-0000-0E00-0000F3000000}"/>
            </a:ext>
          </a:extLst>
        </xdr:cNvPr>
        <xdr:cNvSpPr/>
      </xdr:nvSpPr>
      <xdr:spPr bwMode="auto">
        <a:xfrm>
          <a:off x="3562350" y="12992100"/>
          <a:ext cx="152400" cy="152400"/>
        </a:xfrm>
        <a:prstGeom prst="rect">
          <a:avLst/>
        </a:prstGeom>
        <a:noFill/>
        <a:ln w="9525">
          <a:miter lim="800000"/>
          <a:headEnd/>
          <a:tailEnd/>
        </a:ln>
      </xdr:spPr>
    </xdr:sp>
    <xdr:clientData/>
  </xdr:twoCellAnchor>
  <xdr:twoCellAnchor editAs="oneCell">
    <xdr:from>
      <xdr:col>2</xdr:col>
      <xdr:colOff>0</xdr:colOff>
      <xdr:row>62</xdr:row>
      <xdr:rowOff>0</xdr:rowOff>
    </xdr:from>
    <xdr:to>
      <xdr:col>2</xdr:col>
      <xdr:colOff>152400</xdr:colOff>
      <xdr:row>62</xdr:row>
      <xdr:rowOff>152400</xdr:rowOff>
    </xdr:to>
    <xdr:sp macro="" textlink="">
      <xdr:nvSpPr>
        <xdr:cNvPr id="244" name="Control 243" hidden="1">
          <a:extLst>
            <a:ext uri="{63B3BB69-23CF-44E3-9099-C40C66FF867C}">
              <a14:compatExt xmlns:a14="http://schemas.microsoft.com/office/drawing/2010/main" spid="_x0000_s1267"/>
            </a:ext>
            <a:ext uri="{FF2B5EF4-FFF2-40B4-BE49-F238E27FC236}">
              <a16:creationId xmlns:a16="http://schemas.microsoft.com/office/drawing/2014/main" id="{00000000-0008-0000-0E00-0000F4000000}"/>
            </a:ext>
          </a:extLst>
        </xdr:cNvPr>
        <xdr:cNvSpPr/>
      </xdr:nvSpPr>
      <xdr:spPr bwMode="auto">
        <a:xfrm>
          <a:off x="3562350" y="12992100"/>
          <a:ext cx="152400" cy="152400"/>
        </a:xfrm>
        <a:prstGeom prst="rect">
          <a:avLst/>
        </a:prstGeom>
        <a:noFill/>
        <a:ln w="9525">
          <a:miter lim="800000"/>
          <a:headEnd/>
          <a:tailEnd/>
        </a:ln>
      </xdr:spPr>
    </xdr:sp>
    <xdr:clientData/>
  </xdr:twoCellAnchor>
  <xdr:twoCellAnchor editAs="oneCell">
    <xdr:from>
      <xdr:col>0</xdr:col>
      <xdr:colOff>0</xdr:colOff>
      <xdr:row>63</xdr:row>
      <xdr:rowOff>0</xdr:rowOff>
    </xdr:from>
    <xdr:to>
      <xdr:col>0</xdr:col>
      <xdr:colOff>139700</xdr:colOff>
      <xdr:row>63</xdr:row>
      <xdr:rowOff>139700</xdr:rowOff>
    </xdr:to>
    <xdr:sp macro="" textlink="">
      <xdr:nvSpPr>
        <xdr:cNvPr id="245" name="Control 244" hidden="1">
          <a:extLst>
            <a:ext uri="{63B3BB69-23CF-44E3-9099-C40C66FF867C}">
              <a14:compatExt xmlns:a14="http://schemas.microsoft.com/office/drawing/2010/main" spid="_x0000_s1268"/>
            </a:ext>
            <a:ext uri="{FF2B5EF4-FFF2-40B4-BE49-F238E27FC236}">
              <a16:creationId xmlns:a16="http://schemas.microsoft.com/office/drawing/2014/main" id="{00000000-0008-0000-0E00-0000F5000000}"/>
            </a:ext>
          </a:extLst>
        </xdr:cNvPr>
        <xdr:cNvSpPr/>
      </xdr:nvSpPr>
      <xdr:spPr bwMode="auto">
        <a:xfrm>
          <a:off x="0" y="13201650"/>
          <a:ext cx="139700" cy="139700"/>
        </a:xfrm>
        <a:prstGeom prst="rect">
          <a:avLst/>
        </a:prstGeom>
        <a:noFill/>
        <a:ln w="9525">
          <a:miter lim="800000"/>
          <a:headEnd/>
          <a:tailEnd/>
        </a:ln>
      </xdr:spPr>
    </xdr:sp>
    <xdr:clientData/>
  </xdr:twoCellAnchor>
  <xdr:twoCellAnchor editAs="oneCell">
    <xdr:from>
      <xdr:col>2</xdr:col>
      <xdr:colOff>0</xdr:colOff>
      <xdr:row>63</xdr:row>
      <xdr:rowOff>0</xdr:rowOff>
    </xdr:from>
    <xdr:to>
      <xdr:col>2</xdr:col>
      <xdr:colOff>254000</xdr:colOff>
      <xdr:row>64</xdr:row>
      <xdr:rowOff>82550</xdr:rowOff>
    </xdr:to>
    <xdr:sp macro="" textlink="">
      <xdr:nvSpPr>
        <xdr:cNvPr id="246" name="Control 245" hidden="1">
          <a:extLst>
            <a:ext uri="{63B3BB69-23CF-44E3-9099-C40C66FF867C}">
              <a14:compatExt xmlns:a14="http://schemas.microsoft.com/office/drawing/2010/main" spid="_x0000_s1269"/>
            </a:ext>
            <a:ext uri="{FF2B5EF4-FFF2-40B4-BE49-F238E27FC236}">
              <a16:creationId xmlns:a16="http://schemas.microsoft.com/office/drawing/2014/main" id="{00000000-0008-0000-0E00-0000F6000000}"/>
            </a:ext>
          </a:extLst>
        </xdr:cNvPr>
        <xdr:cNvSpPr/>
      </xdr:nvSpPr>
      <xdr:spPr bwMode="auto">
        <a:xfrm>
          <a:off x="3562350" y="13201650"/>
          <a:ext cx="254000" cy="273050"/>
        </a:xfrm>
        <a:prstGeom prst="rect">
          <a:avLst/>
        </a:prstGeom>
        <a:noFill/>
        <a:ln w="9525">
          <a:miter lim="800000"/>
          <a:headEnd/>
          <a:tailEnd/>
        </a:ln>
      </xdr:spPr>
    </xdr:sp>
    <xdr:clientData/>
  </xdr:twoCellAnchor>
  <xdr:twoCellAnchor editAs="oneCell">
    <xdr:from>
      <xdr:col>2</xdr:col>
      <xdr:colOff>0</xdr:colOff>
      <xdr:row>63</xdr:row>
      <xdr:rowOff>0</xdr:rowOff>
    </xdr:from>
    <xdr:to>
      <xdr:col>2</xdr:col>
      <xdr:colOff>152400</xdr:colOff>
      <xdr:row>63</xdr:row>
      <xdr:rowOff>152400</xdr:rowOff>
    </xdr:to>
    <xdr:sp macro="" textlink="">
      <xdr:nvSpPr>
        <xdr:cNvPr id="247" name="Control 246" hidden="1">
          <a:extLst>
            <a:ext uri="{63B3BB69-23CF-44E3-9099-C40C66FF867C}">
              <a14:compatExt xmlns:a14="http://schemas.microsoft.com/office/drawing/2010/main" spid="_x0000_s1270"/>
            </a:ext>
            <a:ext uri="{FF2B5EF4-FFF2-40B4-BE49-F238E27FC236}">
              <a16:creationId xmlns:a16="http://schemas.microsoft.com/office/drawing/2014/main" id="{00000000-0008-0000-0E00-0000F7000000}"/>
            </a:ext>
          </a:extLst>
        </xdr:cNvPr>
        <xdr:cNvSpPr/>
      </xdr:nvSpPr>
      <xdr:spPr bwMode="auto">
        <a:xfrm>
          <a:off x="3562350" y="13201650"/>
          <a:ext cx="152400" cy="152400"/>
        </a:xfrm>
        <a:prstGeom prst="rect">
          <a:avLst/>
        </a:prstGeom>
        <a:noFill/>
        <a:ln w="9525">
          <a:miter lim="800000"/>
          <a:headEnd/>
          <a:tailEnd/>
        </a:ln>
      </xdr:spPr>
    </xdr:sp>
    <xdr:clientData/>
  </xdr:twoCellAnchor>
  <xdr:twoCellAnchor editAs="oneCell">
    <xdr:from>
      <xdr:col>2</xdr:col>
      <xdr:colOff>0</xdr:colOff>
      <xdr:row>63</xdr:row>
      <xdr:rowOff>0</xdr:rowOff>
    </xdr:from>
    <xdr:to>
      <xdr:col>2</xdr:col>
      <xdr:colOff>152400</xdr:colOff>
      <xdr:row>63</xdr:row>
      <xdr:rowOff>152400</xdr:rowOff>
    </xdr:to>
    <xdr:sp macro="" textlink="">
      <xdr:nvSpPr>
        <xdr:cNvPr id="248" name="Control 247" hidden="1">
          <a:extLst>
            <a:ext uri="{63B3BB69-23CF-44E3-9099-C40C66FF867C}">
              <a14:compatExt xmlns:a14="http://schemas.microsoft.com/office/drawing/2010/main" spid="_x0000_s1271"/>
            </a:ext>
            <a:ext uri="{FF2B5EF4-FFF2-40B4-BE49-F238E27FC236}">
              <a16:creationId xmlns:a16="http://schemas.microsoft.com/office/drawing/2014/main" id="{00000000-0008-0000-0E00-0000F8000000}"/>
            </a:ext>
          </a:extLst>
        </xdr:cNvPr>
        <xdr:cNvSpPr/>
      </xdr:nvSpPr>
      <xdr:spPr bwMode="auto">
        <a:xfrm>
          <a:off x="3562350" y="13201650"/>
          <a:ext cx="152400" cy="152400"/>
        </a:xfrm>
        <a:prstGeom prst="rect">
          <a:avLst/>
        </a:prstGeom>
        <a:noFill/>
        <a:ln w="9525">
          <a:miter lim="800000"/>
          <a:headEnd/>
          <a:tailEnd/>
        </a:ln>
      </xdr:spPr>
    </xdr:sp>
    <xdr:clientData/>
  </xdr:twoCellAnchor>
  <xdr:twoCellAnchor editAs="oneCell">
    <xdr:from>
      <xdr:col>0</xdr:col>
      <xdr:colOff>0</xdr:colOff>
      <xdr:row>64</xdr:row>
      <xdr:rowOff>0</xdr:rowOff>
    </xdr:from>
    <xdr:to>
      <xdr:col>0</xdr:col>
      <xdr:colOff>139700</xdr:colOff>
      <xdr:row>64</xdr:row>
      <xdr:rowOff>139700</xdr:rowOff>
    </xdr:to>
    <xdr:sp macro="" textlink="">
      <xdr:nvSpPr>
        <xdr:cNvPr id="249" name="Control 248" hidden="1">
          <a:extLst>
            <a:ext uri="{63B3BB69-23CF-44E3-9099-C40C66FF867C}">
              <a14:compatExt xmlns:a14="http://schemas.microsoft.com/office/drawing/2010/main" spid="_x0000_s1272"/>
            </a:ext>
            <a:ext uri="{FF2B5EF4-FFF2-40B4-BE49-F238E27FC236}">
              <a16:creationId xmlns:a16="http://schemas.microsoft.com/office/drawing/2014/main" id="{00000000-0008-0000-0E00-0000F9000000}"/>
            </a:ext>
          </a:extLst>
        </xdr:cNvPr>
        <xdr:cNvSpPr/>
      </xdr:nvSpPr>
      <xdr:spPr bwMode="auto">
        <a:xfrm>
          <a:off x="0" y="13411200"/>
          <a:ext cx="139700" cy="139700"/>
        </a:xfrm>
        <a:prstGeom prst="rect">
          <a:avLst/>
        </a:prstGeom>
        <a:noFill/>
        <a:ln w="9525">
          <a:miter lim="800000"/>
          <a:headEnd/>
          <a:tailEnd/>
        </a:ln>
      </xdr:spPr>
    </xdr:sp>
    <xdr:clientData/>
  </xdr:twoCellAnchor>
  <xdr:twoCellAnchor editAs="oneCell">
    <xdr:from>
      <xdr:col>2</xdr:col>
      <xdr:colOff>0</xdr:colOff>
      <xdr:row>64</xdr:row>
      <xdr:rowOff>0</xdr:rowOff>
    </xdr:from>
    <xdr:to>
      <xdr:col>2</xdr:col>
      <xdr:colOff>254000</xdr:colOff>
      <xdr:row>65</xdr:row>
      <xdr:rowOff>82550</xdr:rowOff>
    </xdr:to>
    <xdr:sp macro="" textlink="">
      <xdr:nvSpPr>
        <xdr:cNvPr id="250" name="Control 249" hidden="1">
          <a:extLst>
            <a:ext uri="{63B3BB69-23CF-44E3-9099-C40C66FF867C}">
              <a14:compatExt xmlns:a14="http://schemas.microsoft.com/office/drawing/2010/main" spid="_x0000_s1273"/>
            </a:ext>
            <a:ext uri="{FF2B5EF4-FFF2-40B4-BE49-F238E27FC236}">
              <a16:creationId xmlns:a16="http://schemas.microsoft.com/office/drawing/2014/main" id="{00000000-0008-0000-0E00-0000FA000000}"/>
            </a:ext>
          </a:extLst>
        </xdr:cNvPr>
        <xdr:cNvSpPr/>
      </xdr:nvSpPr>
      <xdr:spPr bwMode="auto">
        <a:xfrm>
          <a:off x="3562350" y="13411200"/>
          <a:ext cx="254000" cy="273050"/>
        </a:xfrm>
        <a:prstGeom prst="rect">
          <a:avLst/>
        </a:prstGeom>
        <a:noFill/>
        <a:ln w="9525">
          <a:miter lim="800000"/>
          <a:headEnd/>
          <a:tailEnd/>
        </a:ln>
      </xdr:spPr>
    </xdr:sp>
    <xdr:clientData/>
  </xdr:twoCellAnchor>
  <xdr:twoCellAnchor editAs="oneCell">
    <xdr:from>
      <xdr:col>2</xdr:col>
      <xdr:colOff>0</xdr:colOff>
      <xdr:row>64</xdr:row>
      <xdr:rowOff>0</xdr:rowOff>
    </xdr:from>
    <xdr:to>
      <xdr:col>2</xdr:col>
      <xdr:colOff>152400</xdr:colOff>
      <xdr:row>64</xdr:row>
      <xdr:rowOff>152400</xdr:rowOff>
    </xdr:to>
    <xdr:sp macro="" textlink="">
      <xdr:nvSpPr>
        <xdr:cNvPr id="251" name="Control 250" hidden="1">
          <a:extLst>
            <a:ext uri="{63B3BB69-23CF-44E3-9099-C40C66FF867C}">
              <a14:compatExt xmlns:a14="http://schemas.microsoft.com/office/drawing/2010/main" spid="_x0000_s1274"/>
            </a:ext>
            <a:ext uri="{FF2B5EF4-FFF2-40B4-BE49-F238E27FC236}">
              <a16:creationId xmlns:a16="http://schemas.microsoft.com/office/drawing/2014/main" id="{00000000-0008-0000-0E00-0000FB000000}"/>
            </a:ext>
          </a:extLst>
        </xdr:cNvPr>
        <xdr:cNvSpPr/>
      </xdr:nvSpPr>
      <xdr:spPr bwMode="auto">
        <a:xfrm>
          <a:off x="3562350" y="13411200"/>
          <a:ext cx="152400" cy="152400"/>
        </a:xfrm>
        <a:prstGeom prst="rect">
          <a:avLst/>
        </a:prstGeom>
        <a:noFill/>
        <a:ln w="9525">
          <a:miter lim="800000"/>
          <a:headEnd/>
          <a:tailEnd/>
        </a:ln>
      </xdr:spPr>
    </xdr:sp>
    <xdr:clientData/>
  </xdr:twoCellAnchor>
  <xdr:twoCellAnchor editAs="oneCell">
    <xdr:from>
      <xdr:col>2</xdr:col>
      <xdr:colOff>0</xdr:colOff>
      <xdr:row>64</xdr:row>
      <xdr:rowOff>0</xdr:rowOff>
    </xdr:from>
    <xdr:to>
      <xdr:col>2</xdr:col>
      <xdr:colOff>152400</xdr:colOff>
      <xdr:row>64</xdr:row>
      <xdr:rowOff>152400</xdr:rowOff>
    </xdr:to>
    <xdr:sp macro="" textlink="">
      <xdr:nvSpPr>
        <xdr:cNvPr id="252" name="Control 251" hidden="1">
          <a:extLst>
            <a:ext uri="{63B3BB69-23CF-44E3-9099-C40C66FF867C}">
              <a14:compatExt xmlns:a14="http://schemas.microsoft.com/office/drawing/2010/main" spid="_x0000_s1275"/>
            </a:ext>
            <a:ext uri="{FF2B5EF4-FFF2-40B4-BE49-F238E27FC236}">
              <a16:creationId xmlns:a16="http://schemas.microsoft.com/office/drawing/2014/main" id="{00000000-0008-0000-0E00-0000FC000000}"/>
            </a:ext>
          </a:extLst>
        </xdr:cNvPr>
        <xdr:cNvSpPr/>
      </xdr:nvSpPr>
      <xdr:spPr bwMode="auto">
        <a:xfrm>
          <a:off x="3562350" y="13411200"/>
          <a:ext cx="152400" cy="152400"/>
        </a:xfrm>
        <a:prstGeom prst="rect">
          <a:avLst/>
        </a:prstGeom>
        <a:noFill/>
        <a:ln w="9525">
          <a:miter lim="800000"/>
          <a:headEnd/>
          <a:tailEnd/>
        </a:ln>
      </xdr:spPr>
    </xdr:sp>
    <xdr:clientData/>
  </xdr:twoCellAnchor>
  <xdr:twoCellAnchor editAs="oneCell">
    <xdr:from>
      <xdr:col>0</xdr:col>
      <xdr:colOff>0</xdr:colOff>
      <xdr:row>65</xdr:row>
      <xdr:rowOff>0</xdr:rowOff>
    </xdr:from>
    <xdr:to>
      <xdr:col>0</xdr:col>
      <xdr:colOff>139700</xdr:colOff>
      <xdr:row>65</xdr:row>
      <xdr:rowOff>139700</xdr:rowOff>
    </xdr:to>
    <xdr:sp macro="" textlink="">
      <xdr:nvSpPr>
        <xdr:cNvPr id="253" name="Control 252" hidden="1">
          <a:extLst>
            <a:ext uri="{63B3BB69-23CF-44E3-9099-C40C66FF867C}">
              <a14:compatExt xmlns:a14="http://schemas.microsoft.com/office/drawing/2010/main" spid="_x0000_s1276"/>
            </a:ext>
            <a:ext uri="{FF2B5EF4-FFF2-40B4-BE49-F238E27FC236}">
              <a16:creationId xmlns:a16="http://schemas.microsoft.com/office/drawing/2014/main" id="{00000000-0008-0000-0E00-0000FD000000}"/>
            </a:ext>
          </a:extLst>
        </xdr:cNvPr>
        <xdr:cNvSpPr/>
      </xdr:nvSpPr>
      <xdr:spPr bwMode="auto">
        <a:xfrm>
          <a:off x="0" y="13620750"/>
          <a:ext cx="139700" cy="139700"/>
        </a:xfrm>
        <a:prstGeom prst="rect">
          <a:avLst/>
        </a:prstGeom>
        <a:noFill/>
        <a:ln w="9525">
          <a:miter lim="800000"/>
          <a:headEnd/>
          <a:tailEnd/>
        </a:ln>
      </xdr:spPr>
    </xdr:sp>
    <xdr:clientData/>
  </xdr:twoCellAnchor>
  <xdr:twoCellAnchor editAs="oneCell">
    <xdr:from>
      <xdr:col>2</xdr:col>
      <xdr:colOff>0</xdr:colOff>
      <xdr:row>65</xdr:row>
      <xdr:rowOff>0</xdr:rowOff>
    </xdr:from>
    <xdr:to>
      <xdr:col>2</xdr:col>
      <xdr:colOff>254000</xdr:colOff>
      <xdr:row>66</xdr:row>
      <xdr:rowOff>82550</xdr:rowOff>
    </xdr:to>
    <xdr:sp macro="" textlink="">
      <xdr:nvSpPr>
        <xdr:cNvPr id="254" name="Control 253" hidden="1">
          <a:extLst>
            <a:ext uri="{63B3BB69-23CF-44E3-9099-C40C66FF867C}">
              <a14:compatExt xmlns:a14="http://schemas.microsoft.com/office/drawing/2010/main" spid="_x0000_s1277"/>
            </a:ext>
            <a:ext uri="{FF2B5EF4-FFF2-40B4-BE49-F238E27FC236}">
              <a16:creationId xmlns:a16="http://schemas.microsoft.com/office/drawing/2014/main" id="{00000000-0008-0000-0E00-0000FE000000}"/>
            </a:ext>
          </a:extLst>
        </xdr:cNvPr>
        <xdr:cNvSpPr/>
      </xdr:nvSpPr>
      <xdr:spPr bwMode="auto">
        <a:xfrm>
          <a:off x="3562350" y="13620750"/>
          <a:ext cx="254000" cy="273050"/>
        </a:xfrm>
        <a:prstGeom prst="rect">
          <a:avLst/>
        </a:prstGeom>
        <a:noFill/>
        <a:ln w="9525">
          <a:miter lim="800000"/>
          <a:headEnd/>
          <a:tailEnd/>
        </a:ln>
      </xdr:spPr>
    </xdr:sp>
    <xdr:clientData/>
  </xdr:twoCellAnchor>
  <xdr:twoCellAnchor editAs="oneCell">
    <xdr:from>
      <xdr:col>2</xdr:col>
      <xdr:colOff>0</xdr:colOff>
      <xdr:row>65</xdr:row>
      <xdr:rowOff>0</xdr:rowOff>
    </xdr:from>
    <xdr:to>
      <xdr:col>2</xdr:col>
      <xdr:colOff>152400</xdr:colOff>
      <xdr:row>65</xdr:row>
      <xdr:rowOff>152400</xdr:rowOff>
    </xdr:to>
    <xdr:sp macro="" textlink="">
      <xdr:nvSpPr>
        <xdr:cNvPr id="255" name="Control 254" hidden="1">
          <a:extLst>
            <a:ext uri="{63B3BB69-23CF-44E3-9099-C40C66FF867C}">
              <a14:compatExt xmlns:a14="http://schemas.microsoft.com/office/drawing/2010/main" spid="_x0000_s1278"/>
            </a:ext>
            <a:ext uri="{FF2B5EF4-FFF2-40B4-BE49-F238E27FC236}">
              <a16:creationId xmlns:a16="http://schemas.microsoft.com/office/drawing/2014/main" id="{00000000-0008-0000-0E00-0000FF000000}"/>
            </a:ext>
          </a:extLst>
        </xdr:cNvPr>
        <xdr:cNvSpPr/>
      </xdr:nvSpPr>
      <xdr:spPr bwMode="auto">
        <a:xfrm>
          <a:off x="3562350" y="13620750"/>
          <a:ext cx="152400" cy="152400"/>
        </a:xfrm>
        <a:prstGeom prst="rect">
          <a:avLst/>
        </a:prstGeom>
        <a:noFill/>
        <a:ln w="9525">
          <a:miter lim="800000"/>
          <a:headEnd/>
          <a:tailEnd/>
        </a:ln>
      </xdr:spPr>
    </xdr:sp>
    <xdr:clientData/>
  </xdr:twoCellAnchor>
  <xdr:twoCellAnchor editAs="oneCell">
    <xdr:from>
      <xdr:col>2</xdr:col>
      <xdr:colOff>0</xdr:colOff>
      <xdr:row>65</xdr:row>
      <xdr:rowOff>0</xdr:rowOff>
    </xdr:from>
    <xdr:to>
      <xdr:col>2</xdr:col>
      <xdr:colOff>152400</xdr:colOff>
      <xdr:row>65</xdr:row>
      <xdr:rowOff>152400</xdr:rowOff>
    </xdr:to>
    <xdr:sp macro="" textlink="">
      <xdr:nvSpPr>
        <xdr:cNvPr id="256" name="Control 255" hidden="1">
          <a:extLst>
            <a:ext uri="{63B3BB69-23CF-44E3-9099-C40C66FF867C}">
              <a14:compatExt xmlns:a14="http://schemas.microsoft.com/office/drawing/2010/main" spid="_x0000_s1279"/>
            </a:ext>
            <a:ext uri="{FF2B5EF4-FFF2-40B4-BE49-F238E27FC236}">
              <a16:creationId xmlns:a16="http://schemas.microsoft.com/office/drawing/2014/main" id="{00000000-0008-0000-0E00-000000010000}"/>
            </a:ext>
          </a:extLst>
        </xdr:cNvPr>
        <xdr:cNvSpPr/>
      </xdr:nvSpPr>
      <xdr:spPr bwMode="auto">
        <a:xfrm>
          <a:off x="3562350" y="13620750"/>
          <a:ext cx="152400" cy="152400"/>
        </a:xfrm>
        <a:prstGeom prst="rect">
          <a:avLst/>
        </a:prstGeom>
        <a:noFill/>
        <a:ln w="9525">
          <a:miter lim="800000"/>
          <a:headEnd/>
          <a:tailEnd/>
        </a:ln>
      </xdr:spPr>
    </xdr:sp>
    <xdr:clientData/>
  </xdr:twoCellAnchor>
  <xdr:twoCellAnchor editAs="oneCell">
    <xdr:from>
      <xdr:col>0</xdr:col>
      <xdr:colOff>0</xdr:colOff>
      <xdr:row>66</xdr:row>
      <xdr:rowOff>0</xdr:rowOff>
    </xdr:from>
    <xdr:to>
      <xdr:col>0</xdr:col>
      <xdr:colOff>139700</xdr:colOff>
      <xdr:row>66</xdr:row>
      <xdr:rowOff>139700</xdr:rowOff>
    </xdr:to>
    <xdr:sp macro="" textlink="">
      <xdr:nvSpPr>
        <xdr:cNvPr id="257" name="Control 256" hidden="1">
          <a:extLst>
            <a:ext uri="{63B3BB69-23CF-44E3-9099-C40C66FF867C}">
              <a14:compatExt xmlns:a14="http://schemas.microsoft.com/office/drawing/2010/main" spid="_x0000_s1280"/>
            </a:ext>
            <a:ext uri="{FF2B5EF4-FFF2-40B4-BE49-F238E27FC236}">
              <a16:creationId xmlns:a16="http://schemas.microsoft.com/office/drawing/2014/main" id="{00000000-0008-0000-0E00-000001010000}"/>
            </a:ext>
          </a:extLst>
        </xdr:cNvPr>
        <xdr:cNvSpPr/>
      </xdr:nvSpPr>
      <xdr:spPr bwMode="auto">
        <a:xfrm>
          <a:off x="0" y="13830300"/>
          <a:ext cx="139700" cy="139700"/>
        </a:xfrm>
        <a:prstGeom prst="rect">
          <a:avLst/>
        </a:prstGeom>
        <a:noFill/>
        <a:ln w="9525">
          <a:miter lim="800000"/>
          <a:headEnd/>
          <a:tailEnd/>
        </a:ln>
      </xdr:spPr>
    </xdr:sp>
    <xdr:clientData/>
  </xdr:twoCellAnchor>
  <xdr:twoCellAnchor editAs="oneCell">
    <xdr:from>
      <xdr:col>2</xdr:col>
      <xdr:colOff>0</xdr:colOff>
      <xdr:row>66</xdr:row>
      <xdr:rowOff>0</xdr:rowOff>
    </xdr:from>
    <xdr:to>
      <xdr:col>2</xdr:col>
      <xdr:colOff>254000</xdr:colOff>
      <xdr:row>67</xdr:row>
      <xdr:rowOff>82550</xdr:rowOff>
    </xdr:to>
    <xdr:sp macro="" textlink="">
      <xdr:nvSpPr>
        <xdr:cNvPr id="258" name="Control 257" hidden="1">
          <a:extLst>
            <a:ext uri="{63B3BB69-23CF-44E3-9099-C40C66FF867C}">
              <a14:compatExt xmlns:a14="http://schemas.microsoft.com/office/drawing/2010/main" spid="_x0000_s1281"/>
            </a:ext>
            <a:ext uri="{FF2B5EF4-FFF2-40B4-BE49-F238E27FC236}">
              <a16:creationId xmlns:a16="http://schemas.microsoft.com/office/drawing/2014/main" id="{00000000-0008-0000-0E00-000002010000}"/>
            </a:ext>
          </a:extLst>
        </xdr:cNvPr>
        <xdr:cNvSpPr/>
      </xdr:nvSpPr>
      <xdr:spPr bwMode="auto">
        <a:xfrm>
          <a:off x="3562350" y="13830300"/>
          <a:ext cx="254000" cy="273050"/>
        </a:xfrm>
        <a:prstGeom prst="rect">
          <a:avLst/>
        </a:prstGeom>
        <a:noFill/>
        <a:ln w="9525">
          <a:miter lim="800000"/>
          <a:headEnd/>
          <a:tailEnd/>
        </a:ln>
      </xdr:spPr>
    </xdr:sp>
    <xdr:clientData/>
  </xdr:twoCellAnchor>
  <xdr:twoCellAnchor editAs="oneCell">
    <xdr:from>
      <xdr:col>2</xdr:col>
      <xdr:colOff>0</xdr:colOff>
      <xdr:row>66</xdr:row>
      <xdr:rowOff>0</xdr:rowOff>
    </xdr:from>
    <xdr:to>
      <xdr:col>2</xdr:col>
      <xdr:colOff>152400</xdr:colOff>
      <xdr:row>66</xdr:row>
      <xdr:rowOff>152400</xdr:rowOff>
    </xdr:to>
    <xdr:sp macro="" textlink="">
      <xdr:nvSpPr>
        <xdr:cNvPr id="259" name="Control 258" hidden="1">
          <a:extLst>
            <a:ext uri="{63B3BB69-23CF-44E3-9099-C40C66FF867C}">
              <a14:compatExt xmlns:a14="http://schemas.microsoft.com/office/drawing/2010/main" spid="_x0000_s1282"/>
            </a:ext>
            <a:ext uri="{FF2B5EF4-FFF2-40B4-BE49-F238E27FC236}">
              <a16:creationId xmlns:a16="http://schemas.microsoft.com/office/drawing/2014/main" id="{00000000-0008-0000-0E00-000003010000}"/>
            </a:ext>
          </a:extLst>
        </xdr:cNvPr>
        <xdr:cNvSpPr/>
      </xdr:nvSpPr>
      <xdr:spPr bwMode="auto">
        <a:xfrm>
          <a:off x="3562350" y="13830300"/>
          <a:ext cx="152400" cy="152400"/>
        </a:xfrm>
        <a:prstGeom prst="rect">
          <a:avLst/>
        </a:prstGeom>
        <a:noFill/>
        <a:ln w="9525">
          <a:miter lim="800000"/>
          <a:headEnd/>
          <a:tailEnd/>
        </a:ln>
      </xdr:spPr>
    </xdr:sp>
    <xdr:clientData/>
  </xdr:twoCellAnchor>
  <xdr:twoCellAnchor editAs="oneCell">
    <xdr:from>
      <xdr:col>2</xdr:col>
      <xdr:colOff>0</xdr:colOff>
      <xdr:row>66</xdr:row>
      <xdr:rowOff>0</xdr:rowOff>
    </xdr:from>
    <xdr:to>
      <xdr:col>2</xdr:col>
      <xdr:colOff>152400</xdr:colOff>
      <xdr:row>66</xdr:row>
      <xdr:rowOff>152400</xdr:rowOff>
    </xdr:to>
    <xdr:sp macro="" textlink="">
      <xdr:nvSpPr>
        <xdr:cNvPr id="260" name="Control 259" hidden="1">
          <a:extLst>
            <a:ext uri="{63B3BB69-23CF-44E3-9099-C40C66FF867C}">
              <a14:compatExt xmlns:a14="http://schemas.microsoft.com/office/drawing/2010/main" spid="_x0000_s1283"/>
            </a:ext>
            <a:ext uri="{FF2B5EF4-FFF2-40B4-BE49-F238E27FC236}">
              <a16:creationId xmlns:a16="http://schemas.microsoft.com/office/drawing/2014/main" id="{00000000-0008-0000-0E00-000004010000}"/>
            </a:ext>
          </a:extLst>
        </xdr:cNvPr>
        <xdr:cNvSpPr/>
      </xdr:nvSpPr>
      <xdr:spPr bwMode="auto">
        <a:xfrm>
          <a:off x="3562350" y="13830300"/>
          <a:ext cx="152400" cy="152400"/>
        </a:xfrm>
        <a:prstGeom prst="rect">
          <a:avLst/>
        </a:prstGeom>
        <a:noFill/>
        <a:ln w="9525">
          <a:miter lim="800000"/>
          <a:headEnd/>
          <a:tailEnd/>
        </a:ln>
      </xdr:spPr>
    </xdr:sp>
    <xdr:clientData/>
  </xdr:twoCellAnchor>
  <xdr:twoCellAnchor editAs="oneCell">
    <xdr:from>
      <xdr:col>0</xdr:col>
      <xdr:colOff>0</xdr:colOff>
      <xdr:row>67</xdr:row>
      <xdr:rowOff>0</xdr:rowOff>
    </xdr:from>
    <xdr:to>
      <xdr:col>0</xdr:col>
      <xdr:colOff>139700</xdr:colOff>
      <xdr:row>67</xdr:row>
      <xdr:rowOff>139700</xdr:rowOff>
    </xdr:to>
    <xdr:sp macro="" textlink="">
      <xdr:nvSpPr>
        <xdr:cNvPr id="261" name="Control 260" hidden="1">
          <a:extLst>
            <a:ext uri="{63B3BB69-23CF-44E3-9099-C40C66FF867C}">
              <a14:compatExt xmlns:a14="http://schemas.microsoft.com/office/drawing/2010/main" spid="_x0000_s1284"/>
            </a:ext>
            <a:ext uri="{FF2B5EF4-FFF2-40B4-BE49-F238E27FC236}">
              <a16:creationId xmlns:a16="http://schemas.microsoft.com/office/drawing/2014/main" id="{00000000-0008-0000-0E00-000005010000}"/>
            </a:ext>
          </a:extLst>
        </xdr:cNvPr>
        <xdr:cNvSpPr/>
      </xdr:nvSpPr>
      <xdr:spPr bwMode="auto">
        <a:xfrm>
          <a:off x="0" y="14039850"/>
          <a:ext cx="139700" cy="139700"/>
        </a:xfrm>
        <a:prstGeom prst="rect">
          <a:avLst/>
        </a:prstGeom>
        <a:noFill/>
        <a:ln w="9525">
          <a:miter lim="800000"/>
          <a:headEnd/>
          <a:tailEnd/>
        </a:ln>
      </xdr:spPr>
    </xdr:sp>
    <xdr:clientData/>
  </xdr:twoCellAnchor>
  <xdr:twoCellAnchor editAs="oneCell">
    <xdr:from>
      <xdr:col>2</xdr:col>
      <xdr:colOff>0</xdr:colOff>
      <xdr:row>67</xdr:row>
      <xdr:rowOff>0</xdr:rowOff>
    </xdr:from>
    <xdr:to>
      <xdr:col>2</xdr:col>
      <xdr:colOff>254000</xdr:colOff>
      <xdr:row>68</xdr:row>
      <xdr:rowOff>82550</xdr:rowOff>
    </xdr:to>
    <xdr:sp macro="" textlink="">
      <xdr:nvSpPr>
        <xdr:cNvPr id="262" name="Control 261" hidden="1">
          <a:extLst>
            <a:ext uri="{63B3BB69-23CF-44E3-9099-C40C66FF867C}">
              <a14:compatExt xmlns:a14="http://schemas.microsoft.com/office/drawing/2010/main" spid="_x0000_s1285"/>
            </a:ext>
            <a:ext uri="{FF2B5EF4-FFF2-40B4-BE49-F238E27FC236}">
              <a16:creationId xmlns:a16="http://schemas.microsoft.com/office/drawing/2014/main" id="{00000000-0008-0000-0E00-000006010000}"/>
            </a:ext>
          </a:extLst>
        </xdr:cNvPr>
        <xdr:cNvSpPr/>
      </xdr:nvSpPr>
      <xdr:spPr bwMode="auto">
        <a:xfrm>
          <a:off x="3562350" y="14039850"/>
          <a:ext cx="254000" cy="273050"/>
        </a:xfrm>
        <a:prstGeom prst="rect">
          <a:avLst/>
        </a:prstGeom>
        <a:noFill/>
        <a:ln w="9525">
          <a:miter lim="800000"/>
          <a:headEnd/>
          <a:tailEnd/>
        </a:ln>
      </xdr:spPr>
    </xdr:sp>
    <xdr:clientData/>
  </xdr:twoCellAnchor>
  <xdr:twoCellAnchor editAs="oneCell">
    <xdr:from>
      <xdr:col>2</xdr:col>
      <xdr:colOff>0</xdr:colOff>
      <xdr:row>67</xdr:row>
      <xdr:rowOff>0</xdr:rowOff>
    </xdr:from>
    <xdr:to>
      <xdr:col>2</xdr:col>
      <xdr:colOff>152400</xdr:colOff>
      <xdr:row>67</xdr:row>
      <xdr:rowOff>152400</xdr:rowOff>
    </xdr:to>
    <xdr:sp macro="" textlink="">
      <xdr:nvSpPr>
        <xdr:cNvPr id="263" name="Control 262" hidden="1">
          <a:extLst>
            <a:ext uri="{63B3BB69-23CF-44E3-9099-C40C66FF867C}">
              <a14:compatExt xmlns:a14="http://schemas.microsoft.com/office/drawing/2010/main" spid="_x0000_s1286"/>
            </a:ext>
            <a:ext uri="{FF2B5EF4-FFF2-40B4-BE49-F238E27FC236}">
              <a16:creationId xmlns:a16="http://schemas.microsoft.com/office/drawing/2014/main" id="{00000000-0008-0000-0E00-000007010000}"/>
            </a:ext>
          </a:extLst>
        </xdr:cNvPr>
        <xdr:cNvSpPr/>
      </xdr:nvSpPr>
      <xdr:spPr bwMode="auto">
        <a:xfrm>
          <a:off x="3562350" y="14039850"/>
          <a:ext cx="152400" cy="152400"/>
        </a:xfrm>
        <a:prstGeom prst="rect">
          <a:avLst/>
        </a:prstGeom>
        <a:noFill/>
        <a:ln w="9525">
          <a:miter lim="800000"/>
          <a:headEnd/>
          <a:tailEnd/>
        </a:ln>
      </xdr:spPr>
    </xdr:sp>
    <xdr:clientData/>
  </xdr:twoCellAnchor>
  <xdr:twoCellAnchor editAs="oneCell">
    <xdr:from>
      <xdr:col>2</xdr:col>
      <xdr:colOff>0</xdr:colOff>
      <xdr:row>67</xdr:row>
      <xdr:rowOff>0</xdr:rowOff>
    </xdr:from>
    <xdr:to>
      <xdr:col>2</xdr:col>
      <xdr:colOff>152400</xdr:colOff>
      <xdr:row>67</xdr:row>
      <xdr:rowOff>152400</xdr:rowOff>
    </xdr:to>
    <xdr:sp macro="" textlink="">
      <xdr:nvSpPr>
        <xdr:cNvPr id="264" name="Control 263" hidden="1">
          <a:extLst>
            <a:ext uri="{63B3BB69-23CF-44E3-9099-C40C66FF867C}">
              <a14:compatExt xmlns:a14="http://schemas.microsoft.com/office/drawing/2010/main" spid="_x0000_s1287"/>
            </a:ext>
            <a:ext uri="{FF2B5EF4-FFF2-40B4-BE49-F238E27FC236}">
              <a16:creationId xmlns:a16="http://schemas.microsoft.com/office/drawing/2014/main" id="{00000000-0008-0000-0E00-000008010000}"/>
            </a:ext>
          </a:extLst>
        </xdr:cNvPr>
        <xdr:cNvSpPr/>
      </xdr:nvSpPr>
      <xdr:spPr bwMode="auto">
        <a:xfrm>
          <a:off x="3562350" y="14039850"/>
          <a:ext cx="152400" cy="152400"/>
        </a:xfrm>
        <a:prstGeom prst="rect">
          <a:avLst/>
        </a:prstGeom>
        <a:noFill/>
        <a:ln w="9525">
          <a:miter lim="800000"/>
          <a:headEnd/>
          <a:tailEnd/>
        </a:ln>
      </xdr:spPr>
    </xdr:sp>
    <xdr:clientData/>
  </xdr:twoCellAnchor>
  <xdr:twoCellAnchor editAs="oneCell">
    <xdr:from>
      <xdr:col>0</xdr:col>
      <xdr:colOff>0</xdr:colOff>
      <xdr:row>68</xdr:row>
      <xdr:rowOff>0</xdr:rowOff>
    </xdr:from>
    <xdr:to>
      <xdr:col>0</xdr:col>
      <xdr:colOff>139700</xdr:colOff>
      <xdr:row>68</xdr:row>
      <xdr:rowOff>139700</xdr:rowOff>
    </xdr:to>
    <xdr:sp macro="" textlink="">
      <xdr:nvSpPr>
        <xdr:cNvPr id="265" name="Control 264" hidden="1">
          <a:extLst>
            <a:ext uri="{63B3BB69-23CF-44E3-9099-C40C66FF867C}">
              <a14:compatExt xmlns:a14="http://schemas.microsoft.com/office/drawing/2010/main" spid="_x0000_s1288"/>
            </a:ext>
            <a:ext uri="{FF2B5EF4-FFF2-40B4-BE49-F238E27FC236}">
              <a16:creationId xmlns:a16="http://schemas.microsoft.com/office/drawing/2014/main" id="{00000000-0008-0000-0E00-000009010000}"/>
            </a:ext>
          </a:extLst>
        </xdr:cNvPr>
        <xdr:cNvSpPr/>
      </xdr:nvSpPr>
      <xdr:spPr bwMode="auto">
        <a:xfrm>
          <a:off x="0" y="14249400"/>
          <a:ext cx="139700" cy="139700"/>
        </a:xfrm>
        <a:prstGeom prst="rect">
          <a:avLst/>
        </a:prstGeom>
        <a:noFill/>
        <a:ln w="9525">
          <a:miter lim="800000"/>
          <a:headEnd/>
          <a:tailEnd/>
        </a:ln>
      </xdr:spPr>
    </xdr:sp>
    <xdr:clientData/>
  </xdr:twoCellAnchor>
  <xdr:twoCellAnchor editAs="oneCell">
    <xdr:from>
      <xdr:col>2</xdr:col>
      <xdr:colOff>0</xdr:colOff>
      <xdr:row>68</xdr:row>
      <xdr:rowOff>0</xdr:rowOff>
    </xdr:from>
    <xdr:to>
      <xdr:col>2</xdr:col>
      <xdr:colOff>254000</xdr:colOff>
      <xdr:row>69</xdr:row>
      <xdr:rowOff>82550</xdr:rowOff>
    </xdr:to>
    <xdr:sp macro="" textlink="">
      <xdr:nvSpPr>
        <xdr:cNvPr id="266" name="Control 265" hidden="1">
          <a:extLst>
            <a:ext uri="{63B3BB69-23CF-44E3-9099-C40C66FF867C}">
              <a14:compatExt xmlns:a14="http://schemas.microsoft.com/office/drawing/2010/main" spid="_x0000_s1289"/>
            </a:ext>
            <a:ext uri="{FF2B5EF4-FFF2-40B4-BE49-F238E27FC236}">
              <a16:creationId xmlns:a16="http://schemas.microsoft.com/office/drawing/2014/main" id="{00000000-0008-0000-0E00-00000A010000}"/>
            </a:ext>
          </a:extLst>
        </xdr:cNvPr>
        <xdr:cNvSpPr/>
      </xdr:nvSpPr>
      <xdr:spPr bwMode="auto">
        <a:xfrm>
          <a:off x="3562350" y="14249400"/>
          <a:ext cx="254000" cy="273050"/>
        </a:xfrm>
        <a:prstGeom prst="rect">
          <a:avLst/>
        </a:prstGeom>
        <a:noFill/>
        <a:ln w="9525">
          <a:miter lim="800000"/>
          <a:headEnd/>
          <a:tailEnd/>
        </a:ln>
      </xdr:spPr>
    </xdr:sp>
    <xdr:clientData/>
  </xdr:twoCellAnchor>
  <xdr:twoCellAnchor editAs="oneCell">
    <xdr:from>
      <xdr:col>2</xdr:col>
      <xdr:colOff>0</xdr:colOff>
      <xdr:row>68</xdr:row>
      <xdr:rowOff>0</xdr:rowOff>
    </xdr:from>
    <xdr:to>
      <xdr:col>2</xdr:col>
      <xdr:colOff>152400</xdr:colOff>
      <xdr:row>68</xdr:row>
      <xdr:rowOff>152400</xdr:rowOff>
    </xdr:to>
    <xdr:sp macro="" textlink="">
      <xdr:nvSpPr>
        <xdr:cNvPr id="267" name="Control 266" hidden="1">
          <a:extLst>
            <a:ext uri="{63B3BB69-23CF-44E3-9099-C40C66FF867C}">
              <a14:compatExt xmlns:a14="http://schemas.microsoft.com/office/drawing/2010/main" spid="_x0000_s1290"/>
            </a:ext>
            <a:ext uri="{FF2B5EF4-FFF2-40B4-BE49-F238E27FC236}">
              <a16:creationId xmlns:a16="http://schemas.microsoft.com/office/drawing/2014/main" id="{00000000-0008-0000-0E00-00000B010000}"/>
            </a:ext>
          </a:extLst>
        </xdr:cNvPr>
        <xdr:cNvSpPr/>
      </xdr:nvSpPr>
      <xdr:spPr bwMode="auto">
        <a:xfrm>
          <a:off x="3562350" y="14249400"/>
          <a:ext cx="152400" cy="152400"/>
        </a:xfrm>
        <a:prstGeom prst="rect">
          <a:avLst/>
        </a:prstGeom>
        <a:noFill/>
        <a:ln w="9525">
          <a:miter lim="800000"/>
          <a:headEnd/>
          <a:tailEnd/>
        </a:ln>
      </xdr:spPr>
    </xdr:sp>
    <xdr:clientData/>
  </xdr:twoCellAnchor>
  <xdr:twoCellAnchor editAs="oneCell">
    <xdr:from>
      <xdr:col>2</xdr:col>
      <xdr:colOff>0</xdr:colOff>
      <xdr:row>68</xdr:row>
      <xdr:rowOff>0</xdr:rowOff>
    </xdr:from>
    <xdr:to>
      <xdr:col>2</xdr:col>
      <xdr:colOff>152400</xdr:colOff>
      <xdr:row>68</xdr:row>
      <xdr:rowOff>152400</xdr:rowOff>
    </xdr:to>
    <xdr:sp macro="" textlink="">
      <xdr:nvSpPr>
        <xdr:cNvPr id="268" name="Control 267" hidden="1">
          <a:extLst>
            <a:ext uri="{63B3BB69-23CF-44E3-9099-C40C66FF867C}">
              <a14:compatExt xmlns:a14="http://schemas.microsoft.com/office/drawing/2010/main" spid="_x0000_s1291"/>
            </a:ext>
            <a:ext uri="{FF2B5EF4-FFF2-40B4-BE49-F238E27FC236}">
              <a16:creationId xmlns:a16="http://schemas.microsoft.com/office/drawing/2014/main" id="{00000000-0008-0000-0E00-00000C010000}"/>
            </a:ext>
          </a:extLst>
        </xdr:cNvPr>
        <xdr:cNvSpPr/>
      </xdr:nvSpPr>
      <xdr:spPr bwMode="auto">
        <a:xfrm>
          <a:off x="3562350" y="14249400"/>
          <a:ext cx="152400" cy="152400"/>
        </a:xfrm>
        <a:prstGeom prst="rect">
          <a:avLst/>
        </a:prstGeom>
        <a:noFill/>
        <a:ln w="9525">
          <a:miter lim="800000"/>
          <a:headEnd/>
          <a:tailEnd/>
        </a:ln>
      </xdr:spPr>
    </xdr:sp>
    <xdr:clientData/>
  </xdr:twoCellAnchor>
  <xdr:twoCellAnchor editAs="oneCell">
    <xdr:from>
      <xdr:col>0</xdr:col>
      <xdr:colOff>0</xdr:colOff>
      <xdr:row>69</xdr:row>
      <xdr:rowOff>0</xdr:rowOff>
    </xdr:from>
    <xdr:to>
      <xdr:col>0</xdr:col>
      <xdr:colOff>139700</xdr:colOff>
      <xdr:row>69</xdr:row>
      <xdr:rowOff>139700</xdr:rowOff>
    </xdr:to>
    <xdr:sp macro="" textlink="">
      <xdr:nvSpPr>
        <xdr:cNvPr id="269" name="Control 268" hidden="1">
          <a:extLst>
            <a:ext uri="{63B3BB69-23CF-44E3-9099-C40C66FF867C}">
              <a14:compatExt xmlns:a14="http://schemas.microsoft.com/office/drawing/2010/main" spid="_x0000_s1292"/>
            </a:ext>
            <a:ext uri="{FF2B5EF4-FFF2-40B4-BE49-F238E27FC236}">
              <a16:creationId xmlns:a16="http://schemas.microsoft.com/office/drawing/2014/main" id="{00000000-0008-0000-0E00-00000D010000}"/>
            </a:ext>
          </a:extLst>
        </xdr:cNvPr>
        <xdr:cNvSpPr/>
      </xdr:nvSpPr>
      <xdr:spPr bwMode="auto">
        <a:xfrm>
          <a:off x="0" y="14458950"/>
          <a:ext cx="139700" cy="139700"/>
        </a:xfrm>
        <a:prstGeom prst="rect">
          <a:avLst/>
        </a:prstGeom>
        <a:noFill/>
        <a:ln w="9525">
          <a:miter lim="800000"/>
          <a:headEnd/>
          <a:tailEnd/>
        </a:ln>
      </xdr:spPr>
    </xdr:sp>
    <xdr:clientData/>
  </xdr:twoCellAnchor>
  <xdr:twoCellAnchor editAs="oneCell">
    <xdr:from>
      <xdr:col>2</xdr:col>
      <xdr:colOff>0</xdr:colOff>
      <xdr:row>69</xdr:row>
      <xdr:rowOff>0</xdr:rowOff>
    </xdr:from>
    <xdr:to>
      <xdr:col>2</xdr:col>
      <xdr:colOff>254000</xdr:colOff>
      <xdr:row>70</xdr:row>
      <xdr:rowOff>82550</xdr:rowOff>
    </xdr:to>
    <xdr:sp macro="" textlink="">
      <xdr:nvSpPr>
        <xdr:cNvPr id="270" name="Control 269" hidden="1">
          <a:extLst>
            <a:ext uri="{63B3BB69-23CF-44E3-9099-C40C66FF867C}">
              <a14:compatExt xmlns:a14="http://schemas.microsoft.com/office/drawing/2010/main" spid="_x0000_s1293"/>
            </a:ext>
            <a:ext uri="{FF2B5EF4-FFF2-40B4-BE49-F238E27FC236}">
              <a16:creationId xmlns:a16="http://schemas.microsoft.com/office/drawing/2014/main" id="{00000000-0008-0000-0E00-00000E010000}"/>
            </a:ext>
          </a:extLst>
        </xdr:cNvPr>
        <xdr:cNvSpPr/>
      </xdr:nvSpPr>
      <xdr:spPr bwMode="auto">
        <a:xfrm>
          <a:off x="3562350" y="14458950"/>
          <a:ext cx="254000" cy="273050"/>
        </a:xfrm>
        <a:prstGeom prst="rect">
          <a:avLst/>
        </a:prstGeom>
        <a:noFill/>
        <a:ln w="9525">
          <a:miter lim="800000"/>
          <a:headEnd/>
          <a:tailEnd/>
        </a:ln>
      </xdr:spPr>
    </xdr:sp>
    <xdr:clientData/>
  </xdr:twoCellAnchor>
  <xdr:twoCellAnchor editAs="oneCell">
    <xdr:from>
      <xdr:col>2</xdr:col>
      <xdr:colOff>0</xdr:colOff>
      <xdr:row>69</xdr:row>
      <xdr:rowOff>0</xdr:rowOff>
    </xdr:from>
    <xdr:to>
      <xdr:col>2</xdr:col>
      <xdr:colOff>152400</xdr:colOff>
      <xdr:row>69</xdr:row>
      <xdr:rowOff>152400</xdr:rowOff>
    </xdr:to>
    <xdr:sp macro="" textlink="">
      <xdr:nvSpPr>
        <xdr:cNvPr id="271" name="Control 270" hidden="1">
          <a:extLst>
            <a:ext uri="{63B3BB69-23CF-44E3-9099-C40C66FF867C}">
              <a14:compatExt xmlns:a14="http://schemas.microsoft.com/office/drawing/2010/main" spid="_x0000_s1294"/>
            </a:ext>
            <a:ext uri="{FF2B5EF4-FFF2-40B4-BE49-F238E27FC236}">
              <a16:creationId xmlns:a16="http://schemas.microsoft.com/office/drawing/2014/main" id="{00000000-0008-0000-0E00-00000F010000}"/>
            </a:ext>
          </a:extLst>
        </xdr:cNvPr>
        <xdr:cNvSpPr/>
      </xdr:nvSpPr>
      <xdr:spPr bwMode="auto">
        <a:xfrm>
          <a:off x="3562350" y="14458950"/>
          <a:ext cx="152400" cy="152400"/>
        </a:xfrm>
        <a:prstGeom prst="rect">
          <a:avLst/>
        </a:prstGeom>
        <a:noFill/>
        <a:ln w="9525">
          <a:miter lim="800000"/>
          <a:headEnd/>
          <a:tailEnd/>
        </a:ln>
      </xdr:spPr>
    </xdr:sp>
    <xdr:clientData/>
  </xdr:twoCellAnchor>
  <xdr:twoCellAnchor editAs="oneCell">
    <xdr:from>
      <xdr:col>2</xdr:col>
      <xdr:colOff>0</xdr:colOff>
      <xdr:row>69</xdr:row>
      <xdr:rowOff>0</xdr:rowOff>
    </xdr:from>
    <xdr:to>
      <xdr:col>2</xdr:col>
      <xdr:colOff>152400</xdr:colOff>
      <xdr:row>69</xdr:row>
      <xdr:rowOff>152400</xdr:rowOff>
    </xdr:to>
    <xdr:sp macro="" textlink="">
      <xdr:nvSpPr>
        <xdr:cNvPr id="272" name="Control 271" hidden="1">
          <a:extLst>
            <a:ext uri="{63B3BB69-23CF-44E3-9099-C40C66FF867C}">
              <a14:compatExt xmlns:a14="http://schemas.microsoft.com/office/drawing/2010/main" spid="_x0000_s1295"/>
            </a:ext>
            <a:ext uri="{FF2B5EF4-FFF2-40B4-BE49-F238E27FC236}">
              <a16:creationId xmlns:a16="http://schemas.microsoft.com/office/drawing/2014/main" id="{00000000-0008-0000-0E00-000010010000}"/>
            </a:ext>
          </a:extLst>
        </xdr:cNvPr>
        <xdr:cNvSpPr/>
      </xdr:nvSpPr>
      <xdr:spPr bwMode="auto">
        <a:xfrm>
          <a:off x="3562350" y="14458950"/>
          <a:ext cx="152400" cy="152400"/>
        </a:xfrm>
        <a:prstGeom prst="rect">
          <a:avLst/>
        </a:prstGeom>
        <a:noFill/>
        <a:ln w="9525">
          <a:miter lim="800000"/>
          <a:headEnd/>
          <a:tailEnd/>
        </a:ln>
      </xdr:spPr>
    </xdr:sp>
    <xdr:clientData/>
  </xdr:twoCellAnchor>
  <xdr:twoCellAnchor editAs="oneCell">
    <xdr:from>
      <xdr:col>0</xdr:col>
      <xdr:colOff>0</xdr:colOff>
      <xdr:row>70</xdr:row>
      <xdr:rowOff>0</xdr:rowOff>
    </xdr:from>
    <xdr:to>
      <xdr:col>0</xdr:col>
      <xdr:colOff>139700</xdr:colOff>
      <xdr:row>70</xdr:row>
      <xdr:rowOff>139700</xdr:rowOff>
    </xdr:to>
    <xdr:sp macro="" textlink="">
      <xdr:nvSpPr>
        <xdr:cNvPr id="273" name="Control 272" hidden="1">
          <a:extLst>
            <a:ext uri="{63B3BB69-23CF-44E3-9099-C40C66FF867C}">
              <a14:compatExt xmlns:a14="http://schemas.microsoft.com/office/drawing/2010/main" spid="_x0000_s1296"/>
            </a:ext>
            <a:ext uri="{FF2B5EF4-FFF2-40B4-BE49-F238E27FC236}">
              <a16:creationId xmlns:a16="http://schemas.microsoft.com/office/drawing/2014/main" id="{00000000-0008-0000-0E00-000011010000}"/>
            </a:ext>
          </a:extLst>
        </xdr:cNvPr>
        <xdr:cNvSpPr/>
      </xdr:nvSpPr>
      <xdr:spPr bwMode="auto">
        <a:xfrm>
          <a:off x="0" y="14668500"/>
          <a:ext cx="139700" cy="139700"/>
        </a:xfrm>
        <a:prstGeom prst="rect">
          <a:avLst/>
        </a:prstGeom>
        <a:noFill/>
        <a:ln w="9525">
          <a:miter lim="800000"/>
          <a:headEnd/>
          <a:tailEnd/>
        </a:ln>
      </xdr:spPr>
    </xdr:sp>
    <xdr:clientData/>
  </xdr:twoCellAnchor>
  <xdr:twoCellAnchor editAs="oneCell">
    <xdr:from>
      <xdr:col>2</xdr:col>
      <xdr:colOff>0</xdr:colOff>
      <xdr:row>70</xdr:row>
      <xdr:rowOff>0</xdr:rowOff>
    </xdr:from>
    <xdr:to>
      <xdr:col>2</xdr:col>
      <xdr:colOff>254000</xdr:colOff>
      <xdr:row>71</xdr:row>
      <xdr:rowOff>82550</xdr:rowOff>
    </xdr:to>
    <xdr:sp macro="" textlink="">
      <xdr:nvSpPr>
        <xdr:cNvPr id="274" name="Control 273" hidden="1">
          <a:extLst>
            <a:ext uri="{63B3BB69-23CF-44E3-9099-C40C66FF867C}">
              <a14:compatExt xmlns:a14="http://schemas.microsoft.com/office/drawing/2010/main" spid="_x0000_s1297"/>
            </a:ext>
            <a:ext uri="{FF2B5EF4-FFF2-40B4-BE49-F238E27FC236}">
              <a16:creationId xmlns:a16="http://schemas.microsoft.com/office/drawing/2014/main" id="{00000000-0008-0000-0E00-000012010000}"/>
            </a:ext>
          </a:extLst>
        </xdr:cNvPr>
        <xdr:cNvSpPr/>
      </xdr:nvSpPr>
      <xdr:spPr bwMode="auto">
        <a:xfrm>
          <a:off x="3562350" y="14668500"/>
          <a:ext cx="254000" cy="273050"/>
        </a:xfrm>
        <a:prstGeom prst="rect">
          <a:avLst/>
        </a:prstGeom>
        <a:noFill/>
        <a:ln w="9525">
          <a:miter lim="800000"/>
          <a:headEnd/>
          <a:tailEnd/>
        </a:ln>
      </xdr:spPr>
    </xdr:sp>
    <xdr:clientData/>
  </xdr:twoCellAnchor>
  <xdr:twoCellAnchor editAs="oneCell">
    <xdr:from>
      <xdr:col>2</xdr:col>
      <xdr:colOff>0</xdr:colOff>
      <xdr:row>70</xdr:row>
      <xdr:rowOff>0</xdr:rowOff>
    </xdr:from>
    <xdr:to>
      <xdr:col>2</xdr:col>
      <xdr:colOff>152400</xdr:colOff>
      <xdr:row>70</xdr:row>
      <xdr:rowOff>152400</xdr:rowOff>
    </xdr:to>
    <xdr:sp macro="" textlink="">
      <xdr:nvSpPr>
        <xdr:cNvPr id="275" name="Control 274" hidden="1">
          <a:extLst>
            <a:ext uri="{63B3BB69-23CF-44E3-9099-C40C66FF867C}">
              <a14:compatExt xmlns:a14="http://schemas.microsoft.com/office/drawing/2010/main" spid="_x0000_s1298"/>
            </a:ext>
            <a:ext uri="{FF2B5EF4-FFF2-40B4-BE49-F238E27FC236}">
              <a16:creationId xmlns:a16="http://schemas.microsoft.com/office/drawing/2014/main" id="{00000000-0008-0000-0E00-000013010000}"/>
            </a:ext>
          </a:extLst>
        </xdr:cNvPr>
        <xdr:cNvSpPr/>
      </xdr:nvSpPr>
      <xdr:spPr bwMode="auto">
        <a:xfrm>
          <a:off x="3562350" y="14668500"/>
          <a:ext cx="152400" cy="152400"/>
        </a:xfrm>
        <a:prstGeom prst="rect">
          <a:avLst/>
        </a:prstGeom>
        <a:noFill/>
        <a:ln w="9525">
          <a:miter lim="800000"/>
          <a:headEnd/>
          <a:tailEnd/>
        </a:ln>
      </xdr:spPr>
    </xdr:sp>
    <xdr:clientData/>
  </xdr:twoCellAnchor>
  <xdr:twoCellAnchor editAs="oneCell">
    <xdr:from>
      <xdr:col>2</xdr:col>
      <xdr:colOff>0</xdr:colOff>
      <xdr:row>70</xdr:row>
      <xdr:rowOff>0</xdr:rowOff>
    </xdr:from>
    <xdr:to>
      <xdr:col>2</xdr:col>
      <xdr:colOff>152400</xdr:colOff>
      <xdr:row>70</xdr:row>
      <xdr:rowOff>152400</xdr:rowOff>
    </xdr:to>
    <xdr:sp macro="" textlink="">
      <xdr:nvSpPr>
        <xdr:cNvPr id="276" name="Control 275" hidden="1">
          <a:extLst>
            <a:ext uri="{63B3BB69-23CF-44E3-9099-C40C66FF867C}">
              <a14:compatExt xmlns:a14="http://schemas.microsoft.com/office/drawing/2010/main" spid="_x0000_s1299"/>
            </a:ext>
            <a:ext uri="{FF2B5EF4-FFF2-40B4-BE49-F238E27FC236}">
              <a16:creationId xmlns:a16="http://schemas.microsoft.com/office/drawing/2014/main" id="{00000000-0008-0000-0E00-000014010000}"/>
            </a:ext>
          </a:extLst>
        </xdr:cNvPr>
        <xdr:cNvSpPr/>
      </xdr:nvSpPr>
      <xdr:spPr bwMode="auto">
        <a:xfrm>
          <a:off x="3562350" y="14668500"/>
          <a:ext cx="152400" cy="152400"/>
        </a:xfrm>
        <a:prstGeom prst="rect">
          <a:avLst/>
        </a:prstGeom>
        <a:noFill/>
        <a:ln w="9525">
          <a:miter lim="800000"/>
          <a:headEnd/>
          <a:tailEnd/>
        </a:ln>
      </xdr:spPr>
    </xdr:sp>
    <xdr:clientData/>
  </xdr:twoCellAnchor>
  <xdr:twoCellAnchor editAs="oneCell">
    <xdr:from>
      <xdr:col>0</xdr:col>
      <xdr:colOff>0</xdr:colOff>
      <xdr:row>71</xdr:row>
      <xdr:rowOff>0</xdr:rowOff>
    </xdr:from>
    <xdr:to>
      <xdr:col>0</xdr:col>
      <xdr:colOff>139700</xdr:colOff>
      <xdr:row>71</xdr:row>
      <xdr:rowOff>139700</xdr:rowOff>
    </xdr:to>
    <xdr:sp macro="" textlink="">
      <xdr:nvSpPr>
        <xdr:cNvPr id="277" name="Control 276" hidden="1">
          <a:extLst>
            <a:ext uri="{63B3BB69-23CF-44E3-9099-C40C66FF867C}">
              <a14:compatExt xmlns:a14="http://schemas.microsoft.com/office/drawing/2010/main" spid="_x0000_s1300"/>
            </a:ext>
            <a:ext uri="{FF2B5EF4-FFF2-40B4-BE49-F238E27FC236}">
              <a16:creationId xmlns:a16="http://schemas.microsoft.com/office/drawing/2014/main" id="{00000000-0008-0000-0E00-000015010000}"/>
            </a:ext>
          </a:extLst>
        </xdr:cNvPr>
        <xdr:cNvSpPr/>
      </xdr:nvSpPr>
      <xdr:spPr bwMode="auto">
        <a:xfrm>
          <a:off x="0" y="14878050"/>
          <a:ext cx="139700" cy="139700"/>
        </a:xfrm>
        <a:prstGeom prst="rect">
          <a:avLst/>
        </a:prstGeom>
        <a:noFill/>
        <a:ln w="9525">
          <a:miter lim="800000"/>
          <a:headEnd/>
          <a:tailEnd/>
        </a:ln>
      </xdr:spPr>
    </xdr:sp>
    <xdr:clientData/>
  </xdr:twoCellAnchor>
  <xdr:twoCellAnchor editAs="oneCell">
    <xdr:from>
      <xdr:col>2</xdr:col>
      <xdr:colOff>0</xdr:colOff>
      <xdr:row>71</xdr:row>
      <xdr:rowOff>0</xdr:rowOff>
    </xdr:from>
    <xdr:to>
      <xdr:col>2</xdr:col>
      <xdr:colOff>254000</xdr:colOff>
      <xdr:row>72</xdr:row>
      <xdr:rowOff>82550</xdr:rowOff>
    </xdr:to>
    <xdr:sp macro="" textlink="">
      <xdr:nvSpPr>
        <xdr:cNvPr id="278" name="Control 277" hidden="1">
          <a:extLst>
            <a:ext uri="{63B3BB69-23CF-44E3-9099-C40C66FF867C}">
              <a14:compatExt xmlns:a14="http://schemas.microsoft.com/office/drawing/2010/main" spid="_x0000_s1301"/>
            </a:ext>
            <a:ext uri="{FF2B5EF4-FFF2-40B4-BE49-F238E27FC236}">
              <a16:creationId xmlns:a16="http://schemas.microsoft.com/office/drawing/2014/main" id="{00000000-0008-0000-0E00-000016010000}"/>
            </a:ext>
          </a:extLst>
        </xdr:cNvPr>
        <xdr:cNvSpPr/>
      </xdr:nvSpPr>
      <xdr:spPr bwMode="auto">
        <a:xfrm>
          <a:off x="3562350" y="14878050"/>
          <a:ext cx="254000" cy="273050"/>
        </a:xfrm>
        <a:prstGeom prst="rect">
          <a:avLst/>
        </a:prstGeom>
        <a:noFill/>
        <a:ln w="9525">
          <a:miter lim="800000"/>
          <a:headEnd/>
          <a:tailEnd/>
        </a:ln>
      </xdr:spPr>
    </xdr:sp>
    <xdr:clientData/>
  </xdr:twoCellAnchor>
  <xdr:twoCellAnchor editAs="oneCell">
    <xdr:from>
      <xdr:col>2</xdr:col>
      <xdr:colOff>0</xdr:colOff>
      <xdr:row>71</xdr:row>
      <xdr:rowOff>0</xdr:rowOff>
    </xdr:from>
    <xdr:to>
      <xdr:col>2</xdr:col>
      <xdr:colOff>152400</xdr:colOff>
      <xdr:row>71</xdr:row>
      <xdr:rowOff>152400</xdr:rowOff>
    </xdr:to>
    <xdr:sp macro="" textlink="">
      <xdr:nvSpPr>
        <xdr:cNvPr id="279" name="Control 278" hidden="1">
          <a:extLst>
            <a:ext uri="{63B3BB69-23CF-44E3-9099-C40C66FF867C}">
              <a14:compatExt xmlns:a14="http://schemas.microsoft.com/office/drawing/2010/main" spid="_x0000_s1302"/>
            </a:ext>
            <a:ext uri="{FF2B5EF4-FFF2-40B4-BE49-F238E27FC236}">
              <a16:creationId xmlns:a16="http://schemas.microsoft.com/office/drawing/2014/main" id="{00000000-0008-0000-0E00-000017010000}"/>
            </a:ext>
          </a:extLst>
        </xdr:cNvPr>
        <xdr:cNvSpPr/>
      </xdr:nvSpPr>
      <xdr:spPr bwMode="auto">
        <a:xfrm>
          <a:off x="3562350" y="14878050"/>
          <a:ext cx="152400" cy="152400"/>
        </a:xfrm>
        <a:prstGeom prst="rect">
          <a:avLst/>
        </a:prstGeom>
        <a:noFill/>
        <a:ln w="9525">
          <a:miter lim="800000"/>
          <a:headEnd/>
          <a:tailEnd/>
        </a:ln>
      </xdr:spPr>
    </xdr:sp>
    <xdr:clientData/>
  </xdr:twoCellAnchor>
  <xdr:twoCellAnchor editAs="oneCell">
    <xdr:from>
      <xdr:col>2</xdr:col>
      <xdr:colOff>0</xdr:colOff>
      <xdr:row>71</xdr:row>
      <xdr:rowOff>0</xdr:rowOff>
    </xdr:from>
    <xdr:to>
      <xdr:col>2</xdr:col>
      <xdr:colOff>152400</xdr:colOff>
      <xdr:row>71</xdr:row>
      <xdr:rowOff>152400</xdr:rowOff>
    </xdr:to>
    <xdr:sp macro="" textlink="">
      <xdr:nvSpPr>
        <xdr:cNvPr id="280" name="Control 279" hidden="1">
          <a:extLst>
            <a:ext uri="{63B3BB69-23CF-44E3-9099-C40C66FF867C}">
              <a14:compatExt xmlns:a14="http://schemas.microsoft.com/office/drawing/2010/main" spid="_x0000_s1303"/>
            </a:ext>
            <a:ext uri="{FF2B5EF4-FFF2-40B4-BE49-F238E27FC236}">
              <a16:creationId xmlns:a16="http://schemas.microsoft.com/office/drawing/2014/main" id="{00000000-0008-0000-0E00-000018010000}"/>
            </a:ext>
          </a:extLst>
        </xdr:cNvPr>
        <xdr:cNvSpPr/>
      </xdr:nvSpPr>
      <xdr:spPr bwMode="auto">
        <a:xfrm>
          <a:off x="3562350" y="14878050"/>
          <a:ext cx="152400" cy="152400"/>
        </a:xfrm>
        <a:prstGeom prst="rect">
          <a:avLst/>
        </a:prstGeom>
        <a:noFill/>
        <a:ln w="9525">
          <a:miter lim="800000"/>
          <a:headEnd/>
          <a:tailEnd/>
        </a:ln>
      </xdr:spPr>
    </xdr:sp>
    <xdr:clientData/>
  </xdr:twoCellAnchor>
  <xdr:twoCellAnchor editAs="oneCell">
    <xdr:from>
      <xdr:col>0</xdr:col>
      <xdr:colOff>0</xdr:colOff>
      <xdr:row>72</xdr:row>
      <xdr:rowOff>0</xdr:rowOff>
    </xdr:from>
    <xdr:to>
      <xdr:col>0</xdr:col>
      <xdr:colOff>139700</xdr:colOff>
      <xdr:row>72</xdr:row>
      <xdr:rowOff>139700</xdr:rowOff>
    </xdr:to>
    <xdr:sp macro="" textlink="">
      <xdr:nvSpPr>
        <xdr:cNvPr id="281" name="Control 280" hidden="1">
          <a:extLst>
            <a:ext uri="{63B3BB69-23CF-44E3-9099-C40C66FF867C}">
              <a14:compatExt xmlns:a14="http://schemas.microsoft.com/office/drawing/2010/main" spid="_x0000_s1304"/>
            </a:ext>
            <a:ext uri="{FF2B5EF4-FFF2-40B4-BE49-F238E27FC236}">
              <a16:creationId xmlns:a16="http://schemas.microsoft.com/office/drawing/2014/main" id="{00000000-0008-0000-0E00-000019010000}"/>
            </a:ext>
          </a:extLst>
        </xdr:cNvPr>
        <xdr:cNvSpPr/>
      </xdr:nvSpPr>
      <xdr:spPr bwMode="auto">
        <a:xfrm>
          <a:off x="0" y="15087600"/>
          <a:ext cx="139700" cy="139700"/>
        </a:xfrm>
        <a:prstGeom prst="rect">
          <a:avLst/>
        </a:prstGeom>
        <a:noFill/>
        <a:ln w="9525">
          <a:miter lim="800000"/>
          <a:headEnd/>
          <a:tailEnd/>
        </a:ln>
      </xdr:spPr>
    </xdr:sp>
    <xdr:clientData/>
  </xdr:twoCellAnchor>
  <xdr:twoCellAnchor editAs="oneCell">
    <xdr:from>
      <xdr:col>2</xdr:col>
      <xdr:colOff>0</xdr:colOff>
      <xdr:row>72</xdr:row>
      <xdr:rowOff>0</xdr:rowOff>
    </xdr:from>
    <xdr:to>
      <xdr:col>2</xdr:col>
      <xdr:colOff>254000</xdr:colOff>
      <xdr:row>73</xdr:row>
      <xdr:rowOff>82550</xdr:rowOff>
    </xdr:to>
    <xdr:sp macro="" textlink="">
      <xdr:nvSpPr>
        <xdr:cNvPr id="282" name="Control 281" hidden="1">
          <a:extLst>
            <a:ext uri="{63B3BB69-23CF-44E3-9099-C40C66FF867C}">
              <a14:compatExt xmlns:a14="http://schemas.microsoft.com/office/drawing/2010/main" spid="_x0000_s1305"/>
            </a:ext>
            <a:ext uri="{FF2B5EF4-FFF2-40B4-BE49-F238E27FC236}">
              <a16:creationId xmlns:a16="http://schemas.microsoft.com/office/drawing/2014/main" id="{00000000-0008-0000-0E00-00001A010000}"/>
            </a:ext>
          </a:extLst>
        </xdr:cNvPr>
        <xdr:cNvSpPr/>
      </xdr:nvSpPr>
      <xdr:spPr bwMode="auto">
        <a:xfrm>
          <a:off x="3562350" y="15087600"/>
          <a:ext cx="254000" cy="273050"/>
        </a:xfrm>
        <a:prstGeom prst="rect">
          <a:avLst/>
        </a:prstGeom>
        <a:noFill/>
        <a:ln w="9525">
          <a:miter lim="800000"/>
          <a:headEnd/>
          <a:tailEnd/>
        </a:ln>
      </xdr:spPr>
    </xdr:sp>
    <xdr:clientData/>
  </xdr:twoCellAnchor>
  <xdr:twoCellAnchor editAs="oneCell">
    <xdr:from>
      <xdr:col>2</xdr:col>
      <xdr:colOff>0</xdr:colOff>
      <xdr:row>72</xdr:row>
      <xdr:rowOff>0</xdr:rowOff>
    </xdr:from>
    <xdr:to>
      <xdr:col>2</xdr:col>
      <xdr:colOff>152400</xdr:colOff>
      <xdr:row>72</xdr:row>
      <xdr:rowOff>152400</xdr:rowOff>
    </xdr:to>
    <xdr:sp macro="" textlink="">
      <xdr:nvSpPr>
        <xdr:cNvPr id="283" name="Control 282" hidden="1">
          <a:extLst>
            <a:ext uri="{63B3BB69-23CF-44E3-9099-C40C66FF867C}">
              <a14:compatExt xmlns:a14="http://schemas.microsoft.com/office/drawing/2010/main" spid="_x0000_s1306"/>
            </a:ext>
            <a:ext uri="{FF2B5EF4-FFF2-40B4-BE49-F238E27FC236}">
              <a16:creationId xmlns:a16="http://schemas.microsoft.com/office/drawing/2014/main" id="{00000000-0008-0000-0E00-00001B010000}"/>
            </a:ext>
          </a:extLst>
        </xdr:cNvPr>
        <xdr:cNvSpPr/>
      </xdr:nvSpPr>
      <xdr:spPr bwMode="auto">
        <a:xfrm>
          <a:off x="3562350" y="15087600"/>
          <a:ext cx="152400" cy="152400"/>
        </a:xfrm>
        <a:prstGeom prst="rect">
          <a:avLst/>
        </a:prstGeom>
        <a:noFill/>
        <a:ln w="9525">
          <a:miter lim="800000"/>
          <a:headEnd/>
          <a:tailEnd/>
        </a:ln>
      </xdr:spPr>
    </xdr:sp>
    <xdr:clientData/>
  </xdr:twoCellAnchor>
  <xdr:twoCellAnchor editAs="oneCell">
    <xdr:from>
      <xdr:col>2</xdr:col>
      <xdr:colOff>0</xdr:colOff>
      <xdr:row>72</xdr:row>
      <xdr:rowOff>0</xdr:rowOff>
    </xdr:from>
    <xdr:to>
      <xdr:col>2</xdr:col>
      <xdr:colOff>152400</xdr:colOff>
      <xdr:row>72</xdr:row>
      <xdr:rowOff>152400</xdr:rowOff>
    </xdr:to>
    <xdr:sp macro="" textlink="">
      <xdr:nvSpPr>
        <xdr:cNvPr id="284" name="Control 283" hidden="1">
          <a:extLst>
            <a:ext uri="{63B3BB69-23CF-44E3-9099-C40C66FF867C}">
              <a14:compatExt xmlns:a14="http://schemas.microsoft.com/office/drawing/2010/main" spid="_x0000_s1307"/>
            </a:ext>
            <a:ext uri="{FF2B5EF4-FFF2-40B4-BE49-F238E27FC236}">
              <a16:creationId xmlns:a16="http://schemas.microsoft.com/office/drawing/2014/main" id="{00000000-0008-0000-0E00-00001C010000}"/>
            </a:ext>
          </a:extLst>
        </xdr:cNvPr>
        <xdr:cNvSpPr/>
      </xdr:nvSpPr>
      <xdr:spPr bwMode="auto">
        <a:xfrm>
          <a:off x="3562350" y="15087600"/>
          <a:ext cx="152400" cy="152400"/>
        </a:xfrm>
        <a:prstGeom prst="rect">
          <a:avLst/>
        </a:prstGeom>
        <a:noFill/>
        <a:ln w="9525">
          <a:miter lim="800000"/>
          <a:headEnd/>
          <a:tailEnd/>
        </a:ln>
      </xdr:spPr>
    </xdr:sp>
    <xdr:clientData/>
  </xdr:twoCellAnchor>
  <xdr:twoCellAnchor editAs="oneCell">
    <xdr:from>
      <xdr:col>0</xdr:col>
      <xdr:colOff>0</xdr:colOff>
      <xdr:row>73</xdr:row>
      <xdr:rowOff>0</xdr:rowOff>
    </xdr:from>
    <xdr:to>
      <xdr:col>0</xdr:col>
      <xdr:colOff>139700</xdr:colOff>
      <xdr:row>73</xdr:row>
      <xdr:rowOff>139700</xdr:rowOff>
    </xdr:to>
    <xdr:sp macro="" textlink="">
      <xdr:nvSpPr>
        <xdr:cNvPr id="285" name="Control 284" hidden="1">
          <a:extLst>
            <a:ext uri="{63B3BB69-23CF-44E3-9099-C40C66FF867C}">
              <a14:compatExt xmlns:a14="http://schemas.microsoft.com/office/drawing/2010/main" spid="_x0000_s1308"/>
            </a:ext>
            <a:ext uri="{FF2B5EF4-FFF2-40B4-BE49-F238E27FC236}">
              <a16:creationId xmlns:a16="http://schemas.microsoft.com/office/drawing/2014/main" id="{00000000-0008-0000-0E00-00001D010000}"/>
            </a:ext>
          </a:extLst>
        </xdr:cNvPr>
        <xdr:cNvSpPr/>
      </xdr:nvSpPr>
      <xdr:spPr bwMode="auto">
        <a:xfrm>
          <a:off x="0" y="15297150"/>
          <a:ext cx="139700" cy="139700"/>
        </a:xfrm>
        <a:prstGeom prst="rect">
          <a:avLst/>
        </a:prstGeom>
        <a:noFill/>
        <a:ln w="9525">
          <a:miter lim="800000"/>
          <a:headEnd/>
          <a:tailEnd/>
        </a:ln>
      </xdr:spPr>
    </xdr:sp>
    <xdr:clientData/>
  </xdr:twoCellAnchor>
  <xdr:twoCellAnchor editAs="oneCell">
    <xdr:from>
      <xdr:col>2</xdr:col>
      <xdr:colOff>0</xdr:colOff>
      <xdr:row>73</xdr:row>
      <xdr:rowOff>0</xdr:rowOff>
    </xdr:from>
    <xdr:to>
      <xdr:col>2</xdr:col>
      <xdr:colOff>254000</xdr:colOff>
      <xdr:row>74</xdr:row>
      <xdr:rowOff>82550</xdr:rowOff>
    </xdr:to>
    <xdr:sp macro="" textlink="">
      <xdr:nvSpPr>
        <xdr:cNvPr id="286" name="Control 285" hidden="1">
          <a:extLst>
            <a:ext uri="{63B3BB69-23CF-44E3-9099-C40C66FF867C}">
              <a14:compatExt xmlns:a14="http://schemas.microsoft.com/office/drawing/2010/main" spid="_x0000_s1309"/>
            </a:ext>
            <a:ext uri="{FF2B5EF4-FFF2-40B4-BE49-F238E27FC236}">
              <a16:creationId xmlns:a16="http://schemas.microsoft.com/office/drawing/2014/main" id="{00000000-0008-0000-0E00-00001E010000}"/>
            </a:ext>
          </a:extLst>
        </xdr:cNvPr>
        <xdr:cNvSpPr/>
      </xdr:nvSpPr>
      <xdr:spPr bwMode="auto">
        <a:xfrm>
          <a:off x="3562350" y="15297150"/>
          <a:ext cx="254000" cy="273050"/>
        </a:xfrm>
        <a:prstGeom prst="rect">
          <a:avLst/>
        </a:prstGeom>
        <a:noFill/>
        <a:ln w="9525">
          <a:miter lim="800000"/>
          <a:headEnd/>
          <a:tailEnd/>
        </a:ln>
      </xdr:spPr>
    </xdr:sp>
    <xdr:clientData/>
  </xdr:twoCellAnchor>
  <xdr:twoCellAnchor editAs="oneCell">
    <xdr:from>
      <xdr:col>2</xdr:col>
      <xdr:colOff>0</xdr:colOff>
      <xdr:row>73</xdr:row>
      <xdr:rowOff>0</xdr:rowOff>
    </xdr:from>
    <xdr:to>
      <xdr:col>2</xdr:col>
      <xdr:colOff>152400</xdr:colOff>
      <xdr:row>73</xdr:row>
      <xdr:rowOff>152400</xdr:rowOff>
    </xdr:to>
    <xdr:sp macro="" textlink="">
      <xdr:nvSpPr>
        <xdr:cNvPr id="287" name="Control 286" hidden="1">
          <a:extLst>
            <a:ext uri="{63B3BB69-23CF-44E3-9099-C40C66FF867C}">
              <a14:compatExt xmlns:a14="http://schemas.microsoft.com/office/drawing/2010/main" spid="_x0000_s1310"/>
            </a:ext>
            <a:ext uri="{FF2B5EF4-FFF2-40B4-BE49-F238E27FC236}">
              <a16:creationId xmlns:a16="http://schemas.microsoft.com/office/drawing/2014/main" id="{00000000-0008-0000-0E00-00001F010000}"/>
            </a:ext>
          </a:extLst>
        </xdr:cNvPr>
        <xdr:cNvSpPr/>
      </xdr:nvSpPr>
      <xdr:spPr bwMode="auto">
        <a:xfrm>
          <a:off x="3562350" y="15297150"/>
          <a:ext cx="152400" cy="152400"/>
        </a:xfrm>
        <a:prstGeom prst="rect">
          <a:avLst/>
        </a:prstGeom>
        <a:noFill/>
        <a:ln w="9525">
          <a:miter lim="800000"/>
          <a:headEnd/>
          <a:tailEnd/>
        </a:ln>
      </xdr:spPr>
    </xdr:sp>
    <xdr:clientData/>
  </xdr:twoCellAnchor>
  <xdr:twoCellAnchor editAs="oneCell">
    <xdr:from>
      <xdr:col>2</xdr:col>
      <xdr:colOff>0</xdr:colOff>
      <xdr:row>73</xdr:row>
      <xdr:rowOff>0</xdr:rowOff>
    </xdr:from>
    <xdr:to>
      <xdr:col>2</xdr:col>
      <xdr:colOff>152400</xdr:colOff>
      <xdr:row>73</xdr:row>
      <xdr:rowOff>152400</xdr:rowOff>
    </xdr:to>
    <xdr:sp macro="" textlink="">
      <xdr:nvSpPr>
        <xdr:cNvPr id="288" name="Control 287" hidden="1">
          <a:extLst>
            <a:ext uri="{63B3BB69-23CF-44E3-9099-C40C66FF867C}">
              <a14:compatExt xmlns:a14="http://schemas.microsoft.com/office/drawing/2010/main" spid="_x0000_s1311"/>
            </a:ext>
            <a:ext uri="{FF2B5EF4-FFF2-40B4-BE49-F238E27FC236}">
              <a16:creationId xmlns:a16="http://schemas.microsoft.com/office/drawing/2014/main" id="{00000000-0008-0000-0E00-000020010000}"/>
            </a:ext>
          </a:extLst>
        </xdr:cNvPr>
        <xdr:cNvSpPr/>
      </xdr:nvSpPr>
      <xdr:spPr bwMode="auto">
        <a:xfrm>
          <a:off x="3562350" y="15297150"/>
          <a:ext cx="152400" cy="152400"/>
        </a:xfrm>
        <a:prstGeom prst="rect">
          <a:avLst/>
        </a:prstGeom>
        <a:noFill/>
        <a:ln w="9525">
          <a:miter lim="800000"/>
          <a:headEnd/>
          <a:tailEnd/>
        </a:ln>
      </xdr:spPr>
    </xdr:sp>
    <xdr:clientData/>
  </xdr:twoCellAnchor>
  <xdr:twoCellAnchor editAs="oneCell">
    <xdr:from>
      <xdr:col>0</xdr:col>
      <xdr:colOff>0</xdr:colOff>
      <xdr:row>74</xdr:row>
      <xdr:rowOff>0</xdr:rowOff>
    </xdr:from>
    <xdr:to>
      <xdr:col>0</xdr:col>
      <xdr:colOff>139700</xdr:colOff>
      <xdr:row>74</xdr:row>
      <xdr:rowOff>139700</xdr:rowOff>
    </xdr:to>
    <xdr:sp macro="" textlink="">
      <xdr:nvSpPr>
        <xdr:cNvPr id="289" name="Control 288" hidden="1">
          <a:extLst>
            <a:ext uri="{63B3BB69-23CF-44E3-9099-C40C66FF867C}">
              <a14:compatExt xmlns:a14="http://schemas.microsoft.com/office/drawing/2010/main" spid="_x0000_s1312"/>
            </a:ext>
            <a:ext uri="{FF2B5EF4-FFF2-40B4-BE49-F238E27FC236}">
              <a16:creationId xmlns:a16="http://schemas.microsoft.com/office/drawing/2014/main" id="{00000000-0008-0000-0E00-000021010000}"/>
            </a:ext>
          </a:extLst>
        </xdr:cNvPr>
        <xdr:cNvSpPr/>
      </xdr:nvSpPr>
      <xdr:spPr bwMode="auto">
        <a:xfrm>
          <a:off x="0" y="15506700"/>
          <a:ext cx="139700" cy="139700"/>
        </a:xfrm>
        <a:prstGeom prst="rect">
          <a:avLst/>
        </a:prstGeom>
        <a:noFill/>
        <a:ln w="9525">
          <a:miter lim="800000"/>
          <a:headEnd/>
          <a:tailEnd/>
        </a:ln>
      </xdr:spPr>
    </xdr:sp>
    <xdr:clientData/>
  </xdr:twoCellAnchor>
  <xdr:twoCellAnchor editAs="oneCell">
    <xdr:from>
      <xdr:col>2</xdr:col>
      <xdr:colOff>0</xdr:colOff>
      <xdr:row>74</xdr:row>
      <xdr:rowOff>0</xdr:rowOff>
    </xdr:from>
    <xdr:to>
      <xdr:col>2</xdr:col>
      <xdr:colOff>254000</xdr:colOff>
      <xdr:row>75</xdr:row>
      <xdr:rowOff>82550</xdr:rowOff>
    </xdr:to>
    <xdr:sp macro="" textlink="">
      <xdr:nvSpPr>
        <xdr:cNvPr id="290" name="Control 289" hidden="1">
          <a:extLst>
            <a:ext uri="{63B3BB69-23CF-44E3-9099-C40C66FF867C}">
              <a14:compatExt xmlns:a14="http://schemas.microsoft.com/office/drawing/2010/main" spid="_x0000_s1313"/>
            </a:ext>
            <a:ext uri="{FF2B5EF4-FFF2-40B4-BE49-F238E27FC236}">
              <a16:creationId xmlns:a16="http://schemas.microsoft.com/office/drawing/2014/main" id="{00000000-0008-0000-0E00-000022010000}"/>
            </a:ext>
          </a:extLst>
        </xdr:cNvPr>
        <xdr:cNvSpPr/>
      </xdr:nvSpPr>
      <xdr:spPr bwMode="auto">
        <a:xfrm>
          <a:off x="3562350" y="15506700"/>
          <a:ext cx="254000" cy="273050"/>
        </a:xfrm>
        <a:prstGeom prst="rect">
          <a:avLst/>
        </a:prstGeom>
        <a:noFill/>
        <a:ln w="9525">
          <a:miter lim="800000"/>
          <a:headEnd/>
          <a:tailEnd/>
        </a:ln>
      </xdr:spPr>
    </xdr:sp>
    <xdr:clientData/>
  </xdr:twoCellAnchor>
  <xdr:twoCellAnchor editAs="oneCell">
    <xdr:from>
      <xdr:col>2</xdr:col>
      <xdr:colOff>0</xdr:colOff>
      <xdr:row>74</xdr:row>
      <xdr:rowOff>0</xdr:rowOff>
    </xdr:from>
    <xdr:to>
      <xdr:col>2</xdr:col>
      <xdr:colOff>152400</xdr:colOff>
      <xdr:row>74</xdr:row>
      <xdr:rowOff>152400</xdr:rowOff>
    </xdr:to>
    <xdr:sp macro="" textlink="">
      <xdr:nvSpPr>
        <xdr:cNvPr id="291" name="Control 290" hidden="1">
          <a:extLst>
            <a:ext uri="{63B3BB69-23CF-44E3-9099-C40C66FF867C}">
              <a14:compatExt xmlns:a14="http://schemas.microsoft.com/office/drawing/2010/main" spid="_x0000_s1314"/>
            </a:ext>
            <a:ext uri="{FF2B5EF4-FFF2-40B4-BE49-F238E27FC236}">
              <a16:creationId xmlns:a16="http://schemas.microsoft.com/office/drawing/2014/main" id="{00000000-0008-0000-0E00-000023010000}"/>
            </a:ext>
          </a:extLst>
        </xdr:cNvPr>
        <xdr:cNvSpPr/>
      </xdr:nvSpPr>
      <xdr:spPr bwMode="auto">
        <a:xfrm>
          <a:off x="3562350" y="15506700"/>
          <a:ext cx="152400" cy="152400"/>
        </a:xfrm>
        <a:prstGeom prst="rect">
          <a:avLst/>
        </a:prstGeom>
        <a:noFill/>
        <a:ln w="9525">
          <a:miter lim="800000"/>
          <a:headEnd/>
          <a:tailEnd/>
        </a:ln>
      </xdr:spPr>
    </xdr:sp>
    <xdr:clientData/>
  </xdr:twoCellAnchor>
  <xdr:twoCellAnchor editAs="oneCell">
    <xdr:from>
      <xdr:col>2</xdr:col>
      <xdr:colOff>0</xdr:colOff>
      <xdr:row>74</xdr:row>
      <xdr:rowOff>0</xdr:rowOff>
    </xdr:from>
    <xdr:to>
      <xdr:col>2</xdr:col>
      <xdr:colOff>152400</xdr:colOff>
      <xdr:row>74</xdr:row>
      <xdr:rowOff>152400</xdr:rowOff>
    </xdr:to>
    <xdr:sp macro="" textlink="">
      <xdr:nvSpPr>
        <xdr:cNvPr id="292" name="Control 291" hidden="1">
          <a:extLst>
            <a:ext uri="{63B3BB69-23CF-44E3-9099-C40C66FF867C}">
              <a14:compatExt xmlns:a14="http://schemas.microsoft.com/office/drawing/2010/main" spid="_x0000_s1315"/>
            </a:ext>
            <a:ext uri="{FF2B5EF4-FFF2-40B4-BE49-F238E27FC236}">
              <a16:creationId xmlns:a16="http://schemas.microsoft.com/office/drawing/2014/main" id="{00000000-0008-0000-0E00-000024010000}"/>
            </a:ext>
          </a:extLst>
        </xdr:cNvPr>
        <xdr:cNvSpPr/>
      </xdr:nvSpPr>
      <xdr:spPr bwMode="auto">
        <a:xfrm>
          <a:off x="3562350" y="15506700"/>
          <a:ext cx="152400" cy="152400"/>
        </a:xfrm>
        <a:prstGeom prst="rect">
          <a:avLst/>
        </a:prstGeom>
        <a:noFill/>
        <a:ln w="9525">
          <a:miter lim="800000"/>
          <a:headEnd/>
          <a:tailEnd/>
        </a:ln>
      </xdr:spPr>
    </xdr:sp>
    <xdr:clientData/>
  </xdr:twoCellAnchor>
  <xdr:twoCellAnchor editAs="oneCell">
    <xdr:from>
      <xdr:col>0</xdr:col>
      <xdr:colOff>0</xdr:colOff>
      <xdr:row>75</xdr:row>
      <xdr:rowOff>0</xdr:rowOff>
    </xdr:from>
    <xdr:to>
      <xdr:col>0</xdr:col>
      <xdr:colOff>139700</xdr:colOff>
      <xdr:row>75</xdr:row>
      <xdr:rowOff>139700</xdr:rowOff>
    </xdr:to>
    <xdr:sp macro="" textlink="">
      <xdr:nvSpPr>
        <xdr:cNvPr id="293" name="Control 292" hidden="1">
          <a:extLst>
            <a:ext uri="{63B3BB69-23CF-44E3-9099-C40C66FF867C}">
              <a14:compatExt xmlns:a14="http://schemas.microsoft.com/office/drawing/2010/main" spid="_x0000_s1316"/>
            </a:ext>
            <a:ext uri="{FF2B5EF4-FFF2-40B4-BE49-F238E27FC236}">
              <a16:creationId xmlns:a16="http://schemas.microsoft.com/office/drawing/2014/main" id="{00000000-0008-0000-0E00-000025010000}"/>
            </a:ext>
          </a:extLst>
        </xdr:cNvPr>
        <xdr:cNvSpPr/>
      </xdr:nvSpPr>
      <xdr:spPr bwMode="auto">
        <a:xfrm>
          <a:off x="0" y="15716250"/>
          <a:ext cx="139700" cy="139700"/>
        </a:xfrm>
        <a:prstGeom prst="rect">
          <a:avLst/>
        </a:prstGeom>
        <a:noFill/>
        <a:ln w="9525">
          <a:miter lim="800000"/>
          <a:headEnd/>
          <a:tailEnd/>
        </a:ln>
      </xdr:spPr>
    </xdr:sp>
    <xdr:clientData/>
  </xdr:twoCellAnchor>
  <xdr:twoCellAnchor editAs="oneCell">
    <xdr:from>
      <xdr:col>2</xdr:col>
      <xdr:colOff>0</xdr:colOff>
      <xdr:row>75</xdr:row>
      <xdr:rowOff>0</xdr:rowOff>
    </xdr:from>
    <xdr:to>
      <xdr:col>2</xdr:col>
      <xdr:colOff>254000</xdr:colOff>
      <xdr:row>76</xdr:row>
      <xdr:rowOff>82550</xdr:rowOff>
    </xdr:to>
    <xdr:sp macro="" textlink="">
      <xdr:nvSpPr>
        <xdr:cNvPr id="294" name="Control 293" hidden="1">
          <a:extLst>
            <a:ext uri="{63B3BB69-23CF-44E3-9099-C40C66FF867C}">
              <a14:compatExt xmlns:a14="http://schemas.microsoft.com/office/drawing/2010/main" spid="_x0000_s1317"/>
            </a:ext>
            <a:ext uri="{FF2B5EF4-FFF2-40B4-BE49-F238E27FC236}">
              <a16:creationId xmlns:a16="http://schemas.microsoft.com/office/drawing/2014/main" id="{00000000-0008-0000-0E00-000026010000}"/>
            </a:ext>
          </a:extLst>
        </xdr:cNvPr>
        <xdr:cNvSpPr/>
      </xdr:nvSpPr>
      <xdr:spPr bwMode="auto">
        <a:xfrm>
          <a:off x="3562350" y="15716250"/>
          <a:ext cx="254000" cy="273050"/>
        </a:xfrm>
        <a:prstGeom prst="rect">
          <a:avLst/>
        </a:prstGeom>
        <a:noFill/>
        <a:ln w="9525">
          <a:miter lim="800000"/>
          <a:headEnd/>
          <a:tailEnd/>
        </a:ln>
      </xdr:spPr>
    </xdr:sp>
    <xdr:clientData/>
  </xdr:twoCellAnchor>
  <xdr:twoCellAnchor editAs="oneCell">
    <xdr:from>
      <xdr:col>2</xdr:col>
      <xdr:colOff>0</xdr:colOff>
      <xdr:row>75</xdr:row>
      <xdr:rowOff>0</xdr:rowOff>
    </xdr:from>
    <xdr:to>
      <xdr:col>2</xdr:col>
      <xdr:colOff>152400</xdr:colOff>
      <xdr:row>75</xdr:row>
      <xdr:rowOff>152400</xdr:rowOff>
    </xdr:to>
    <xdr:sp macro="" textlink="">
      <xdr:nvSpPr>
        <xdr:cNvPr id="295" name="Control 294" hidden="1">
          <a:extLst>
            <a:ext uri="{63B3BB69-23CF-44E3-9099-C40C66FF867C}">
              <a14:compatExt xmlns:a14="http://schemas.microsoft.com/office/drawing/2010/main" spid="_x0000_s1318"/>
            </a:ext>
            <a:ext uri="{FF2B5EF4-FFF2-40B4-BE49-F238E27FC236}">
              <a16:creationId xmlns:a16="http://schemas.microsoft.com/office/drawing/2014/main" id="{00000000-0008-0000-0E00-000027010000}"/>
            </a:ext>
          </a:extLst>
        </xdr:cNvPr>
        <xdr:cNvSpPr/>
      </xdr:nvSpPr>
      <xdr:spPr bwMode="auto">
        <a:xfrm>
          <a:off x="3562350" y="15716250"/>
          <a:ext cx="152400" cy="152400"/>
        </a:xfrm>
        <a:prstGeom prst="rect">
          <a:avLst/>
        </a:prstGeom>
        <a:noFill/>
        <a:ln w="9525">
          <a:miter lim="800000"/>
          <a:headEnd/>
          <a:tailEnd/>
        </a:ln>
      </xdr:spPr>
    </xdr:sp>
    <xdr:clientData/>
  </xdr:twoCellAnchor>
  <xdr:twoCellAnchor editAs="oneCell">
    <xdr:from>
      <xdr:col>2</xdr:col>
      <xdr:colOff>0</xdr:colOff>
      <xdr:row>75</xdr:row>
      <xdr:rowOff>0</xdr:rowOff>
    </xdr:from>
    <xdr:to>
      <xdr:col>2</xdr:col>
      <xdr:colOff>152400</xdr:colOff>
      <xdr:row>75</xdr:row>
      <xdr:rowOff>152400</xdr:rowOff>
    </xdr:to>
    <xdr:sp macro="" textlink="">
      <xdr:nvSpPr>
        <xdr:cNvPr id="296" name="Control 295" hidden="1">
          <a:extLst>
            <a:ext uri="{63B3BB69-23CF-44E3-9099-C40C66FF867C}">
              <a14:compatExt xmlns:a14="http://schemas.microsoft.com/office/drawing/2010/main" spid="_x0000_s1319"/>
            </a:ext>
            <a:ext uri="{FF2B5EF4-FFF2-40B4-BE49-F238E27FC236}">
              <a16:creationId xmlns:a16="http://schemas.microsoft.com/office/drawing/2014/main" id="{00000000-0008-0000-0E00-000028010000}"/>
            </a:ext>
          </a:extLst>
        </xdr:cNvPr>
        <xdr:cNvSpPr/>
      </xdr:nvSpPr>
      <xdr:spPr bwMode="auto">
        <a:xfrm>
          <a:off x="3562350" y="15716250"/>
          <a:ext cx="152400" cy="152400"/>
        </a:xfrm>
        <a:prstGeom prst="rect">
          <a:avLst/>
        </a:prstGeom>
        <a:noFill/>
        <a:ln w="9525">
          <a:miter lim="800000"/>
          <a:headEnd/>
          <a:tailEnd/>
        </a:ln>
      </xdr:spPr>
    </xdr:sp>
    <xdr:clientData/>
  </xdr:twoCellAnchor>
  <xdr:twoCellAnchor editAs="oneCell">
    <xdr:from>
      <xdr:col>0</xdr:col>
      <xdr:colOff>0</xdr:colOff>
      <xdr:row>76</xdr:row>
      <xdr:rowOff>0</xdr:rowOff>
    </xdr:from>
    <xdr:to>
      <xdr:col>0</xdr:col>
      <xdr:colOff>139700</xdr:colOff>
      <xdr:row>76</xdr:row>
      <xdr:rowOff>139700</xdr:rowOff>
    </xdr:to>
    <xdr:sp macro="" textlink="">
      <xdr:nvSpPr>
        <xdr:cNvPr id="297" name="Control 296" hidden="1">
          <a:extLst>
            <a:ext uri="{63B3BB69-23CF-44E3-9099-C40C66FF867C}">
              <a14:compatExt xmlns:a14="http://schemas.microsoft.com/office/drawing/2010/main" spid="_x0000_s1320"/>
            </a:ext>
            <a:ext uri="{FF2B5EF4-FFF2-40B4-BE49-F238E27FC236}">
              <a16:creationId xmlns:a16="http://schemas.microsoft.com/office/drawing/2014/main" id="{00000000-0008-0000-0E00-000029010000}"/>
            </a:ext>
          </a:extLst>
        </xdr:cNvPr>
        <xdr:cNvSpPr/>
      </xdr:nvSpPr>
      <xdr:spPr bwMode="auto">
        <a:xfrm>
          <a:off x="0" y="15925800"/>
          <a:ext cx="139700" cy="139700"/>
        </a:xfrm>
        <a:prstGeom prst="rect">
          <a:avLst/>
        </a:prstGeom>
        <a:noFill/>
        <a:ln w="9525">
          <a:miter lim="800000"/>
          <a:headEnd/>
          <a:tailEnd/>
        </a:ln>
      </xdr:spPr>
    </xdr:sp>
    <xdr:clientData/>
  </xdr:twoCellAnchor>
  <xdr:twoCellAnchor editAs="oneCell">
    <xdr:from>
      <xdr:col>2</xdr:col>
      <xdr:colOff>0</xdr:colOff>
      <xdr:row>76</xdr:row>
      <xdr:rowOff>0</xdr:rowOff>
    </xdr:from>
    <xdr:to>
      <xdr:col>2</xdr:col>
      <xdr:colOff>254000</xdr:colOff>
      <xdr:row>77</xdr:row>
      <xdr:rowOff>82550</xdr:rowOff>
    </xdr:to>
    <xdr:sp macro="" textlink="">
      <xdr:nvSpPr>
        <xdr:cNvPr id="298" name="Control 297" hidden="1">
          <a:extLst>
            <a:ext uri="{63B3BB69-23CF-44E3-9099-C40C66FF867C}">
              <a14:compatExt xmlns:a14="http://schemas.microsoft.com/office/drawing/2010/main" spid="_x0000_s1321"/>
            </a:ext>
            <a:ext uri="{FF2B5EF4-FFF2-40B4-BE49-F238E27FC236}">
              <a16:creationId xmlns:a16="http://schemas.microsoft.com/office/drawing/2014/main" id="{00000000-0008-0000-0E00-00002A010000}"/>
            </a:ext>
          </a:extLst>
        </xdr:cNvPr>
        <xdr:cNvSpPr/>
      </xdr:nvSpPr>
      <xdr:spPr bwMode="auto">
        <a:xfrm>
          <a:off x="3562350" y="15925800"/>
          <a:ext cx="254000" cy="273050"/>
        </a:xfrm>
        <a:prstGeom prst="rect">
          <a:avLst/>
        </a:prstGeom>
        <a:noFill/>
        <a:ln w="9525">
          <a:miter lim="800000"/>
          <a:headEnd/>
          <a:tailEnd/>
        </a:ln>
      </xdr:spPr>
    </xdr:sp>
    <xdr:clientData/>
  </xdr:twoCellAnchor>
  <xdr:twoCellAnchor editAs="oneCell">
    <xdr:from>
      <xdr:col>2</xdr:col>
      <xdr:colOff>0</xdr:colOff>
      <xdr:row>76</xdr:row>
      <xdr:rowOff>0</xdr:rowOff>
    </xdr:from>
    <xdr:to>
      <xdr:col>2</xdr:col>
      <xdr:colOff>152400</xdr:colOff>
      <xdr:row>76</xdr:row>
      <xdr:rowOff>152400</xdr:rowOff>
    </xdr:to>
    <xdr:sp macro="" textlink="">
      <xdr:nvSpPr>
        <xdr:cNvPr id="299" name="Control 298" hidden="1">
          <a:extLst>
            <a:ext uri="{63B3BB69-23CF-44E3-9099-C40C66FF867C}">
              <a14:compatExt xmlns:a14="http://schemas.microsoft.com/office/drawing/2010/main" spid="_x0000_s1322"/>
            </a:ext>
            <a:ext uri="{FF2B5EF4-FFF2-40B4-BE49-F238E27FC236}">
              <a16:creationId xmlns:a16="http://schemas.microsoft.com/office/drawing/2014/main" id="{00000000-0008-0000-0E00-00002B010000}"/>
            </a:ext>
          </a:extLst>
        </xdr:cNvPr>
        <xdr:cNvSpPr/>
      </xdr:nvSpPr>
      <xdr:spPr bwMode="auto">
        <a:xfrm>
          <a:off x="3562350" y="15925800"/>
          <a:ext cx="152400" cy="152400"/>
        </a:xfrm>
        <a:prstGeom prst="rect">
          <a:avLst/>
        </a:prstGeom>
        <a:noFill/>
        <a:ln w="9525">
          <a:miter lim="800000"/>
          <a:headEnd/>
          <a:tailEnd/>
        </a:ln>
      </xdr:spPr>
    </xdr:sp>
    <xdr:clientData/>
  </xdr:twoCellAnchor>
  <xdr:twoCellAnchor editAs="oneCell">
    <xdr:from>
      <xdr:col>2</xdr:col>
      <xdr:colOff>0</xdr:colOff>
      <xdr:row>76</xdr:row>
      <xdr:rowOff>0</xdr:rowOff>
    </xdr:from>
    <xdr:to>
      <xdr:col>2</xdr:col>
      <xdr:colOff>152400</xdr:colOff>
      <xdr:row>76</xdr:row>
      <xdr:rowOff>152400</xdr:rowOff>
    </xdr:to>
    <xdr:sp macro="" textlink="">
      <xdr:nvSpPr>
        <xdr:cNvPr id="300" name="Control 299" hidden="1">
          <a:extLst>
            <a:ext uri="{63B3BB69-23CF-44E3-9099-C40C66FF867C}">
              <a14:compatExt xmlns:a14="http://schemas.microsoft.com/office/drawing/2010/main" spid="_x0000_s1323"/>
            </a:ext>
            <a:ext uri="{FF2B5EF4-FFF2-40B4-BE49-F238E27FC236}">
              <a16:creationId xmlns:a16="http://schemas.microsoft.com/office/drawing/2014/main" id="{00000000-0008-0000-0E00-00002C010000}"/>
            </a:ext>
          </a:extLst>
        </xdr:cNvPr>
        <xdr:cNvSpPr/>
      </xdr:nvSpPr>
      <xdr:spPr bwMode="auto">
        <a:xfrm>
          <a:off x="3562350" y="15925800"/>
          <a:ext cx="152400" cy="152400"/>
        </a:xfrm>
        <a:prstGeom prst="rect">
          <a:avLst/>
        </a:prstGeom>
        <a:noFill/>
        <a:ln w="9525">
          <a:miter lim="800000"/>
          <a:headEnd/>
          <a:tailEnd/>
        </a:ln>
      </xdr:spPr>
    </xdr:sp>
    <xdr:clientData/>
  </xdr:twoCellAnchor>
  <xdr:twoCellAnchor editAs="oneCell">
    <xdr:from>
      <xdr:col>0</xdr:col>
      <xdr:colOff>0</xdr:colOff>
      <xdr:row>77</xdr:row>
      <xdr:rowOff>0</xdr:rowOff>
    </xdr:from>
    <xdr:to>
      <xdr:col>0</xdr:col>
      <xdr:colOff>139700</xdr:colOff>
      <xdr:row>77</xdr:row>
      <xdr:rowOff>139700</xdr:rowOff>
    </xdr:to>
    <xdr:sp macro="" textlink="">
      <xdr:nvSpPr>
        <xdr:cNvPr id="301" name="Control 300" hidden="1">
          <a:extLst>
            <a:ext uri="{63B3BB69-23CF-44E3-9099-C40C66FF867C}">
              <a14:compatExt xmlns:a14="http://schemas.microsoft.com/office/drawing/2010/main" spid="_x0000_s1324"/>
            </a:ext>
            <a:ext uri="{FF2B5EF4-FFF2-40B4-BE49-F238E27FC236}">
              <a16:creationId xmlns:a16="http://schemas.microsoft.com/office/drawing/2014/main" id="{00000000-0008-0000-0E00-00002D010000}"/>
            </a:ext>
          </a:extLst>
        </xdr:cNvPr>
        <xdr:cNvSpPr/>
      </xdr:nvSpPr>
      <xdr:spPr bwMode="auto">
        <a:xfrm>
          <a:off x="0" y="16135350"/>
          <a:ext cx="139700" cy="139700"/>
        </a:xfrm>
        <a:prstGeom prst="rect">
          <a:avLst/>
        </a:prstGeom>
        <a:noFill/>
        <a:ln w="9525">
          <a:miter lim="800000"/>
          <a:headEnd/>
          <a:tailEnd/>
        </a:ln>
      </xdr:spPr>
    </xdr:sp>
    <xdr:clientData/>
  </xdr:twoCellAnchor>
  <xdr:twoCellAnchor editAs="oneCell">
    <xdr:from>
      <xdr:col>2</xdr:col>
      <xdr:colOff>0</xdr:colOff>
      <xdr:row>77</xdr:row>
      <xdr:rowOff>0</xdr:rowOff>
    </xdr:from>
    <xdr:to>
      <xdr:col>2</xdr:col>
      <xdr:colOff>254000</xdr:colOff>
      <xdr:row>78</xdr:row>
      <xdr:rowOff>82550</xdr:rowOff>
    </xdr:to>
    <xdr:sp macro="" textlink="">
      <xdr:nvSpPr>
        <xdr:cNvPr id="302" name="Control 301" hidden="1">
          <a:extLst>
            <a:ext uri="{63B3BB69-23CF-44E3-9099-C40C66FF867C}">
              <a14:compatExt xmlns:a14="http://schemas.microsoft.com/office/drawing/2010/main" spid="_x0000_s1325"/>
            </a:ext>
            <a:ext uri="{FF2B5EF4-FFF2-40B4-BE49-F238E27FC236}">
              <a16:creationId xmlns:a16="http://schemas.microsoft.com/office/drawing/2014/main" id="{00000000-0008-0000-0E00-00002E010000}"/>
            </a:ext>
          </a:extLst>
        </xdr:cNvPr>
        <xdr:cNvSpPr/>
      </xdr:nvSpPr>
      <xdr:spPr bwMode="auto">
        <a:xfrm>
          <a:off x="3562350" y="16135350"/>
          <a:ext cx="254000" cy="273050"/>
        </a:xfrm>
        <a:prstGeom prst="rect">
          <a:avLst/>
        </a:prstGeom>
        <a:noFill/>
        <a:ln w="9525">
          <a:miter lim="800000"/>
          <a:headEnd/>
          <a:tailEnd/>
        </a:ln>
      </xdr:spPr>
    </xdr:sp>
    <xdr:clientData/>
  </xdr:twoCellAnchor>
  <xdr:twoCellAnchor editAs="oneCell">
    <xdr:from>
      <xdr:col>2</xdr:col>
      <xdr:colOff>0</xdr:colOff>
      <xdr:row>77</xdr:row>
      <xdr:rowOff>0</xdr:rowOff>
    </xdr:from>
    <xdr:to>
      <xdr:col>2</xdr:col>
      <xdr:colOff>152400</xdr:colOff>
      <xdr:row>77</xdr:row>
      <xdr:rowOff>152400</xdr:rowOff>
    </xdr:to>
    <xdr:sp macro="" textlink="">
      <xdr:nvSpPr>
        <xdr:cNvPr id="303" name="Control 302" hidden="1">
          <a:extLst>
            <a:ext uri="{63B3BB69-23CF-44E3-9099-C40C66FF867C}">
              <a14:compatExt xmlns:a14="http://schemas.microsoft.com/office/drawing/2010/main" spid="_x0000_s1326"/>
            </a:ext>
            <a:ext uri="{FF2B5EF4-FFF2-40B4-BE49-F238E27FC236}">
              <a16:creationId xmlns:a16="http://schemas.microsoft.com/office/drawing/2014/main" id="{00000000-0008-0000-0E00-00002F010000}"/>
            </a:ext>
          </a:extLst>
        </xdr:cNvPr>
        <xdr:cNvSpPr/>
      </xdr:nvSpPr>
      <xdr:spPr bwMode="auto">
        <a:xfrm>
          <a:off x="3562350" y="16135350"/>
          <a:ext cx="152400" cy="152400"/>
        </a:xfrm>
        <a:prstGeom prst="rect">
          <a:avLst/>
        </a:prstGeom>
        <a:noFill/>
        <a:ln w="9525">
          <a:miter lim="800000"/>
          <a:headEnd/>
          <a:tailEnd/>
        </a:ln>
      </xdr:spPr>
    </xdr:sp>
    <xdr:clientData/>
  </xdr:twoCellAnchor>
  <xdr:twoCellAnchor editAs="oneCell">
    <xdr:from>
      <xdr:col>2</xdr:col>
      <xdr:colOff>0</xdr:colOff>
      <xdr:row>77</xdr:row>
      <xdr:rowOff>0</xdr:rowOff>
    </xdr:from>
    <xdr:to>
      <xdr:col>2</xdr:col>
      <xdr:colOff>152400</xdr:colOff>
      <xdr:row>77</xdr:row>
      <xdr:rowOff>152400</xdr:rowOff>
    </xdr:to>
    <xdr:sp macro="" textlink="">
      <xdr:nvSpPr>
        <xdr:cNvPr id="304" name="Control 303" hidden="1">
          <a:extLst>
            <a:ext uri="{63B3BB69-23CF-44E3-9099-C40C66FF867C}">
              <a14:compatExt xmlns:a14="http://schemas.microsoft.com/office/drawing/2010/main" spid="_x0000_s1327"/>
            </a:ext>
            <a:ext uri="{FF2B5EF4-FFF2-40B4-BE49-F238E27FC236}">
              <a16:creationId xmlns:a16="http://schemas.microsoft.com/office/drawing/2014/main" id="{00000000-0008-0000-0E00-000030010000}"/>
            </a:ext>
          </a:extLst>
        </xdr:cNvPr>
        <xdr:cNvSpPr/>
      </xdr:nvSpPr>
      <xdr:spPr bwMode="auto">
        <a:xfrm>
          <a:off x="3562350" y="16135350"/>
          <a:ext cx="152400" cy="152400"/>
        </a:xfrm>
        <a:prstGeom prst="rect">
          <a:avLst/>
        </a:prstGeom>
        <a:noFill/>
        <a:ln w="9525">
          <a:miter lim="800000"/>
          <a:headEnd/>
          <a:tailEnd/>
        </a:ln>
      </xdr:spPr>
    </xdr:sp>
    <xdr:clientData/>
  </xdr:twoCellAnchor>
  <xdr:twoCellAnchor editAs="oneCell">
    <xdr:from>
      <xdr:col>0</xdr:col>
      <xdr:colOff>0</xdr:colOff>
      <xdr:row>78</xdr:row>
      <xdr:rowOff>0</xdr:rowOff>
    </xdr:from>
    <xdr:to>
      <xdr:col>0</xdr:col>
      <xdr:colOff>139700</xdr:colOff>
      <xdr:row>78</xdr:row>
      <xdr:rowOff>139700</xdr:rowOff>
    </xdr:to>
    <xdr:sp macro="" textlink="">
      <xdr:nvSpPr>
        <xdr:cNvPr id="305" name="Control 304" hidden="1">
          <a:extLst>
            <a:ext uri="{63B3BB69-23CF-44E3-9099-C40C66FF867C}">
              <a14:compatExt xmlns:a14="http://schemas.microsoft.com/office/drawing/2010/main" spid="_x0000_s1328"/>
            </a:ext>
            <a:ext uri="{FF2B5EF4-FFF2-40B4-BE49-F238E27FC236}">
              <a16:creationId xmlns:a16="http://schemas.microsoft.com/office/drawing/2014/main" id="{00000000-0008-0000-0E00-000031010000}"/>
            </a:ext>
          </a:extLst>
        </xdr:cNvPr>
        <xdr:cNvSpPr/>
      </xdr:nvSpPr>
      <xdr:spPr bwMode="auto">
        <a:xfrm>
          <a:off x="0" y="16344900"/>
          <a:ext cx="139700" cy="139700"/>
        </a:xfrm>
        <a:prstGeom prst="rect">
          <a:avLst/>
        </a:prstGeom>
        <a:noFill/>
        <a:ln w="9525">
          <a:miter lim="800000"/>
          <a:headEnd/>
          <a:tailEnd/>
        </a:ln>
      </xdr:spPr>
    </xdr:sp>
    <xdr:clientData/>
  </xdr:twoCellAnchor>
  <xdr:twoCellAnchor editAs="oneCell">
    <xdr:from>
      <xdr:col>2</xdr:col>
      <xdr:colOff>0</xdr:colOff>
      <xdr:row>78</xdr:row>
      <xdr:rowOff>0</xdr:rowOff>
    </xdr:from>
    <xdr:to>
      <xdr:col>2</xdr:col>
      <xdr:colOff>254000</xdr:colOff>
      <xdr:row>79</xdr:row>
      <xdr:rowOff>82550</xdr:rowOff>
    </xdr:to>
    <xdr:sp macro="" textlink="">
      <xdr:nvSpPr>
        <xdr:cNvPr id="306" name="Control 305" hidden="1">
          <a:extLst>
            <a:ext uri="{63B3BB69-23CF-44E3-9099-C40C66FF867C}">
              <a14:compatExt xmlns:a14="http://schemas.microsoft.com/office/drawing/2010/main" spid="_x0000_s1329"/>
            </a:ext>
            <a:ext uri="{FF2B5EF4-FFF2-40B4-BE49-F238E27FC236}">
              <a16:creationId xmlns:a16="http://schemas.microsoft.com/office/drawing/2014/main" id="{00000000-0008-0000-0E00-000032010000}"/>
            </a:ext>
          </a:extLst>
        </xdr:cNvPr>
        <xdr:cNvSpPr/>
      </xdr:nvSpPr>
      <xdr:spPr bwMode="auto">
        <a:xfrm>
          <a:off x="3562350" y="16344900"/>
          <a:ext cx="254000" cy="273050"/>
        </a:xfrm>
        <a:prstGeom prst="rect">
          <a:avLst/>
        </a:prstGeom>
        <a:noFill/>
        <a:ln w="9525">
          <a:miter lim="800000"/>
          <a:headEnd/>
          <a:tailEnd/>
        </a:ln>
      </xdr:spPr>
    </xdr:sp>
    <xdr:clientData/>
  </xdr:twoCellAnchor>
  <xdr:twoCellAnchor editAs="oneCell">
    <xdr:from>
      <xdr:col>2</xdr:col>
      <xdr:colOff>0</xdr:colOff>
      <xdr:row>78</xdr:row>
      <xdr:rowOff>0</xdr:rowOff>
    </xdr:from>
    <xdr:to>
      <xdr:col>2</xdr:col>
      <xdr:colOff>152400</xdr:colOff>
      <xdr:row>78</xdr:row>
      <xdr:rowOff>152400</xdr:rowOff>
    </xdr:to>
    <xdr:sp macro="" textlink="">
      <xdr:nvSpPr>
        <xdr:cNvPr id="307" name="Control 306" hidden="1">
          <a:extLst>
            <a:ext uri="{63B3BB69-23CF-44E3-9099-C40C66FF867C}">
              <a14:compatExt xmlns:a14="http://schemas.microsoft.com/office/drawing/2010/main" spid="_x0000_s1330"/>
            </a:ext>
            <a:ext uri="{FF2B5EF4-FFF2-40B4-BE49-F238E27FC236}">
              <a16:creationId xmlns:a16="http://schemas.microsoft.com/office/drawing/2014/main" id="{00000000-0008-0000-0E00-000033010000}"/>
            </a:ext>
          </a:extLst>
        </xdr:cNvPr>
        <xdr:cNvSpPr/>
      </xdr:nvSpPr>
      <xdr:spPr bwMode="auto">
        <a:xfrm>
          <a:off x="3562350" y="16344900"/>
          <a:ext cx="152400" cy="152400"/>
        </a:xfrm>
        <a:prstGeom prst="rect">
          <a:avLst/>
        </a:prstGeom>
        <a:noFill/>
        <a:ln w="9525">
          <a:miter lim="800000"/>
          <a:headEnd/>
          <a:tailEnd/>
        </a:ln>
      </xdr:spPr>
    </xdr:sp>
    <xdr:clientData/>
  </xdr:twoCellAnchor>
  <xdr:twoCellAnchor editAs="oneCell">
    <xdr:from>
      <xdr:col>2</xdr:col>
      <xdr:colOff>0</xdr:colOff>
      <xdr:row>78</xdr:row>
      <xdr:rowOff>0</xdr:rowOff>
    </xdr:from>
    <xdr:to>
      <xdr:col>2</xdr:col>
      <xdr:colOff>152400</xdr:colOff>
      <xdr:row>78</xdr:row>
      <xdr:rowOff>152400</xdr:rowOff>
    </xdr:to>
    <xdr:sp macro="" textlink="">
      <xdr:nvSpPr>
        <xdr:cNvPr id="308" name="Control 307" hidden="1">
          <a:extLst>
            <a:ext uri="{63B3BB69-23CF-44E3-9099-C40C66FF867C}">
              <a14:compatExt xmlns:a14="http://schemas.microsoft.com/office/drawing/2010/main" spid="_x0000_s1331"/>
            </a:ext>
            <a:ext uri="{FF2B5EF4-FFF2-40B4-BE49-F238E27FC236}">
              <a16:creationId xmlns:a16="http://schemas.microsoft.com/office/drawing/2014/main" id="{00000000-0008-0000-0E00-000034010000}"/>
            </a:ext>
          </a:extLst>
        </xdr:cNvPr>
        <xdr:cNvSpPr/>
      </xdr:nvSpPr>
      <xdr:spPr bwMode="auto">
        <a:xfrm>
          <a:off x="3562350" y="16344900"/>
          <a:ext cx="152400" cy="152400"/>
        </a:xfrm>
        <a:prstGeom prst="rect">
          <a:avLst/>
        </a:prstGeom>
        <a:noFill/>
        <a:ln w="9525">
          <a:miter lim="800000"/>
          <a:headEnd/>
          <a:tailEnd/>
        </a:ln>
      </xdr:spPr>
    </xdr:sp>
    <xdr:clientData/>
  </xdr:twoCellAnchor>
  <xdr:twoCellAnchor editAs="oneCell">
    <xdr:from>
      <xdr:col>0</xdr:col>
      <xdr:colOff>0</xdr:colOff>
      <xdr:row>79</xdr:row>
      <xdr:rowOff>0</xdr:rowOff>
    </xdr:from>
    <xdr:to>
      <xdr:col>0</xdr:col>
      <xdr:colOff>139700</xdr:colOff>
      <xdr:row>79</xdr:row>
      <xdr:rowOff>139700</xdr:rowOff>
    </xdr:to>
    <xdr:sp macro="" textlink="">
      <xdr:nvSpPr>
        <xdr:cNvPr id="309" name="Control 308" hidden="1">
          <a:extLst>
            <a:ext uri="{63B3BB69-23CF-44E3-9099-C40C66FF867C}">
              <a14:compatExt xmlns:a14="http://schemas.microsoft.com/office/drawing/2010/main" spid="_x0000_s1332"/>
            </a:ext>
            <a:ext uri="{FF2B5EF4-FFF2-40B4-BE49-F238E27FC236}">
              <a16:creationId xmlns:a16="http://schemas.microsoft.com/office/drawing/2014/main" id="{00000000-0008-0000-0E00-000035010000}"/>
            </a:ext>
          </a:extLst>
        </xdr:cNvPr>
        <xdr:cNvSpPr/>
      </xdr:nvSpPr>
      <xdr:spPr bwMode="auto">
        <a:xfrm>
          <a:off x="0" y="16554450"/>
          <a:ext cx="139700" cy="139700"/>
        </a:xfrm>
        <a:prstGeom prst="rect">
          <a:avLst/>
        </a:prstGeom>
        <a:noFill/>
        <a:ln w="9525">
          <a:miter lim="800000"/>
          <a:headEnd/>
          <a:tailEnd/>
        </a:ln>
      </xdr:spPr>
    </xdr:sp>
    <xdr:clientData/>
  </xdr:twoCellAnchor>
  <xdr:twoCellAnchor editAs="oneCell">
    <xdr:from>
      <xdr:col>2</xdr:col>
      <xdr:colOff>0</xdr:colOff>
      <xdr:row>79</xdr:row>
      <xdr:rowOff>0</xdr:rowOff>
    </xdr:from>
    <xdr:to>
      <xdr:col>2</xdr:col>
      <xdr:colOff>254000</xdr:colOff>
      <xdr:row>80</xdr:row>
      <xdr:rowOff>82550</xdr:rowOff>
    </xdr:to>
    <xdr:sp macro="" textlink="">
      <xdr:nvSpPr>
        <xdr:cNvPr id="310" name="Control 309" hidden="1">
          <a:extLst>
            <a:ext uri="{63B3BB69-23CF-44E3-9099-C40C66FF867C}">
              <a14:compatExt xmlns:a14="http://schemas.microsoft.com/office/drawing/2010/main" spid="_x0000_s1333"/>
            </a:ext>
            <a:ext uri="{FF2B5EF4-FFF2-40B4-BE49-F238E27FC236}">
              <a16:creationId xmlns:a16="http://schemas.microsoft.com/office/drawing/2014/main" id="{00000000-0008-0000-0E00-000036010000}"/>
            </a:ext>
          </a:extLst>
        </xdr:cNvPr>
        <xdr:cNvSpPr/>
      </xdr:nvSpPr>
      <xdr:spPr bwMode="auto">
        <a:xfrm>
          <a:off x="3562350" y="16554450"/>
          <a:ext cx="254000" cy="273050"/>
        </a:xfrm>
        <a:prstGeom prst="rect">
          <a:avLst/>
        </a:prstGeom>
        <a:noFill/>
        <a:ln w="9525">
          <a:miter lim="800000"/>
          <a:headEnd/>
          <a:tailEnd/>
        </a:ln>
      </xdr:spPr>
    </xdr:sp>
    <xdr:clientData/>
  </xdr:twoCellAnchor>
  <xdr:twoCellAnchor editAs="oneCell">
    <xdr:from>
      <xdr:col>2</xdr:col>
      <xdr:colOff>0</xdr:colOff>
      <xdr:row>79</xdr:row>
      <xdr:rowOff>0</xdr:rowOff>
    </xdr:from>
    <xdr:to>
      <xdr:col>2</xdr:col>
      <xdr:colOff>152400</xdr:colOff>
      <xdr:row>79</xdr:row>
      <xdr:rowOff>152400</xdr:rowOff>
    </xdr:to>
    <xdr:sp macro="" textlink="">
      <xdr:nvSpPr>
        <xdr:cNvPr id="311" name="Control 310" hidden="1">
          <a:extLst>
            <a:ext uri="{63B3BB69-23CF-44E3-9099-C40C66FF867C}">
              <a14:compatExt xmlns:a14="http://schemas.microsoft.com/office/drawing/2010/main" spid="_x0000_s1334"/>
            </a:ext>
            <a:ext uri="{FF2B5EF4-FFF2-40B4-BE49-F238E27FC236}">
              <a16:creationId xmlns:a16="http://schemas.microsoft.com/office/drawing/2014/main" id="{00000000-0008-0000-0E00-000037010000}"/>
            </a:ext>
          </a:extLst>
        </xdr:cNvPr>
        <xdr:cNvSpPr/>
      </xdr:nvSpPr>
      <xdr:spPr bwMode="auto">
        <a:xfrm>
          <a:off x="3562350" y="16554450"/>
          <a:ext cx="152400" cy="152400"/>
        </a:xfrm>
        <a:prstGeom prst="rect">
          <a:avLst/>
        </a:prstGeom>
        <a:noFill/>
        <a:ln w="9525">
          <a:miter lim="800000"/>
          <a:headEnd/>
          <a:tailEnd/>
        </a:ln>
      </xdr:spPr>
    </xdr:sp>
    <xdr:clientData/>
  </xdr:twoCellAnchor>
  <xdr:twoCellAnchor editAs="oneCell">
    <xdr:from>
      <xdr:col>2</xdr:col>
      <xdr:colOff>0</xdr:colOff>
      <xdr:row>79</xdr:row>
      <xdr:rowOff>0</xdr:rowOff>
    </xdr:from>
    <xdr:to>
      <xdr:col>2</xdr:col>
      <xdr:colOff>152400</xdr:colOff>
      <xdr:row>79</xdr:row>
      <xdr:rowOff>152400</xdr:rowOff>
    </xdr:to>
    <xdr:sp macro="" textlink="">
      <xdr:nvSpPr>
        <xdr:cNvPr id="312" name="Control 311" hidden="1">
          <a:extLst>
            <a:ext uri="{63B3BB69-23CF-44E3-9099-C40C66FF867C}">
              <a14:compatExt xmlns:a14="http://schemas.microsoft.com/office/drawing/2010/main" spid="_x0000_s1335"/>
            </a:ext>
            <a:ext uri="{FF2B5EF4-FFF2-40B4-BE49-F238E27FC236}">
              <a16:creationId xmlns:a16="http://schemas.microsoft.com/office/drawing/2014/main" id="{00000000-0008-0000-0E00-000038010000}"/>
            </a:ext>
          </a:extLst>
        </xdr:cNvPr>
        <xdr:cNvSpPr/>
      </xdr:nvSpPr>
      <xdr:spPr bwMode="auto">
        <a:xfrm>
          <a:off x="3562350" y="16554450"/>
          <a:ext cx="152400" cy="152400"/>
        </a:xfrm>
        <a:prstGeom prst="rect">
          <a:avLst/>
        </a:prstGeom>
        <a:noFill/>
        <a:ln w="9525">
          <a:miter lim="800000"/>
          <a:headEnd/>
          <a:tailEnd/>
        </a:ln>
      </xdr:spPr>
    </xdr:sp>
    <xdr:clientData/>
  </xdr:twoCellAnchor>
  <xdr:twoCellAnchor editAs="oneCell">
    <xdr:from>
      <xdr:col>0</xdr:col>
      <xdr:colOff>0</xdr:colOff>
      <xdr:row>80</xdr:row>
      <xdr:rowOff>0</xdr:rowOff>
    </xdr:from>
    <xdr:to>
      <xdr:col>0</xdr:col>
      <xdr:colOff>139700</xdr:colOff>
      <xdr:row>80</xdr:row>
      <xdr:rowOff>139700</xdr:rowOff>
    </xdr:to>
    <xdr:sp macro="" textlink="">
      <xdr:nvSpPr>
        <xdr:cNvPr id="313" name="Control 312" hidden="1">
          <a:extLst>
            <a:ext uri="{63B3BB69-23CF-44E3-9099-C40C66FF867C}">
              <a14:compatExt xmlns:a14="http://schemas.microsoft.com/office/drawing/2010/main" spid="_x0000_s1336"/>
            </a:ext>
            <a:ext uri="{FF2B5EF4-FFF2-40B4-BE49-F238E27FC236}">
              <a16:creationId xmlns:a16="http://schemas.microsoft.com/office/drawing/2014/main" id="{00000000-0008-0000-0E00-000039010000}"/>
            </a:ext>
          </a:extLst>
        </xdr:cNvPr>
        <xdr:cNvSpPr/>
      </xdr:nvSpPr>
      <xdr:spPr bwMode="auto">
        <a:xfrm>
          <a:off x="0" y="16764000"/>
          <a:ext cx="139700" cy="139700"/>
        </a:xfrm>
        <a:prstGeom prst="rect">
          <a:avLst/>
        </a:prstGeom>
        <a:noFill/>
        <a:ln w="9525">
          <a:miter lim="800000"/>
          <a:headEnd/>
          <a:tailEnd/>
        </a:ln>
      </xdr:spPr>
    </xdr:sp>
    <xdr:clientData/>
  </xdr:twoCellAnchor>
  <xdr:twoCellAnchor editAs="oneCell">
    <xdr:from>
      <xdr:col>2</xdr:col>
      <xdr:colOff>0</xdr:colOff>
      <xdr:row>80</xdr:row>
      <xdr:rowOff>0</xdr:rowOff>
    </xdr:from>
    <xdr:to>
      <xdr:col>2</xdr:col>
      <xdr:colOff>254000</xdr:colOff>
      <xdr:row>81</xdr:row>
      <xdr:rowOff>82550</xdr:rowOff>
    </xdr:to>
    <xdr:sp macro="" textlink="">
      <xdr:nvSpPr>
        <xdr:cNvPr id="314" name="Control 313" hidden="1">
          <a:extLst>
            <a:ext uri="{63B3BB69-23CF-44E3-9099-C40C66FF867C}">
              <a14:compatExt xmlns:a14="http://schemas.microsoft.com/office/drawing/2010/main" spid="_x0000_s1337"/>
            </a:ext>
            <a:ext uri="{FF2B5EF4-FFF2-40B4-BE49-F238E27FC236}">
              <a16:creationId xmlns:a16="http://schemas.microsoft.com/office/drawing/2014/main" id="{00000000-0008-0000-0E00-00003A010000}"/>
            </a:ext>
          </a:extLst>
        </xdr:cNvPr>
        <xdr:cNvSpPr/>
      </xdr:nvSpPr>
      <xdr:spPr bwMode="auto">
        <a:xfrm>
          <a:off x="3562350" y="16764000"/>
          <a:ext cx="254000" cy="273050"/>
        </a:xfrm>
        <a:prstGeom prst="rect">
          <a:avLst/>
        </a:prstGeom>
        <a:noFill/>
        <a:ln w="9525">
          <a:miter lim="800000"/>
          <a:headEnd/>
          <a:tailEnd/>
        </a:ln>
      </xdr:spPr>
    </xdr:sp>
    <xdr:clientData/>
  </xdr:twoCellAnchor>
  <xdr:twoCellAnchor editAs="oneCell">
    <xdr:from>
      <xdr:col>2</xdr:col>
      <xdr:colOff>0</xdr:colOff>
      <xdr:row>80</xdr:row>
      <xdr:rowOff>0</xdr:rowOff>
    </xdr:from>
    <xdr:to>
      <xdr:col>2</xdr:col>
      <xdr:colOff>152400</xdr:colOff>
      <xdr:row>80</xdr:row>
      <xdr:rowOff>152400</xdr:rowOff>
    </xdr:to>
    <xdr:sp macro="" textlink="">
      <xdr:nvSpPr>
        <xdr:cNvPr id="315" name="Control 314" hidden="1">
          <a:extLst>
            <a:ext uri="{63B3BB69-23CF-44E3-9099-C40C66FF867C}">
              <a14:compatExt xmlns:a14="http://schemas.microsoft.com/office/drawing/2010/main" spid="_x0000_s1338"/>
            </a:ext>
            <a:ext uri="{FF2B5EF4-FFF2-40B4-BE49-F238E27FC236}">
              <a16:creationId xmlns:a16="http://schemas.microsoft.com/office/drawing/2014/main" id="{00000000-0008-0000-0E00-00003B010000}"/>
            </a:ext>
          </a:extLst>
        </xdr:cNvPr>
        <xdr:cNvSpPr/>
      </xdr:nvSpPr>
      <xdr:spPr bwMode="auto">
        <a:xfrm>
          <a:off x="3562350" y="16764000"/>
          <a:ext cx="152400" cy="152400"/>
        </a:xfrm>
        <a:prstGeom prst="rect">
          <a:avLst/>
        </a:prstGeom>
        <a:noFill/>
        <a:ln w="9525">
          <a:miter lim="800000"/>
          <a:headEnd/>
          <a:tailEnd/>
        </a:ln>
      </xdr:spPr>
    </xdr:sp>
    <xdr:clientData/>
  </xdr:twoCellAnchor>
  <xdr:twoCellAnchor editAs="oneCell">
    <xdr:from>
      <xdr:col>2</xdr:col>
      <xdr:colOff>0</xdr:colOff>
      <xdr:row>80</xdr:row>
      <xdr:rowOff>0</xdr:rowOff>
    </xdr:from>
    <xdr:to>
      <xdr:col>2</xdr:col>
      <xdr:colOff>152400</xdr:colOff>
      <xdr:row>80</xdr:row>
      <xdr:rowOff>152400</xdr:rowOff>
    </xdr:to>
    <xdr:sp macro="" textlink="">
      <xdr:nvSpPr>
        <xdr:cNvPr id="316" name="Control 315" hidden="1">
          <a:extLst>
            <a:ext uri="{63B3BB69-23CF-44E3-9099-C40C66FF867C}">
              <a14:compatExt xmlns:a14="http://schemas.microsoft.com/office/drawing/2010/main" spid="_x0000_s1339"/>
            </a:ext>
            <a:ext uri="{FF2B5EF4-FFF2-40B4-BE49-F238E27FC236}">
              <a16:creationId xmlns:a16="http://schemas.microsoft.com/office/drawing/2014/main" id="{00000000-0008-0000-0E00-00003C010000}"/>
            </a:ext>
          </a:extLst>
        </xdr:cNvPr>
        <xdr:cNvSpPr/>
      </xdr:nvSpPr>
      <xdr:spPr bwMode="auto">
        <a:xfrm>
          <a:off x="3562350" y="16764000"/>
          <a:ext cx="152400" cy="152400"/>
        </a:xfrm>
        <a:prstGeom prst="rect">
          <a:avLst/>
        </a:prstGeom>
        <a:noFill/>
        <a:ln w="9525">
          <a:miter lim="800000"/>
          <a:headEnd/>
          <a:tailEnd/>
        </a:ln>
      </xdr:spPr>
    </xdr:sp>
    <xdr:clientData/>
  </xdr:twoCellAnchor>
  <xdr:twoCellAnchor editAs="oneCell">
    <xdr:from>
      <xdr:col>2</xdr:col>
      <xdr:colOff>0</xdr:colOff>
      <xdr:row>81</xdr:row>
      <xdr:rowOff>0</xdr:rowOff>
    </xdr:from>
    <xdr:to>
      <xdr:col>2</xdr:col>
      <xdr:colOff>254000</xdr:colOff>
      <xdr:row>82</xdr:row>
      <xdr:rowOff>82550</xdr:rowOff>
    </xdr:to>
    <xdr:sp macro="" textlink="">
      <xdr:nvSpPr>
        <xdr:cNvPr id="317" name="Control 316" hidden="1">
          <a:extLst>
            <a:ext uri="{63B3BB69-23CF-44E3-9099-C40C66FF867C}">
              <a14:compatExt xmlns:a14="http://schemas.microsoft.com/office/drawing/2010/main" spid="_x0000_s1340"/>
            </a:ext>
            <a:ext uri="{FF2B5EF4-FFF2-40B4-BE49-F238E27FC236}">
              <a16:creationId xmlns:a16="http://schemas.microsoft.com/office/drawing/2014/main" id="{00000000-0008-0000-0E00-00003D010000}"/>
            </a:ext>
          </a:extLst>
        </xdr:cNvPr>
        <xdr:cNvSpPr/>
      </xdr:nvSpPr>
      <xdr:spPr bwMode="auto">
        <a:xfrm>
          <a:off x="3562350" y="16973550"/>
          <a:ext cx="254000" cy="273050"/>
        </a:xfrm>
        <a:prstGeom prst="rect">
          <a:avLst/>
        </a:prstGeom>
        <a:noFill/>
        <a:ln w="9525">
          <a:miter lim="800000"/>
          <a:headEnd/>
          <a:tailEnd/>
        </a:ln>
      </xdr:spPr>
    </xdr:sp>
    <xdr:clientData/>
  </xdr:twoCellAnchor>
  <xdr:twoCellAnchor editAs="oneCell">
    <xdr:from>
      <xdr:col>2</xdr:col>
      <xdr:colOff>0</xdr:colOff>
      <xdr:row>81</xdr:row>
      <xdr:rowOff>0</xdr:rowOff>
    </xdr:from>
    <xdr:to>
      <xdr:col>2</xdr:col>
      <xdr:colOff>152400</xdr:colOff>
      <xdr:row>81</xdr:row>
      <xdr:rowOff>152400</xdr:rowOff>
    </xdr:to>
    <xdr:sp macro="" textlink="">
      <xdr:nvSpPr>
        <xdr:cNvPr id="318" name="Control 317" hidden="1">
          <a:extLst>
            <a:ext uri="{63B3BB69-23CF-44E3-9099-C40C66FF867C}">
              <a14:compatExt xmlns:a14="http://schemas.microsoft.com/office/drawing/2010/main" spid="_x0000_s1341"/>
            </a:ext>
            <a:ext uri="{FF2B5EF4-FFF2-40B4-BE49-F238E27FC236}">
              <a16:creationId xmlns:a16="http://schemas.microsoft.com/office/drawing/2014/main" id="{00000000-0008-0000-0E00-00003E010000}"/>
            </a:ext>
          </a:extLst>
        </xdr:cNvPr>
        <xdr:cNvSpPr/>
      </xdr:nvSpPr>
      <xdr:spPr bwMode="auto">
        <a:xfrm>
          <a:off x="3562350" y="16973550"/>
          <a:ext cx="152400" cy="152400"/>
        </a:xfrm>
        <a:prstGeom prst="rect">
          <a:avLst/>
        </a:prstGeom>
        <a:noFill/>
        <a:ln w="9525">
          <a:miter lim="800000"/>
          <a:headEnd/>
          <a:tailEnd/>
        </a:ln>
      </xdr:spPr>
    </xdr:sp>
    <xdr:clientData/>
  </xdr:twoCellAnchor>
  <xdr:twoCellAnchor editAs="oneCell">
    <xdr:from>
      <xdr:col>2</xdr:col>
      <xdr:colOff>0</xdr:colOff>
      <xdr:row>81</xdr:row>
      <xdr:rowOff>0</xdr:rowOff>
    </xdr:from>
    <xdr:to>
      <xdr:col>2</xdr:col>
      <xdr:colOff>152400</xdr:colOff>
      <xdr:row>81</xdr:row>
      <xdr:rowOff>152400</xdr:rowOff>
    </xdr:to>
    <xdr:sp macro="" textlink="">
      <xdr:nvSpPr>
        <xdr:cNvPr id="319" name="Control 318" hidden="1">
          <a:extLst>
            <a:ext uri="{63B3BB69-23CF-44E3-9099-C40C66FF867C}">
              <a14:compatExt xmlns:a14="http://schemas.microsoft.com/office/drawing/2010/main" spid="_x0000_s1342"/>
            </a:ext>
            <a:ext uri="{FF2B5EF4-FFF2-40B4-BE49-F238E27FC236}">
              <a16:creationId xmlns:a16="http://schemas.microsoft.com/office/drawing/2014/main" id="{00000000-0008-0000-0E00-00003F010000}"/>
            </a:ext>
          </a:extLst>
        </xdr:cNvPr>
        <xdr:cNvSpPr/>
      </xdr:nvSpPr>
      <xdr:spPr bwMode="auto">
        <a:xfrm>
          <a:off x="3562350" y="16973550"/>
          <a:ext cx="152400" cy="152400"/>
        </a:xfrm>
        <a:prstGeom prst="rect">
          <a:avLst/>
        </a:prstGeom>
        <a:noFill/>
        <a:ln w="9525">
          <a:miter lim="800000"/>
          <a:headEnd/>
          <a:tailEnd/>
        </a:ln>
      </xdr:spPr>
    </xdr:sp>
    <xdr:clientData/>
  </xdr:twoCellAnchor>
  <xdr:twoCellAnchor editAs="oneCell">
    <xdr:from>
      <xdr:col>0</xdr:col>
      <xdr:colOff>0</xdr:colOff>
      <xdr:row>82</xdr:row>
      <xdr:rowOff>0</xdr:rowOff>
    </xdr:from>
    <xdr:to>
      <xdr:col>0</xdr:col>
      <xdr:colOff>139700</xdr:colOff>
      <xdr:row>82</xdr:row>
      <xdr:rowOff>139700</xdr:rowOff>
    </xdr:to>
    <xdr:sp macro="" textlink="">
      <xdr:nvSpPr>
        <xdr:cNvPr id="320" name="Control 319" hidden="1">
          <a:extLst>
            <a:ext uri="{63B3BB69-23CF-44E3-9099-C40C66FF867C}">
              <a14:compatExt xmlns:a14="http://schemas.microsoft.com/office/drawing/2010/main" spid="_x0000_s1343"/>
            </a:ext>
            <a:ext uri="{FF2B5EF4-FFF2-40B4-BE49-F238E27FC236}">
              <a16:creationId xmlns:a16="http://schemas.microsoft.com/office/drawing/2014/main" id="{00000000-0008-0000-0E00-000040010000}"/>
            </a:ext>
          </a:extLst>
        </xdr:cNvPr>
        <xdr:cNvSpPr/>
      </xdr:nvSpPr>
      <xdr:spPr bwMode="auto">
        <a:xfrm>
          <a:off x="0" y="17183100"/>
          <a:ext cx="139700" cy="139700"/>
        </a:xfrm>
        <a:prstGeom prst="rect">
          <a:avLst/>
        </a:prstGeom>
        <a:noFill/>
        <a:ln w="9525">
          <a:miter lim="800000"/>
          <a:headEnd/>
          <a:tailEnd/>
        </a:ln>
      </xdr:spPr>
    </xdr:sp>
    <xdr:clientData/>
  </xdr:twoCellAnchor>
  <xdr:twoCellAnchor editAs="oneCell">
    <xdr:from>
      <xdr:col>2</xdr:col>
      <xdr:colOff>0</xdr:colOff>
      <xdr:row>82</xdr:row>
      <xdr:rowOff>0</xdr:rowOff>
    </xdr:from>
    <xdr:to>
      <xdr:col>2</xdr:col>
      <xdr:colOff>254000</xdr:colOff>
      <xdr:row>83</xdr:row>
      <xdr:rowOff>82550</xdr:rowOff>
    </xdr:to>
    <xdr:sp macro="" textlink="">
      <xdr:nvSpPr>
        <xdr:cNvPr id="321" name="Control 320" hidden="1">
          <a:extLst>
            <a:ext uri="{63B3BB69-23CF-44E3-9099-C40C66FF867C}">
              <a14:compatExt xmlns:a14="http://schemas.microsoft.com/office/drawing/2010/main" spid="_x0000_s1344"/>
            </a:ext>
            <a:ext uri="{FF2B5EF4-FFF2-40B4-BE49-F238E27FC236}">
              <a16:creationId xmlns:a16="http://schemas.microsoft.com/office/drawing/2014/main" id="{00000000-0008-0000-0E00-000041010000}"/>
            </a:ext>
          </a:extLst>
        </xdr:cNvPr>
        <xdr:cNvSpPr/>
      </xdr:nvSpPr>
      <xdr:spPr bwMode="auto">
        <a:xfrm>
          <a:off x="3562350" y="17183100"/>
          <a:ext cx="254000" cy="273050"/>
        </a:xfrm>
        <a:prstGeom prst="rect">
          <a:avLst/>
        </a:prstGeom>
        <a:noFill/>
        <a:ln w="9525">
          <a:miter lim="800000"/>
          <a:headEnd/>
          <a:tailEnd/>
        </a:ln>
      </xdr:spPr>
    </xdr:sp>
    <xdr:clientData/>
  </xdr:twoCellAnchor>
  <xdr:twoCellAnchor editAs="oneCell">
    <xdr:from>
      <xdr:col>2</xdr:col>
      <xdr:colOff>0</xdr:colOff>
      <xdr:row>82</xdr:row>
      <xdr:rowOff>0</xdr:rowOff>
    </xdr:from>
    <xdr:to>
      <xdr:col>2</xdr:col>
      <xdr:colOff>152400</xdr:colOff>
      <xdr:row>82</xdr:row>
      <xdr:rowOff>152400</xdr:rowOff>
    </xdr:to>
    <xdr:sp macro="" textlink="">
      <xdr:nvSpPr>
        <xdr:cNvPr id="322" name="Control 321" hidden="1">
          <a:extLst>
            <a:ext uri="{63B3BB69-23CF-44E3-9099-C40C66FF867C}">
              <a14:compatExt xmlns:a14="http://schemas.microsoft.com/office/drawing/2010/main" spid="_x0000_s1345"/>
            </a:ext>
            <a:ext uri="{FF2B5EF4-FFF2-40B4-BE49-F238E27FC236}">
              <a16:creationId xmlns:a16="http://schemas.microsoft.com/office/drawing/2014/main" id="{00000000-0008-0000-0E00-000042010000}"/>
            </a:ext>
          </a:extLst>
        </xdr:cNvPr>
        <xdr:cNvSpPr/>
      </xdr:nvSpPr>
      <xdr:spPr bwMode="auto">
        <a:xfrm>
          <a:off x="3562350" y="17183100"/>
          <a:ext cx="152400" cy="152400"/>
        </a:xfrm>
        <a:prstGeom prst="rect">
          <a:avLst/>
        </a:prstGeom>
        <a:noFill/>
        <a:ln w="9525">
          <a:miter lim="800000"/>
          <a:headEnd/>
          <a:tailEnd/>
        </a:ln>
      </xdr:spPr>
    </xdr:sp>
    <xdr:clientData/>
  </xdr:twoCellAnchor>
  <xdr:twoCellAnchor editAs="oneCell">
    <xdr:from>
      <xdr:col>2</xdr:col>
      <xdr:colOff>0</xdr:colOff>
      <xdr:row>82</xdr:row>
      <xdr:rowOff>0</xdr:rowOff>
    </xdr:from>
    <xdr:to>
      <xdr:col>2</xdr:col>
      <xdr:colOff>152400</xdr:colOff>
      <xdr:row>82</xdr:row>
      <xdr:rowOff>152400</xdr:rowOff>
    </xdr:to>
    <xdr:sp macro="" textlink="">
      <xdr:nvSpPr>
        <xdr:cNvPr id="323" name="Control 322" hidden="1">
          <a:extLst>
            <a:ext uri="{63B3BB69-23CF-44E3-9099-C40C66FF867C}">
              <a14:compatExt xmlns:a14="http://schemas.microsoft.com/office/drawing/2010/main" spid="_x0000_s1346"/>
            </a:ext>
            <a:ext uri="{FF2B5EF4-FFF2-40B4-BE49-F238E27FC236}">
              <a16:creationId xmlns:a16="http://schemas.microsoft.com/office/drawing/2014/main" id="{00000000-0008-0000-0E00-000043010000}"/>
            </a:ext>
          </a:extLst>
        </xdr:cNvPr>
        <xdr:cNvSpPr/>
      </xdr:nvSpPr>
      <xdr:spPr bwMode="auto">
        <a:xfrm>
          <a:off x="3562350" y="17183100"/>
          <a:ext cx="152400" cy="152400"/>
        </a:xfrm>
        <a:prstGeom prst="rect">
          <a:avLst/>
        </a:prstGeom>
        <a:noFill/>
        <a:ln w="9525">
          <a:miter lim="800000"/>
          <a:headEnd/>
          <a:tailEnd/>
        </a:ln>
      </xdr:spPr>
    </xdr:sp>
    <xdr:clientData/>
  </xdr:twoCellAnchor>
  <xdr:twoCellAnchor editAs="oneCell">
    <xdr:from>
      <xdr:col>0</xdr:col>
      <xdr:colOff>0</xdr:colOff>
      <xdr:row>83</xdr:row>
      <xdr:rowOff>0</xdr:rowOff>
    </xdr:from>
    <xdr:to>
      <xdr:col>0</xdr:col>
      <xdr:colOff>139700</xdr:colOff>
      <xdr:row>83</xdr:row>
      <xdr:rowOff>139700</xdr:rowOff>
    </xdr:to>
    <xdr:sp macro="" textlink="">
      <xdr:nvSpPr>
        <xdr:cNvPr id="324" name="Control 323" hidden="1">
          <a:extLst>
            <a:ext uri="{63B3BB69-23CF-44E3-9099-C40C66FF867C}">
              <a14:compatExt xmlns:a14="http://schemas.microsoft.com/office/drawing/2010/main" spid="_x0000_s1347"/>
            </a:ext>
            <a:ext uri="{FF2B5EF4-FFF2-40B4-BE49-F238E27FC236}">
              <a16:creationId xmlns:a16="http://schemas.microsoft.com/office/drawing/2014/main" id="{00000000-0008-0000-0E00-000044010000}"/>
            </a:ext>
          </a:extLst>
        </xdr:cNvPr>
        <xdr:cNvSpPr/>
      </xdr:nvSpPr>
      <xdr:spPr bwMode="auto">
        <a:xfrm>
          <a:off x="0" y="17392650"/>
          <a:ext cx="139700" cy="139700"/>
        </a:xfrm>
        <a:prstGeom prst="rect">
          <a:avLst/>
        </a:prstGeom>
        <a:noFill/>
        <a:ln w="9525">
          <a:miter lim="800000"/>
          <a:headEnd/>
          <a:tailEnd/>
        </a:ln>
      </xdr:spPr>
    </xdr:sp>
    <xdr:clientData/>
  </xdr:twoCellAnchor>
  <xdr:twoCellAnchor editAs="oneCell">
    <xdr:from>
      <xdr:col>2</xdr:col>
      <xdr:colOff>0</xdr:colOff>
      <xdr:row>83</xdr:row>
      <xdr:rowOff>0</xdr:rowOff>
    </xdr:from>
    <xdr:to>
      <xdr:col>2</xdr:col>
      <xdr:colOff>254000</xdr:colOff>
      <xdr:row>84</xdr:row>
      <xdr:rowOff>82550</xdr:rowOff>
    </xdr:to>
    <xdr:sp macro="" textlink="">
      <xdr:nvSpPr>
        <xdr:cNvPr id="325" name="Control 324" hidden="1">
          <a:extLst>
            <a:ext uri="{63B3BB69-23CF-44E3-9099-C40C66FF867C}">
              <a14:compatExt xmlns:a14="http://schemas.microsoft.com/office/drawing/2010/main" spid="_x0000_s1348"/>
            </a:ext>
            <a:ext uri="{FF2B5EF4-FFF2-40B4-BE49-F238E27FC236}">
              <a16:creationId xmlns:a16="http://schemas.microsoft.com/office/drawing/2014/main" id="{00000000-0008-0000-0E00-000045010000}"/>
            </a:ext>
          </a:extLst>
        </xdr:cNvPr>
        <xdr:cNvSpPr/>
      </xdr:nvSpPr>
      <xdr:spPr bwMode="auto">
        <a:xfrm>
          <a:off x="3562350" y="17392650"/>
          <a:ext cx="254000" cy="273050"/>
        </a:xfrm>
        <a:prstGeom prst="rect">
          <a:avLst/>
        </a:prstGeom>
        <a:noFill/>
        <a:ln w="9525">
          <a:miter lim="800000"/>
          <a:headEnd/>
          <a:tailEnd/>
        </a:ln>
      </xdr:spPr>
    </xdr:sp>
    <xdr:clientData/>
  </xdr:twoCellAnchor>
  <xdr:twoCellAnchor editAs="oneCell">
    <xdr:from>
      <xdr:col>2</xdr:col>
      <xdr:colOff>0</xdr:colOff>
      <xdr:row>83</xdr:row>
      <xdr:rowOff>0</xdr:rowOff>
    </xdr:from>
    <xdr:to>
      <xdr:col>2</xdr:col>
      <xdr:colOff>152400</xdr:colOff>
      <xdr:row>83</xdr:row>
      <xdr:rowOff>152400</xdr:rowOff>
    </xdr:to>
    <xdr:sp macro="" textlink="">
      <xdr:nvSpPr>
        <xdr:cNvPr id="326" name="Control 325" hidden="1">
          <a:extLst>
            <a:ext uri="{63B3BB69-23CF-44E3-9099-C40C66FF867C}">
              <a14:compatExt xmlns:a14="http://schemas.microsoft.com/office/drawing/2010/main" spid="_x0000_s1349"/>
            </a:ext>
            <a:ext uri="{FF2B5EF4-FFF2-40B4-BE49-F238E27FC236}">
              <a16:creationId xmlns:a16="http://schemas.microsoft.com/office/drawing/2014/main" id="{00000000-0008-0000-0E00-000046010000}"/>
            </a:ext>
          </a:extLst>
        </xdr:cNvPr>
        <xdr:cNvSpPr/>
      </xdr:nvSpPr>
      <xdr:spPr bwMode="auto">
        <a:xfrm>
          <a:off x="3562350" y="17392650"/>
          <a:ext cx="152400" cy="152400"/>
        </a:xfrm>
        <a:prstGeom prst="rect">
          <a:avLst/>
        </a:prstGeom>
        <a:noFill/>
        <a:ln w="9525">
          <a:miter lim="800000"/>
          <a:headEnd/>
          <a:tailEnd/>
        </a:ln>
      </xdr:spPr>
    </xdr:sp>
    <xdr:clientData/>
  </xdr:twoCellAnchor>
  <xdr:twoCellAnchor editAs="oneCell">
    <xdr:from>
      <xdr:col>2</xdr:col>
      <xdr:colOff>0</xdr:colOff>
      <xdr:row>83</xdr:row>
      <xdr:rowOff>0</xdr:rowOff>
    </xdr:from>
    <xdr:to>
      <xdr:col>2</xdr:col>
      <xdr:colOff>152400</xdr:colOff>
      <xdr:row>83</xdr:row>
      <xdr:rowOff>152400</xdr:rowOff>
    </xdr:to>
    <xdr:sp macro="" textlink="">
      <xdr:nvSpPr>
        <xdr:cNvPr id="327" name="Control 326" hidden="1">
          <a:extLst>
            <a:ext uri="{63B3BB69-23CF-44E3-9099-C40C66FF867C}">
              <a14:compatExt xmlns:a14="http://schemas.microsoft.com/office/drawing/2010/main" spid="_x0000_s1350"/>
            </a:ext>
            <a:ext uri="{FF2B5EF4-FFF2-40B4-BE49-F238E27FC236}">
              <a16:creationId xmlns:a16="http://schemas.microsoft.com/office/drawing/2014/main" id="{00000000-0008-0000-0E00-000047010000}"/>
            </a:ext>
          </a:extLst>
        </xdr:cNvPr>
        <xdr:cNvSpPr/>
      </xdr:nvSpPr>
      <xdr:spPr bwMode="auto">
        <a:xfrm>
          <a:off x="3562350" y="17392650"/>
          <a:ext cx="152400" cy="152400"/>
        </a:xfrm>
        <a:prstGeom prst="rect">
          <a:avLst/>
        </a:prstGeom>
        <a:noFill/>
        <a:ln w="9525">
          <a:miter lim="800000"/>
          <a:headEnd/>
          <a:tailEnd/>
        </a:ln>
      </xdr:spPr>
    </xdr:sp>
    <xdr:clientData/>
  </xdr:twoCellAnchor>
  <xdr:twoCellAnchor editAs="oneCell">
    <xdr:from>
      <xdr:col>0</xdr:col>
      <xdr:colOff>0</xdr:colOff>
      <xdr:row>84</xdr:row>
      <xdr:rowOff>0</xdr:rowOff>
    </xdr:from>
    <xdr:to>
      <xdr:col>0</xdr:col>
      <xdr:colOff>139700</xdr:colOff>
      <xdr:row>84</xdr:row>
      <xdr:rowOff>139700</xdr:rowOff>
    </xdr:to>
    <xdr:sp macro="" textlink="">
      <xdr:nvSpPr>
        <xdr:cNvPr id="328" name="Control 327" hidden="1">
          <a:extLst>
            <a:ext uri="{63B3BB69-23CF-44E3-9099-C40C66FF867C}">
              <a14:compatExt xmlns:a14="http://schemas.microsoft.com/office/drawing/2010/main" spid="_x0000_s1351"/>
            </a:ext>
            <a:ext uri="{FF2B5EF4-FFF2-40B4-BE49-F238E27FC236}">
              <a16:creationId xmlns:a16="http://schemas.microsoft.com/office/drawing/2014/main" id="{00000000-0008-0000-0E00-000048010000}"/>
            </a:ext>
          </a:extLst>
        </xdr:cNvPr>
        <xdr:cNvSpPr/>
      </xdr:nvSpPr>
      <xdr:spPr bwMode="auto">
        <a:xfrm>
          <a:off x="0" y="17602200"/>
          <a:ext cx="139700" cy="139700"/>
        </a:xfrm>
        <a:prstGeom prst="rect">
          <a:avLst/>
        </a:prstGeom>
        <a:noFill/>
        <a:ln w="9525">
          <a:miter lim="800000"/>
          <a:headEnd/>
          <a:tailEnd/>
        </a:ln>
      </xdr:spPr>
    </xdr:sp>
    <xdr:clientData/>
  </xdr:twoCellAnchor>
  <xdr:twoCellAnchor editAs="oneCell">
    <xdr:from>
      <xdr:col>2</xdr:col>
      <xdr:colOff>0</xdr:colOff>
      <xdr:row>84</xdr:row>
      <xdr:rowOff>0</xdr:rowOff>
    </xdr:from>
    <xdr:to>
      <xdr:col>2</xdr:col>
      <xdr:colOff>254000</xdr:colOff>
      <xdr:row>85</xdr:row>
      <xdr:rowOff>82550</xdr:rowOff>
    </xdr:to>
    <xdr:sp macro="" textlink="">
      <xdr:nvSpPr>
        <xdr:cNvPr id="329" name="Control 328" hidden="1">
          <a:extLst>
            <a:ext uri="{63B3BB69-23CF-44E3-9099-C40C66FF867C}">
              <a14:compatExt xmlns:a14="http://schemas.microsoft.com/office/drawing/2010/main" spid="_x0000_s1352"/>
            </a:ext>
            <a:ext uri="{FF2B5EF4-FFF2-40B4-BE49-F238E27FC236}">
              <a16:creationId xmlns:a16="http://schemas.microsoft.com/office/drawing/2014/main" id="{00000000-0008-0000-0E00-000049010000}"/>
            </a:ext>
          </a:extLst>
        </xdr:cNvPr>
        <xdr:cNvSpPr/>
      </xdr:nvSpPr>
      <xdr:spPr bwMode="auto">
        <a:xfrm>
          <a:off x="3562350" y="17602200"/>
          <a:ext cx="254000" cy="273050"/>
        </a:xfrm>
        <a:prstGeom prst="rect">
          <a:avLst/>
        </a:prstGeom>
        <a:noFill/>
        <a:ln w="9525">
          <a:miter lim="800000"/>
          <a:headEnd/>
          <a:tailEnd/>
        </a:ln>
      </xdr:spPr>
    </xdr:sp>
    <xdr:clientData/>
  </xdr:twoCellAnchor>
  <xdr:twoCellAnchor editAs="oneCell">
    <xdr:from>
      <xdr:col>2</xdr:col>
      <xdr:colOff>0</xdr:colOff>
      <xdr:row>84</xdr:row>
      <xdr:rowOff>0</xdr:rowOff>
    </xdr:from>
    <xdr:to>
      <xdr:col>2</xdr:col>
      <xdr:colOff>152400</xdr:colOff>
      <xdr:row>84</xdr:row>
      <xdr:rowOff>152400</xdr:rowOff>
    </xdr:to>
    <xdr:sp macro="" textlink="">
      <xdr:nvSpPr>
        <xdr:cNvPr id="330" name="Control 329" hidden="1">
          <a:extLst>
            <a:ext uri="{63B3BB69-23CF-44E3-9099-C40C66FF867C}">
              <a14:compatExt xmlns:a14="http://schemas.microsoft.com/office/drawing/2010/main" spid="_x0000_s1353"/>
            </a:ext>
            <a:ext uri="{FF2B5EF4-FFF2-40B4-BE49-F238E27FC236}">
              <a16:creationId xmlns:a16="http://schemas.microsoft.com/office/drawing/2014/main" id="{00000000-0008-0000-0E00-00004A010000}"/>
            </a:ext>
          </a:extLst>
        </xdr:cNvPr>
        <xdr:cNvSpPr/>
      </xdr:nvSpPr>
      <xdr:spPr bwMode="auto">
        <a:xfrm>
          <a:off x="3562350" y="17602200"/>
          <a:ext cx="152400" cy="152400"/>
        </a:xfrm>
        <a:prstGeom prst="rect">
          <a:avLst/>
        </a:prstGeom>
        <a:noFill/>
        <a:ln w="9525">
          <a:miter lim="800000"/>
          <a:headEnd/>
          <a:tailEnd/>
        </a:ln>
      </xdr:spPr>
    </xdr:sp>
    <xdr:clientData/>
  </xdr:twoCellAnchor>
  <xdr:twoCellAnchor editAs="oneCell">
    <xdr:from>
      <xdr:col>2</xdr:col>
      <xdr:colOff>0</xdr:colOff>
      <xdr:row>84</xdr:row>
      <xdr:rowOff>0</xdr:rowOff>
    </xdr:from>
    <xdr:to>
      <xdr:col>2</xdr:col>
      <xdr:colOff>152400</xdr:colOff>
      <xdr:row>84</xdr:row>
      <xdr:rowOff>152400</xdr:rowOff>
    </xdr:to>
    <xdr:sp macro="" textlink="">
      <xdr:nvSpPr>
        <xdr:cNvPr id="331" name="Control 330" hidden="1">
          <a:extLst>
            <a:ext uri="{63B3BB69-23CF-44E3-9099-C40C66FF867C}">
              <a14:compatExt xmlns:a14="http://schemas.microsoft.com/office/drawing/2010/main" spid="_x0000_s1354"/>
            </a:ext>
            <a:ext uri="{FF2B5EF4-FFF2-40B4-BE49-F238E27FC236}">
              <a16:creationId xmlns:a16="http://schemas.microsoft.com/office/drawing/2014/main" id="{00000000-0008-0000-0E00-00004B010000}"/>
            </a:ext>
          </a:extLst>
        </xdr:cNvPr>
        <xdr:cNvSpPr/>
      </xdr:nvSpPr>
      <xdr:spPr bwMode="auto">
        <a:xfrm>
          <a:off x="3562350" y="17602200"/>
          <a:ext cx="152400" cy="152400"/>
        </a:xfrm>
        <a:prstGeom prst="rect">
          <a:avLst/>
        </a:prstGeom>
        <a:noFill/>
        <a:ln w="9525">
          <a:miter lim="800000"/>
          <a:headEnd/>
          <a:tailEnd/>
        </a:ln>
      </xdr:spPr>
    </xdr:sp>
    <xdr:clientData/>
  </xdr:twoCellAnchor>
  <xdr:twoCellAnchor editAs="oneCell">
    <xdr:from>
      <xdr:col>0</xdr:col>
      <xdr:colOff>0</xdr:colOff>
      <xdr:row>85</xdr:row>
      <xdr:rowOff>0</xdr:rowOff>
    </xdr:from>
    <xdr:to>
      <xdr:col>0</xdr:col>
      <xdr:colOff>139700</xdr:colOff>
      <xdr:row>85</xdr:row>
      <xdr:rowOff>139700</xdr:rowOff>
    </xdr:to>
    <xdr:sp macro="" textlink="">
      <xdr:nvSpPr>
        <xdr:cNvPr id="332" name="Control 331" hidden="1">
          <a:extLst>
            <a:ext uri="{63B3BB69-23CF-44E3-9099-C40C66FF867C}">
              <a14:compatExt xmlns:a14="http://schemas.microsoft.com/office/drawing/2010/main" spid="_x0000_s1355"/>
            </a:ext>
            <a:ext uri="{FF2B5EF4-FFF2-40B4-BE49-F238E27FC236}">
              <a16:creationId xmlns:a16="http://schemas.microsoft.com/office/drawing/2014/main" id="{00000000-0008-0000-0E00-00004C010000}"/>
            </a:ext>
          </a:extLst>
        </xdr:cNvPr>
        <xdr:cNvSpPr/>
      </xdr:nvSpPr>
      <xdr:spPr bwMode="auto">
        <a:xfrm>
          <a:off x="0" y="17811750"/>
          <a:ext cx="139700" cy="139700"/>
        </a:xfrm>
        <a:prstGeom prst="rect">
          <a:avLst/>
        </a:prstGeom>
        <a:noFill/>
        <a:ln w="9525">
          <a:miter lim="800000"/>
          <a:headEnd/>
          <a:tailEnd/>
        </a:ln>
      </xdr:spPr>
    </xdr:sp>
    <xdr:clientData/>
  </xdr:twoCellAnchor>
  <xdr:twoCellAnchor editAs="oneCell">
    <xdr:from>
      <xdr:col>2</xdr:col>
      <xdr:colOff>0</xdr:colOff>
      <xdr:row>85</xdr:row>
      <xdr:rowOff>0</xdr:rowOff>
    </xdr:from>
    <xdr:to>
      <xdr:col>2</xdr:col>
      <xdr:colOff>254000</xdr:colOff>
      <xdr:row>86</xdr:row>
      <xdr:rowOff>82550</xdr:rowOff>
    </xdr:to>
    <xdr:sp macro="" textlink="">
      <xdr:nvSpPr>
        <xdr:cNvPr id="333" name="Control 332" hidden="1">
          <a:extLst>
            <a:ext uri="{63B3BB69-23CF-44E3-9099-C40C66FF867C}">
              <a14:compatExt xmlns:a14="http://schemas.microsoft.com/office/drawing/2010/main" spid="_x0000_s1356"/>
            </a:ext>
            <a:ext uri="{FF2B5EF4-FFF2-40B4-BE49-F238E27FC236}">
              <a16:creationId xmlns:a16="http://schemas.microsoft.com/office/drawing/2014/main" id="{00000000-0008-0000-0E00-00004D010000}"/>
            </a:ext>
          </a:extLst>
        </xdr:cNvPr>
        <xdr:cNvSpPr/>
      </xdr:nvSpPr>
      <xdr:spPr bwMode="auto">
        <a:xfrm>
          <a:off x="3562350" y="17811750"/>
          <a:ext cx="254000" cy="273050"/>
        </a:xfrm>
        <a:prstGeom prst="rect">
          <a:avLst/>
        </a:prstGeom>
        <a:noFill/>
        <a:ln w="9525">
          <a:miter lim="800000"/>
          <a:headEnd/>
          <a:tailEnd/>
        </a:ln>
      </xdr:spPr>
    </xdr:sp>
    <xdr:clientData/>
  </xdr:twoCellAnchor>
  <xdr:twoCellAnchor editAs="oneCell">
    <xdr:from>
      <xdr:col>2</xdr:col>
      <xdr:colOff>0</xdr:colOff>
      <xdr:row>85</xdr:row>
      <xdr:rowOff>0</xdr:rowOff>
    </xdr:from>
    <xdr:to>
      <xdr:col>2</xdr:col>
      <xdr:colOff>152400</xdr:colOff>
      <xdr:row>85</xdr:row>
      <xdr:rowOff>152400</xdr:rowOff>
    </xdr:to>
    <xdr:sp macro="" textlink="">
      <xdr:nvSpPr>
        <xdr:cNvPr id="334" name="Control 333" hidden="1">
          <a:extLst>
            <a:ext uri="{63B3BB69-23CF-44E3-9099-C40C66FF867C}">
              <a14:compatExt xmlns:a14="http://schemas.microsoft.com/office/drawing/2010/main" spid="_x0000_s1357"/>
            </a:ext>
            <a:ext uri="{FF2B5EF4-FFF2-40B4-BE49-F238E27FC236}">
              <a16:creationId xmlns:a16="http://schemas.microsoft.com/office/drawing/2014/main" id="{00000000-0008-0000-0E00-00004E010000}"/>
            </a:ext>
          </a:extLst>
        </xdr:cNvPr>
        <xdr:cNvSpPr/>
      </xdr:nvSpPr>
      <xdr:spPr bwMode="auto">
        <a:xfrm>
          <a:off x="3562350" y="17811750"/>
          <a:ext cx="152400" cy="152400"/>
        </a:xfrm>
        <a:prstGeom prst="rect">
          <a:avLst/>
        </a:prstGeom>
        <a:noFill/>
        <a:ln w="9525">
          <a:miter lim="800000"/>
          <a:headEnd/>
          <a:tailEnd/>
        </a:ln>
      </xdr:spPr>
    </xdr:sp>
    <xdr:clientData/>
  </xdr:twoCellAnchor>
  <xdr:twoCellAnchor editAs="oneCell">
    <xdr:from>
      <xdr:col>2</xdr:col>
      <xdr:colOff>0</xdr:colOff>
      <xdr:row>85</xdr:row>
      <xdr:rowOff>0</xdr:rowOff>
    </xdr:from>
    <xdr:to>
      <xdr:col>2</xdr:col>
      <xdr:colOff>152400</xdr:colOff>
      <xdr:row>85</xdr:row>
      <xdr:rowOff>152400</xdr:rowOff>
    </xdr:to>
    <xdr:sp macro="" textlink="">
      <xdr:nvSpPr>
        <xdr:cNvPr id="335" name="Control 334" hidden="1">
          <a:extLst>
            <a:ext uri="{63B3BB69-23CF-44E3-9099-C40C66FF867C}">
              <a14:compatExt xmlns:a14="http://schemas.microsoft.com/office/drawing/2010/main" spid="_x0000_s1358"/>
            </a:ext>
            <a:ext uri="{FF2B5EF4-FFF2-40B4-BE49-F238E27FC236}">
              <a16:creationId xmlns:a16="http://schemas.microsoft.com/office/drawing/2014/main" id="{00000000-0008-0000-0E00-00004F010000}"/>
            </a:ext>
          </a:extLst>
        </xdr:cNvPr>
        <xdr:cNvSpPr/>
      </xdr:nvSpPr>
      <xdr:spPr bwMode="auto">
        <a:xfrm>
          <a:off x="3562350" y="17811750"/>
          <a:ext cx="152400" cy="152400"/>
        </a:xfrm>
        <a:prstGeom prst="rect">
          <a:avLst/>
        </a:prstGeom>
        <a:noFill/>
        <a:ln w="9525">
          <a:miter lim="800000"/>
          <a:headEnd/>
          <a:tailEnd/>
        </a:ln>
      </xdr:spPr>
    </xdr:sp>
    <xdr:clientData/>
  </xdr:twoCellAnchor>
  <xdr:twoCellAnchor editAs="oneCell">
    <xdr:from>
      <xdr:col>0</xdr:col>
      <xdr:colOff>0</xdr:colOff>
      <xdr:row>86</xdr:row>
      <xdr:rowOff>0</xdr:rowOff>
    </xdr:from>
    <xdr:to>
      <xdr:col>0</xdr:col>
      <xdr:colOff>139700</xdr:colOff>
      <xdr:row>86</xdr:row>
      <xdr:rowOff>139700</xdr:rowOff>
    </xdr:to>
    <xdr:sp macro="" textlink="">
      <xdr:nvSpPr>
        <xdr:cNvPr id="336" name="Control 335" hidden="1">
          <a:extLst>
            <a:ext uri="{63B3BB69-23CF-44E3-9099-C40C66FF867C}">
              <a14:compatExt xmlns:a14="http://schemas.microsoft.com/office/drawing/2010/main" spid="_x0000_s1359"/>
            </a:ext>
            <a:ext uri="{FF2B5EF4-FFF2-40B4-BE49-F238E27FC236}">
              <a16:creationId xmlns:a16="http://schemas.microsoft.com/office/drawing/2014/main" id="{00000000-0008-0000-0E00-000050010000}"/>
            </a:ext>
          </a:extLst>
        </xdr:cNvPr>
        <xdr:cNvSpPr/>
      </xdr:nvSpPr>
      <xdr:spPr bwMode="auto">
        <a:xfrm>
          <a:off x="0" y="18021300"/>
          <a:ext cx="139700" cy="139700"/>
        </a:xfrm>
        <a:prstGeom prst="rect">
          <a:avLst/>
        </a:prstGeom>
        <a:noFill/>
        <a:ln w="9525">
          <a:miter lim="800000"/>
          <a:headEnd/>
          <a:tailEnd/>
        </a:ln>
      </xdr:spPr>
    </xdr:sp>
    <xdr:clientData/>
  </xdr:twoCellAnchor>
  <xdr:twoCellAnchor editAs="oneCell">
    <xdr:from>
      <xdr:col>2</xdr:col>
      <xdr:colOff>0</xdr:colOff>
      <xdr:row>86</xdr:row>
      <xdr:rowOff>0</xdr:rowOff>
    </xdr:from>
    <xdr:to>
      <xdr:col>2</xdr:col>
      <xdr:colOff>254000</xdr:colOff>
      <xdr:row>87</xdr:row>
      <xdr:rowOff>82550</xdr:rowOff>
    </xdr:to>
    <xdr:sp macro="" textlink="">
      <xdr:nvSpPr>
        <xdr:cNvPr id="337" name="Control 336" hidden="1">
          <a:extLst>
            <a:ext uri="{63B3BB69-23CF-44E3-9099-C40C66FF867C}">
              <a14:compatExt xmlns:a14="http://schemas.microsoft.com/office/drawing/2010/main" spid="_x0000_s1360"/>
            </a:ext>
            <a:ext uri="{FF2B5EF4-FFF2-40B4-BE49-F238E27FC236}">
              <a16:creationId xmlns:a16="http://schemas.microsoft.com/office/drawing/2014/main" id="{00000000-0008-0000-0E00-000051010000}"/>
            </a:ext>
          </a:extLst>
        </xdr:cNvPr>
        <xdr:cNvSpPr/>
      </xdr:nvSpPr>
      <xdr:spPr bwMode="auto">
        <a:xfrm>
          <a:off x="3562350" y="18021300"/>
          <a:ext cx="254000" cy="273050"/>
        </a:xfrm>
        <a:prstGeom prst="rect">
          <a:avLst/>
        </a:prstGeom>
        <a:noFill/>
        <a:ln w="9525">
          <a:miter lim="800000"/>
          <a:headEnd/>
          <a:tailEnd/>
        </a:ln>
      </xdr:spPr>
    </xdr:sp>
    <xdr:clientData/>
  </xdr:twoCellAnchor>
  <xdr:twoCellAnchor editAs="oneCell">
    <xdr:from>
      <xdr:col>2</xdr:col>
      <xdr:colOff>0</xdr:colOff>
      <xdr:row>86</xdr:row>
      <xdr:rowOff>0</xdr:rowOff>
    </xdr:from>
    <xdr:to>
      <xdr:col>2</xdr:col>
      <xdr:colOff>152400</xdr:colOff>
      <xdr:row>86</xdr:row>
      <xdr:rowOff>152400</xdr:rowOff>
    </xdr:to>
    <xdr:sp macro="" textlink="">
      <xdr:nvSpPr>
        <xdr:cNvPr id="338" name="Control 337" hidden="1">
          <a:extLst>
            <a:ext uri="{63B3BB69-23CF-44E3-9099-C40C66FF867C}">
              <a14:compatExt xmlns:a14="http://schemas.microsoft.com/office/drawing/2010/main" spid="_x0000_s1361"/>
            </a:ext>
            <a:ext uri="{FF2B5EF4-FFF2-40B4-BE49-F238E27FC236}">
              <a16:creationId xmlns:a16="http://schemas.microsoft.com/office/drawing/2014/main" id="{00000000-0008-0000-0E00-000052010000}"/>
            </a:ext>
          </a:extLst>
        </xdr:cNvPr>
        <xdr:cNvSpPr/>
      </xdr:nvSpPr>
      <xdr:spPr bwMode="auto">
        <a:xfrm>
          <a:off x="3562350" y="18021300"/>
          <a:ext cx="152400" cy="152400"/>
        </a:xfrm>
        <a:prstGeom prst="rect">
          <a:avLst/>
        </a:prstGeom>
        <a:noFill/>
        <a:ln w="9525">
          <a:miter lim="800000"/>
          <a:headEnd/>
          <a:tailEnd/>
        </a:ln>
      </xdr:spPr>
    </xdr:sp>
    <xdr:clientData/>
  </xdr:twoCellAnchor>
  <xdr:twoCellAnchor editAs="oneCell">
    <xdr:from>
      <xdr:col>2</xdr:col>
      <xdr:colOff>0</xdr:colOff>
      <xdr:row>86</xdr:row>
      <xdr:rowOff>0</xdr:rowOff>
    </xdr:from>
    <xdr:to>
      <xdr:col>2</xdr:col>
      <xdr:colOff>152400</xdr:colOff>
      <xdr:row>86</xdr:row>
      <xdr:rowOff>152400</xdr:rowOff>
    </xdr:to>
    <xdr:sp macro="" textlink="">
      <xdr:nvSpPr>
        <xdr:cNvPr id="339" name="Control 338" hidden="1">
          <a:extLst>
            <a:ext uri="{63B3BB69-23CF-44E3-9099-C40C66FF867C}">
              <a14:compatExt xmlns:a14="http://schemas.microsoft.com/office/drawing/2010/main" spid="_x0000_s1362"/>
            </a:ext>
            <a:ext uri="{FF2B5EF4-FFF2-40B4-BE49-F238E27FC236}">
              <a16:creationId xmlns:a16="http://schemas.microsoft.com/office/drawing/2014/main" id="{00000000-0008-0000-0E00-000053010000}"/>
            </a:ext>
          </a:extLst>
        </xdr:cNvPr>
        <xdr:cNvSpPr/>
      </xdr:nvSpPr>
      <xdr:spPr bwMode="auto">
        <a:xfrm>
          <a:off x="3562350" y="18021300"/>
          <a:ext cx="152400" cy="152400"/>
        </a:xfrm>
        <a:prstGeom prst="rect">
          <a:avLst/>
        </a:prstGeom>
        <a:noFill/>
        <a:ln w="9525">
          <a:miter lim="800000"/>
          <a:headEnd/>
          <a:tailEnd/>
        </a:ln>
      </xdr:spPr>
    </xdr:sp>
    <xdr:clientData/>
  </xdr:twoCellAnchor>
  <xdr:twoCellAnchor editAs="oneCell">
    <xdr:from>
      <xdr:col>0</xdr:col>
      <xdr:colOff>0</xdr:colOff>
      <xdr:row>87</xdr:row>
      <xdr:rowOff>0</xdr:rowOff>
    </xdr:from>
    <xdr:to>
      <xdr:col>0</xdr:col>
      <xdr:colOff>139700</xdr:colOff>
      <xdr:row>87</xdr:row>
      <xdr:rowOff>139700</xdr:rowOff>
    </xdr:to>
    <xdr:sp macro="" textlink="">
      <xdr:nvSpPr>
        <xdr:cNvPr id="340" name="Control 339" hidden="1">
          <a:extLst>
            <a:ext uri="{63B3BB69-23CF-44E3-9099-C40C66FF867C}">
              <a14:compatExt xmlns:a14="http://schemas.microsoft.com/office/drawing/2010/main" spid="_x0000_s1363"/>
            </a:ext>
            <a:ext uri="{FF2B5EF4-FFF2-40B4-BE49-F238E27FC236}">
              <a16:creationId xmlns:a16="http://schemas.microsoft.com/office/drawing/2014/main" id="{00000000-0008-0000-0E00-000054010000}"/>
            </a:ext>
          </a:extLst>
        </xdr:cNvPr>
        <xdr:cNvSpPr/>
      </xdr:nvSpPr>
      <xdr:spPr bwMode="auto">
        <a:xfrm>
          <a:off x="0" y="18230850"/>
          <a:ext cx="139700" cy="139700"/>
        </a:xfrm>
        <a:prstGeom prst="rect">
          <a:avLst/>
        </a:prstGeom>
        <a:noFill/>
        <a:ln w="9525">
          <a:miter lim="800000"/>
          <a:headEnd/>
          <a:tailEnd/>
        </a:ln>
      </xdr:spPr>
    </xdr:sp>
    <xdr:clientData/>
  </xdr:twoCellAnchor>
  <xdr:twoCellAnchor editAs="oneCell">
    <xdr:from>
      <xdr:col>2</xdr:col>
      <xdr:colOff>0</xdr:colOff>
      <xdr:row>87</xdr:row>
      <xdr:rowOff>0</xdr:rowOff>
    </xdr:from>
    <xdr:to>
      <xdr:col>2</xdr:col>
      <xdr:colOff>254000</xdr:colOff>
      <xdr:row>88</xdr:row>
      <xdr:rowOff>82550</xdr:rowOff>
    </xdr:to>
    <xdr:sp macro="" textlink="">
      <xdr:nvSpPr>
        <xdr:cNvPr id="341" name="Control 340" hidden="1">
          <a:extLst>
            <a:ext uri="{63B3BB69-23CF-44E3-9099-C40C66FF867C}">
              <a14:compatExt xmlns:a14="http://schemas.microsoft.com/office/drawing/2010/main" spid="_x0000_s1364"/>
            </a:ext>
            <a:ext uri="{FF2B5EF4-FFF2-40B4-BE49-F238E27FC236}">
              <a16:creationId xmlns:a16="http://schemas.microsoft.com/office/drawing/2014/main" id="{00000000-0008-0000-0E00-000055010000}"/>
            </a:ext>
          </a:extLst>
        </xdr:cNvPr>
        <xdr:cNvSpPr/>
      </xdr:nvSpPr>
      <xdr:spPr bwMode="auto">
        <a:xfrm>
          <a:off x="3562350" y="18230850"/>
          <a:ext cx="254000" cy="273050"/>
        </a:xfrm>
        <a:prstGeom prst="rect">
          <a:avLst/>
        </a:prstGeom>
        <a:noFill/>
        <a:ln w="9525">
          <a:miter lim="800000"/>
          <a:headEnd/>
          <a:tailEnd/>
        </a:ln>
      </xdr:spPr>
    </xdr:sp>
    <xdr:clientData/>
  </xdr:twoCellAnchor>
  <xdr:twoCellAnchor editAs="oneCell">
    <xdr:from>
      <xdr:col>2</xdr:col>
      <xdr:colOff>0</xdr:colOff>
      <xdr:row>87</xdr:row>
      <xdr:rowOff>0</xdr:rowOff>
    </xdr:from>
    <xdr:to>
      <xdr:col>2</xdr:col>
      <xdr:colOff>152400</xdr:colOff>
      <xdr:row>87</xdr:row>
      <xdr:rowOff>152400</xdr:rowOff>
    </xdr:to>
    <xdr:sp macro="" textlink="">
      <xdr:nvSpPr>
        <xdr:cNvPr id="342" name="Control 341" hidden="1">
          <a:extLst>
            <a:ext uri="{63B3BB69-23CF-44E3-9099-C40C66FF867C}">
              <a14:compatExt xmlns:a14="http://schemas.microsoft.com/office/drawing/2010/main" spid="_x0000_s1365"/>
            </a:ext>
            <a:ext uri="{FF2B5EF4-FFF2-40B4-BE49-F238E27FC236}">
              <a16:creationId xmlns:a16="http://schemas.microsoft.com/office/drawing/2014/main" id="{00000000-0008-0000-0E00-000056010000}"/>
            </a:ext>
          </a:extLst>
        </xdr:cNvPr>
        <xdr:cNvSpPr/>
      </xdr:nvSpPr>
      <xdr:spPr bwMode="auto">
        <a:xfrm>
          <a:off x="3562350" y="18230850"/>
          <a:ext cx="152400" cy="152400"/>
        </a:xfrm>
        <a:prstGeom prst="rect">
          <a:avLst/>
        </a:prstGeom>
        <a:noFill/>
        <a:ln w="9525">
          <a:miter lim="800000"/>
          <a:headEnd/>
          <a:tailEnd/>
        </a:ln>
      </xdr:spPr>
    </xdr:sp>
    <xdr:clientData/>
  </xdr:twoCellAnchor>
  <xdr:twoCellAnchor editAs="oneCell">
    <xdr:from>
      <xdr:col>2</xdr:col>
      <xdr:colOff>0</xdr:colOff>
      <xdr:row>87</xdr:row>
      <xdr:rowOff>0</xdr:rowOff>
    </xdr:from>
    <xdr:to>
      <xdr:col>2</xdr:col>
      <xdr:colOff>152400</xdr:colOff>
      <xdr:row>87</xdr:row>
      <xdr:rowOff>152400</xdr:rowOff>
    </xdr:to>
    <xdr:sp macro="" textlink="">
      <xdr:nvSpPr>
        <xdr:cNvPr id="343" name="Control 342" hidden="1">
          <a:extLst>
            <a:ext uri="{63B3BB69-23CF-44E3-9099-C40C66FF867C}">
              <a14:compatExt xmlns:a14="http://schemas.microsoft.com/office/drawing/2010/main" spid="_x0000_s1366"/>
            </a:ext>
            <a:ext uri="{FF2B5EF4-FFF2-40B4-BE49-F238E27FC236}">
              <a16:creationId xmlns:a16="http://schemas.microsoft.com/office/drawing/2014/main" id="{00000000-0008-0000-0E00-000057010000}"/>
            </a:ext>
          </a:extLst>
        </xdr:cNvPr>
        <xdr:cNvSpPr/>
      </xdr:nvSpPr>
      <xdr:spPr bwMode="auto">
        <a:xfrm>
          <a:off x="3562350" y="18230850"/>
          <a:ext cx="152400" cy="152400"/>
        </a:xfrm>
        <a:prstGeom prst="rect">
          <a:avLst/>
        </a:prstGeom>
        <a:noFill/>
        <a:ln w="9525">
          <a:miter lim="800000"/>
          <a:headEnd/>
          <a:tailEnd/>
        </a:ln>
      </xdr:spPr>
    </xdr:sp>
    <xdr:clientData/>
  </xdr:twoCellAnchor>
  <xdr:twoCellAnchor editAs="oneCell">
    <xdr:from>
      <xdr:col>0</xdr:col>
      <xdr:colOff>0</xdr:colOff>
      <xdr:row>88</xdr:row>
      <xdr:rowOff>0</xdr:rowOff>
    </xdr:from>
    <xdr:to>
      <xdr:col>0</xdr:col>
      <xdr:colOff>139700</xdr:colOff>
      <xdr:row>88</xdr:row>
      <xdr:rowOff>139700</xdr:rowOff>
    </xdr:to>
    <xdr:sp macro="" textlink="">
      <xdr:nvSpPr>
        <xdr:cNvPr id="344" name="Control 343" hidden="1">
          <a:extLst>
            <a:ext uri="{63B3BB69-23CF-44E3-9099-C40C66FF867C}">
              <a14:compatExt xmlns:a14="http://schemas.microsoft.com/office/drawing/2010/main" spid="_x0000_s1367"/>
            </a:ext>
            <a:ext uri="{FF2B5EF4-FFF2-40B4-BE49-F238E27FC236}">
              <a16:creationId xmlns:a16="http://schemas.microsoft.com/office/drawing/2014/main" id="{00000000-0008-0000-0E00-000058010000}"/>
            </a:ext>
          </a:extLst>
        </xdr:cNvPr>
        <xdr:cNvSpPr/>
      </xdr:nvSpPr>
      <xdr:spPr bwMode="auto">
        <a:xfrm>
          <a:off x="0" y="18440400"/>
          <a:ext cx="139700" cy="139700"/>
        </a:xfrm>
        <a:prstGeom prst="rect">
          <a:avLst/>
        </a:prstGeom>
        <a:noFill/>
        <a:ln w="9525">
          <a:miter lim="800000"/>
          <a:headEnd/>
          <a:tailEnd/>
        </a:ln>
      </xdr:spPr>
    </xdr:sp>
    <xdr:clientData/>
  </xdr:twoCellAnchor>
  <xdr:twoCellAnchor editAs="oneCell">
    <xdr:from>
      <xdr:col>2</xdr:col>
      <xdr:colOff>0</xdr:colOff>
      <xdr:row>88</xdr:row>
      <xdr:rowOff>0</xdr:rowOff>
    </xdr:from>
    <xdr:to>
      <xdr:col>2</xdr:col>
      <xdr:colOff>254000</xdr:colOff>
      <xdr:row>89</xdr:row>
      <xdr:rowOff>82550</xdr:rowOff>
    </xdr:to>
    <xdr:sp macro="" textlink="">
      <xdr:nvSpPr>
        <xdr:cNvPr id="345" name="Control 344" hidden="1">
          <a:extLst>
            <a:ext uri="{63B3BB69-23CF-44E3-9099-C40C66FF867C}">
              <a14:compatExt xmlns:a14="http://schemas.microsoft.com/office/drawing/2010/main" spid="_x0000_s1368"/>
            </a:ext>
            <a:ext uri="{FF2B5EF4-FFF2-40B4-BE49-F238E27FC236}">
              <a16:creationId xmlns:a16="http://schemas.microsoft.com/office/drawing/2014/main" id="{00000000-0008-0000-0E00-000059010000}"/>
            </a:ext>
          </a:extLst>
        </xdr:cNvPr>
        <xdr:cNvSpPr/>
      </xdr:nvSpPr>
      <xdr:spPr bwMode="auto">
        <a:xfrm>
          <a:off x="3562350" y="18440400"/>
          <a:ext cx="254000" cy="273050"/>
        </a:xfrm>
        <a:prstGeom prst="rect">
          <a:avLst/>
        </a:prstGeom>
        <a:noFill/>
        <a:ln w="9525">
          <a:miter lim="800000"/>
          <a:headEnd/>
          <a:tailEnd/>
        </a:ln>
      </xdr:spPr>
    </xdr:sp>
    <xdr:clientData/>
  </xdr:twoCellAnchor>
  <xdr:twoCellAnchor editAs="oneCell">
    <xdr:from>
      <xdr:col>2</xdr:col>
      <xdr:colOff>0</xdr:colOff>
      <xdr:row>88</xdr:row>
      <xdr:rowOff>0</xdr:rowOff>
    </xdr:from>
    <xdr:to>
      <xdr:col>2</xdr:col>
      <xdr:colOff>152400</xdr:colOff>
      <xdr:row>88</xdr:row>
      <xdr:rowOff>152400</xdr:rowOff>
    </xdr:to>
    <xdr:sp macro="" textlink="">
      <xdr:nvSpPr>
        <xdr:cNvPr id="346" name="Control 345" hidden="1">
          <a:extLst>
            <a:ext uri="{63B3BB69-23CF-44E3-9099-C40C66FF867C}">
              <a14:compatExt xmlns:a14="http://schemas.microsoft.com/office/drawing/2010/main" spid="_x0000_s1369"/>
            </a:ext>
            <a:ext uri="{FF2B5EF4-FFF2-40B4-BE49-F238E27FC236}">
              <a16:creationId xmlns:a16="http://schemas.microsoft.com/office/drawing/2014/main" id="{00000000-0008-0000-0E00-00005A010000}"/>
            </a:ext>
          </a:extLst>
        </xdr:cNvPr>
        <xdr:cNvSpPr/>
      </xdr:nvSpPr>
      <xdr:spPr bwMode="auto">
        <a:xfrm>
          <a:off x="3562350" y="18440400"/>
          <a:ext cx="152400" cy="152400"/>
        </a:xfrm>
        <a:prstGeom prst="rect">
          <a:avLst/>
        </a:prstGeom>
        <a:noFill/>
        <a:ln w="9525">
          <a:miter lim="800000"/>
          <a:headEnd/>
          <a:tailEnd/>
        </a:ln>
      </xdr:spPr>
    </xdr:sp>
    <xdr:clientData/>
  </xdr:twoCellAnchor>
  <xdr:twoCellAnchor editAs="oneCell">
    <xdr:from>
      <xdr:col>2</xdr:col>
      <xdr:colOff>0</xdr:colOff>
      <xdr:row>88</xdr:row>
      <xdr:rowOff>0</xdr:rowOff>
    </xdr:from>
    <xdr:to>
      <xdr:col>2</xdr:col>
      <xdr:colOff>152400</xdr:colOff>
      <xdr:row>88</xdr:row>
      <xdr:rowOff>152400</xdr:rowOff>
    </xdr:to>
    <xdr:sp macro="" textlink="">
      <xdr:nvSpPr>
        <xdr:cNvPr id="347" name="Control 346" hidden="1">
          <a:extLst>
            <a:ext uri="{63B3BB69-23CF-44E3-9099-C40C66FF867C}">
              <a14:compatExt xmlns:a14="http://schemas.microsoft.com/office/drawing/2010/main" spid="_x0000_s1370"/>
            </a:ext>
            <a:ext uri="{FF2B5EF4-FFF2-40B4-BE49-F238E27FC236}">
              <a16:creationId xmlns:a16="http://schemas.microsoft.com/office/drawing/2014/main" id="{00000000-0008-0000-0E00-00005B010000}"/>
            </a:ext>
          </a:extLst>
        </xdr:cNvPr>
        <xdr:cNvSpPr/>
      </xdr:nvSpPr>
      <xdr:spPr bwMode="auto">
        <a:xfrm>
          <a:off x="3562350" y="18440400"/>
          <a:ext cx="152400" cy="152400"/>
        </a:xfrm>
        <a:prstGeom prst="rect">
          <a:avLst/>
        </a:prstGeom>
        <a:noFill/>
        <a:ln w="9525">
          <a:miter lim="800000"/>
          <a:headEnd/>
          <a:tailEnd/>
        </a:ln>
      </xdr:spPr>
    </xdr:sp>
    <xdr:clientData/>
  </xdr:twoCellAnchor>
  <xdr:twoCellAnchor editAs="oneCell">
    <xdr:from>
      <xdr:col>0</xdr:col>
      <xdr:colOff>0</xdr:colOff>
      <xdr:row>89</xdr:row>
      <xdr:rowOff>0</xdr:rowOff>
    </xdr:from>
    <xdr:to>
      <xdr:col>0</xdr:col>
      <xdr:colOff>139700</xdr:colOff>
      <xdr:row>89</xdr:row>
      <xdr:rowOff>139700</xdr:rowOff>
    </xdr:to>
    <xdr:sp macro="" textlink="">
      <xdr:nvSpPr>
        <xdr:cNvPr id="348" name="Control 347" hidden="1">
          <a:extLst>
            <a:ext uri="{63B3BB69-23CF-44E3-9099-C40C66FF867C}">
              <a14:compatExt xmlns:a14="http://schemas.microsoft.com/office/drawing/2010/main" spid="_x0000_s1371"/>
            </a:ext>
            <a:ext uri="{FF2B5EF4-FFF2-40B4-BE49-F238E27FC236}">
              <a16:creationId xmlns:a16="http://schemas.microsoft.com/office/drawing/2014/main" id="{00000000-0008-0000-0E00-00005C010000}"/>
            </a:ext>
          </a:extLst>
        </xdr:cNvPr>
        <xdr:cNvSpPr/>
      </xdr:nvSpPr>
      <xdr:spPr bwMode="auto">
        <a:xfrm>
          <a:off x="0" y="18649950"/>
          <a:ext cx="139700" cy="139700"/>
        </a:xfrm>
        <a:prstGeom prst="rect">
          <a:avLst/>
        </a:prstGeom>
        <a:noFill/>
        <a:ln w="9525">
          <a:miter lim="800000"/>
          <a:headEnd/>
          <a:tailEnd/>
        </a:ln>
      </xdr:spPr>
    </xdr:sp>
    <xdr:clientData/>
  </xdr:twoCellAnchor>
  <xdr:twoCellAnchor editAs="oneCell">
    <xdr:from>
      <xdr:col>2</xdr:col>
      <xdr:colOff>0</xdr:colOff>
      <xdr:row>89</xdr:row>
      <xdr:rowOff>0</xdr:rowOff>
    </xdr:from>
    <xdr:to>
      <xdr:col>2</xdr:col>
      <xdr:colOff>254000</xdr:colOff>
      <xdr:row>90</xdr:row>
      <xdr:rowOff>82550</xdr:rowOff>
    </xdr:to>
    <xdr:sp macro="" textlink="">
      <xdr:nvSpPr>
        <xdr:cNvPr id="349" name="Control 348" hidden="1">
          <a:extLst>
            <a:ext uri="{63B3BB69-23CF-44E3-9099-C40C66FF867C}">
              <a14:compatExt xmlns:a14="http://schemas.microsoft.com/office/drawing/2010/main" spid="_x0000_s1372"/>
            </a:ext>
            <a:ext uri="{FF2B5EF4-FFF2-40B4-BE49-F238E27FC236}">
              <a16:creationId xmlns:a16="http://schemas.microsoft.com/office/drawing/2014/main" id="{00000000-0008-0000-0E00-00005D010000}"/>
            </a:ext>
          </a:extLst>
        </xdr:cNvPr>
        <xdr:cNvSpPr/>
      </xdr:nvSpPr>
      <xdr:spPr bwMode="auto">
        <a:xfrm>
          <a:off x="3562350" y="18649950"/>
          <a:ext cx="254000" cy="273050"/>
        </a:xfrm>
        <a:prstGeom prst="rect">
          <a:avLst/>
        </a:prstGeom>
        <a:noFill/>
        <a:ln w="9525">
          <a:miter lim="800000"/>
          <a:headEnd/>
          <a:tailEnd/>
        </a:ln>
      </xdr:spPr>
    </xdr:sp>
    <xdr:clientData/>
  </xdr:twoCellAnchor>
  <xdr:twoCellAnchor editAs="oneCell">
    <xdr:from>
      <xdr:col>2</xdr:col>
      <xdr:colOff>0</xdr:colOff>
      <xdr:row>89</xdr:row>
      <xdr:rowOff>0</xdr:rowOff>
    </xdr:from>
    <xdr:to>
      <xdr:col>2</xdr:col>
      <xdr:colOff>152400</xdr:colOff>
      <xdr:row>89</xdr:row>
      <xdr:rowOff>152400</xdr:rowOff>
    </xdr:to>
    <xdr:sp macro="" textlink="">
      <xdr:nvSpPr>
        <xdr:cNvPr id="350" name="Control 349" hidden="1">
          <a:extLst>
            <a:ext uri="{63B3BB69-23CF-44E3-9099-C40C66FF867C}">
              <a14:compatExt xmlns:a14="http://schemas.microsoft.com/office/drawing/2010/main" spid="_x0000_s1373"/>
            </a:ext>
            <a:ext uri="{FF2B5EF4-FFF2-40B4-BE49-F238E27FC236}">
              <a16:creationId xmlns:a16="http://schemas.microsoft.com/office/drawing/2014/main" id="{00000000-0008-0000-0E00-00005E010000}"/>
            </a:ext>
          </a:extLst>
        </xdr:cNvPr>
        <xdr:cNvSpPr/>
      </xdr:nvSpPr>
      <xdr:spPr bwMode="auto">
        <a:xfrm>
          <a:off x="3562350" y="18649950"/>
          <a:ext cx="152400" cy="152400"/>
        </a:xfrm>
        <a:prstGeom prst="rect">
          <a:avLst/>
        </a:prstGeom>
        <a:noFill/>
        <a:ln w="9525">
          <a:miter lim="800000"/>
          <a:headEnd/>
          <a:tailEnd/>
        </a:ln>
      </xdr:spPr>
    </xdr:sp>
    <xdr:clientData/>
  </xdr:twoCellAnchor>
  <xdr:twoCellAnchor editAs="oneCell">
    <xdr:from>
      <xdr:col>2</xdr:col>
      <xdr:colOff>0</xdr:colOff>
      <xdr:row>89</xdr:row>
      <xdr:rowOff>0</xdr:rowOff>
    </xdr:from>
    <xdr:to>
      <xdr:col>2</xdr:col>
      <xdr:colOff>152400</xdr:colOff>
      <xdr:row>89</xdr:row>
      <xdr:rowOff>152400</xdr:rowOff>
    </xdr:to>
    <xdr:sp macro="" textlink="">
      <xdr:nvSpPr>
        <xdr:cNvPr id="351" name="Control 350" hidden="1">
          <a:extLst>
            <a:ext uri="{63B3BB69-23CF-44E3-9099-C40C66FF867C}">
              <a14:compatExt xmlns:a14="http://schemas.microsoft.com/office/drawing/2010/main" spid="_x0000_s1374"/>
            </a:ext>
            <a:ext uri="{FF2B5EF4-FFF2-40B4-BE49-F238E27FC236}">
              <a16:creationId xmlns:a16="http://schemas.microsoft.com/office/drawing/2014/main" id="{00000000-0008-0000-0E00-00005F010000}"/>
            </a:ext>
          </a:extLst>
        </xdr:cNvPr>
        <xdr:cNvSpPr/>
      </xdr:nvSpPr>
      <xdr:spPr bwMode="auto">
        <a:xfrm>
          <a:off x="3562350" y="18649950"/>
          <a:ext cx="152400" cy="152400"/>
        </a:xfrm>
        <a:prstGeom prst="rect">
          <a:avLst/>
        </a:prstGeom>
        <a:noFill/>
        <a:ln w="9525">
          <a:miter lim="800000"/>
          <a:headEnd/>
          <a:tailEnd/>
        </a:ln>
      </xdr:spPr>
    </xdr:sp>
    <xdr:clientData/>
  </xdr:twoCellAnchor>
  <xdr:twoCellAnchor editAs="oneCell">
    <xdr:from>
      <xdr:col>0</xdr:col>
      <xdr:colOff>0</xdr:colOff>
      <xdr:row>90</xdr:row>
      <xdr:rowOff>0</xdr:rowOff>
    </xdr:from>
    <xdr:to>
      <xdr:col>0</xdr:col>
      <xdr:colOff>139700</xdr:colOff>
      <xdr:row>90</xdr:row>
      <xdr:rowOff>139700</xdr:rowOff>
    </xdr:to>
    <xdr:sp macro="" textlink="">
      <xdr:nvSpPr>
        <xdr:cNvPr id="352" name="Control 351" hidden="1">
          <a:extLst>
            <a:ext uri="{63B3BB69-23CF-44E3-9099-C40C66FF867C}">
              <a14:compatExt xmlns:a14="http://schemas.microsoft.com/office/drawing/2010/main" spid="_x0000_s1375"/>
            </a:ext>
            <a:ext uri="{FF2B5EF4-FFF2-40B4-BE49-F238E27FC236}">
              <a16:creationId xmlns:a16="http://schemas.microsoft.com/office/drawing/2014/main" id="{00000000-0008-0000-0E00-000060010000}"/>
            </a:ext>
          </a:extLst>
        </xdr:cNvPr>
        <xdr:cNvSpPr/>
      </xdr:nvSpPr>
      <xdr:spPr bwMode="auto">
        <a:xfrm>
          <a:off x="0" y="18859500"/>
          <a:ext cx="139700" cy="139700"/>
        </a:xfrm>
        <a:prstGeom prst="rect">
          <a:avLst/>
        </a:prstGeom>
        <a:noFill/>
        <a:ln w="9525">
          <a:miter lim="800000"/>
          <a:headEnd/>
          <a:tailEnd/>
        </a:ln>
      </xdr:spPr>
    </xdr:sp>
    <xdr:clientData/>
  </xdr:twoCellAnchor>
  <xdr:twoCellAnchor editAs="oneCell">
    <xdr:from>
      <xdr:col>2</xdr:col>
      <xdr:colOff>0</xdr:colOff>
      <xdr:row>90</xdr:row>
      <xdr:rowOff>0</xdr:rowOff>
    </xdr:from>
    <xdr:to>
      <xdr:col>2</xdr:col>
      <xdr:colOff>254000</xdr:colOff>
      <xdr:row>91</xdr:row>
      <xdr:rowOff>82550</xdr:rowOff>
    </xdr:to>
    <xdr:sp macro="" textlink="">
      <xdr:nvSpPr>
        <xdr:cNvPr id="353" name="Control 352" hidden="1">
          <a:extLst>
            <a:ext uri="{63B3BB69-23CF-44E3-9099-C40C66FF867C}">
              <a14:compatExt xmlns:a14="http://schemas.microsoft.com/office/drawing/2010/main" spid="_x0000_s1376"/>
            </a:ext>
            <a:ext uri="{FF2B5EF4-FFF2-40B4-BE49-F238E27FC236}">
              <a16:creationId xmlns:a16="http://schemas.microsoft.com/office/drawing/2014/main" id="{00000000-0008-0000-0E00-000061010000}"/>
            </a:ext>
          </a:extLst>
        </xdr:cNvPr>
        <xdr:cNvSpPr/>
      </xdr:nvSpPr>
      <xdr:spPr bwMode="auto">
        <a:xfrm>
          <a:off x="3562350" y="18859500"/>
          <a:ext cx="254000" cy="273050"/>
        </a:xfrm>
        <a:prstGeom prst="rect">
          <a:avLst/>
        </a:prstGeom>
        <a:noFill/>
        <a:ln w="9525">
          <a:miter lim="800000"/>
          <a:headEnd/>
          <a:tailEnd/>
        </a:ln>
      </xdr:spPr>
    </xdr:sp>
    <xdr:clientData/>
  </xdr:twoCellAnchor>
  <xdr:twoCellAnchor editAs="oneCell">
    <xdr:from>
      <xdr:col>2</xdr:col>
      <xdr:colOff>0</xdr:colOff>
      <xdr:row>90</xdr:row>
      <xdr:rowOff>0</xdr:rowOff>
    </xdr:from>
    <xdr:to>
      <xdr:col>2</xdr:col>
      <xdr:colOff>152400</xdr:colOff>
      <xdr:row>90</xdr:row>
      <xdr:rowOff>152400</xdr:rowOff>
    </xdr:to>
    <xdr:sp macro="" textlink="">
      <xdr:nvSpPr>
        <xdr:cNvPr id="354" name="Control 353" hidden="1">
          <a:extLst>
            <a:ext uri="{63B3BB69-23CF-44E3-9099-C40C66FF867C}">
              <a14:compatExt xmlns:a14="http://schemas.microsoft.com/office/drawing/2010/main" spid="_x0000_s1377"/>
            </a:ext>
            <a:ext uri="{FF2B5EF4-FFF2-40B4-BE49-F238E27FC236}">
              <a16:creationId xmlns:a16="http://schemas.microsoft.com/office/drawing/2014/main" id="{00000000-0008-0000-0E00-000062010000}"/>
            </a:ext>
          </a:extLst>
        </xdr:cNvPr>
        <xdr:cNvSpPr/>
      </xdr:nvSpPr>
      <xdr:spPr bwMode="auto">
        <a:xfrm>
          <a:off x="3562350" y="18859500"/>
          <a:ext cx="152400" cy="152400"/>
        </a:xfrm>
        <a:prstGeom prst="rect">
          <a:avLst/>
        </a:prstGeom>
        <a:noFill/>
        <a:ln w="9525">
          <a:miter lim="800000"/>
          <a:headEnd/>
          <a:tailEnd/>
        </a:ln>
      </xdr:spPr>
    </xdr:sp>
    <xdr:clientData/>
  </xdr:twoCellAnchor>
  <xdr:twoCellAnchor editAs="oneCell">
    <xdr:from>
      <xdr:col>2</xdr:col>
      <xdr:colOff>0</xdr:colOff>
      <xdr:row>90</xdr:row>
      <xdr:rowOff>0</xdr:rowOff>
    </xdr:from>
    <xdr:to>
      <xdr:col>2</xdr:col>
      <xdr:colOff>152400</xdr:colOff>
      <xdr:row>90</xdr:row>
      <xdr:rowOff>152400</xdr:rowOff>
    </xdr:to>
    <xdr:sp macro="" textlink="">
      <xdr:nvSpPr>
        <xdr:cNvPr id="355" name="Control 354" hidden="1">
          <a:extLst>
            <a:ext uri="{63B3BB69-23CF-44E3-9099-C40C66FF867C}">
              <a14:compatExt xmlns:a14="http://schemas.microsoft.com/office/drawing/2010/main" spid="_x0000_s1378"/>
            </a:ext>
            <a:ext uri="{FF2B5EF4-FFF2-40B4-BE49-F238E27FC236}">
              <a16:creationId xmlns:a16="http://schemas.microsoft.com/office/drawing/2014/main" id="{00000000-0008-0000-0E00-000063010000}"/>
            </a:ext>
          </a:extLst>
        </xdr:cNvPr>
        <xdr:cNvSpPr/>
      </xdr:nvSpPr>
      <xdr:spPr bwMode="auto">
        <a:xfrm>
          <a:off x="3562350" y="18859500"/>
          <a:ext cx="152400" cy="152400"/>
        </a:xfrm>
        <a:prstGeom prst="rect">
          <a:avLst/>
        </a:prstGeom>
        <a:noFill/>
        <a:ln w="9525">
          <a:miter lim="800000"/>
          <a:headEnd/>
          <a:tailEnd/>
        </a:ln>
      </xdr:spPr>
    </xdr:sp>
    <xdr:clientData/>
  </xdr:twoCellAnchor>
  <xdr:twoCellAnchor editAs="oneCell">
    <xdr:from>
      <xdr:col>0</xdr:col>
      <xdr:colOff>0</xdr:colOff>
      <xdr:row>91</xdr:row>
      <xdr:rowOff>0</xdr:rowOff>
    </xdr:from>
    <xdr:to>
      <xdr:col>0</xdr:col>
      <xdr:colOff>139700</xdr:colOff>
      <xdr:row>91</xdr:row>
      <xdr:rowOff>139700</xdr:rowOff>
    </xdr:to>
    <xdr:sp macro="" textlink="">
      <xdr:nvSpPr>
        <xdr:cNvPr id="356" name="Control 355" hidden="1">
          <a:extLst>
            <a:ext uri="{63B3BB69-23CF-44E3-9099-C40C66FF867C}">
              <a14:compatExt xmlns:a14="http://schemas.microsoft.com/office/drawing/2010/main" spid="_x0000_s1379"/>
            </a:ext>
            <a:ext uri="{FF2B5EF4-FFF2-40B4-BE49-F238E27FC236}">
              <a16:creationId xmlns:a16="http://schemas.microsoft.com/office/drawing/2014/main" id="{00000000-0008-0000-0E00-000064010000}"/>
            </a:ext>
          </a:extLst>
        </xdr:cNvPr>
        <xdr:cNvSpPr/>
      </xdr:nvSpPr>
      <xdr:spPr bwMode="auto">
        <a:xfrm>
          <a:off x="0" y="19069050"/>
          <a:ext cx="139700" cy="139700"/>
        </a:xfrm>
        <a:prstGeom prst="rect">
          <a:avLst/>
        </a:prstGeom>
        <a:noFill/>
        <a:ln w="9525">
          <a:miter lim="800000"/>
          <a:headEnd/>
          <a:tailEnd/>
        </a:ln>
      </xdr:spPr>
    </xdr:sp>
    <xdr:clientData/>
  </xdr:twoCellAnchor>
  <xdr:twoCellAnchor editAs="oneCell">
    <xdr:from>
      <xdr:col>2</xdr:col>
      <xdr:colOff>0</xdr:colOff>
      <xdr:row>91</xdr:row>
      <xdr:rowOff>0</xdr:rowOff>
    </xdr:from>
    <xdr:to>
      <xdr:col>2</xdr:col>
      <xdr:colOff>254000</xdr:colOff>
      <xdr:row>92</xdr:row>
      <xdr:rowOff>82550</xdr:rowOff>
    </xdr:to>
    <xdr:sp macro="" textlink="">
      <xdr:nvSpPr>
        <xdr:cNvPr id="357" name="Control 356" hidden="1">
          <a:extLst>
            <a:ext uri="{63B3BB69-23CF-44E3-9099-C40C66FF867C}">
              <a14:compatExt xmlns:a14="http://schemas.microsoft.com/office/drawing/2010/main" spid="_x0000_s1380"/>
            </a:ext>
            <a:ext uri="{FF2B5EF4-FFF2-40B4-BE49-F238E27FC236}">
              <a16:creationId xmlns:a16="http://schemas.microsoft.com/office/drawing/2014/main" id="{00000000-0008-0000-0E00-000065010000}"/>
            </a:ext>
          </a:extLst>
        </xdr:cNvPr>
        <xdr:cNvSpPr/>
      </xdr:nvSpPr>
      <xdr:spPr bwMode="auto">
        <a:xfrm>
          <a:off x="3562350" y="19069050"/>
          <a:ext cx="254000" cy="273050"/>
        </a:xfrm>
        <a:prstGeom prst="rect">
          <a:avLst/>
        </a:prstGeom>
        <a:noFill/>
        <a:ln w="9525">
          <a:miter lim="800000"/>
          <a:headEnd/>
          <a:tailEnd/>
        </a:ln>
      </xdr:spPr>
    </xdr:sp>
    <xdr:clientData/>
  </xdr:twoCellAnchor>
  <xdr:twoCellAnchor editAs="oneCell">
    <xdr:from>
      <xdr:col>2</xdr:col>
      <xdr:colOff>0</xdr:colOff>
      <xdr:row>91</xdr:row>
      <xdr:rowOff>0</xdr:rowOff>
    </xdr:from>
    <xdr:to>
      <xdr:col>2</xdr:col>
      <xdr:colOff>152400</xdr:colOff>
      <xdr:row>91</xdr:row>
      <xdr:rowOff>152400</xdr:rowOff>
    </xdr:to>
    <xdr:sp macro="" textlink="">
      <xdr:nvSpPr>
        <xdr:cNvPr id="358" name="Control 357" hidden="1">
          <a:extLst>
            <a:ext uri="{63B3BB69-23CF-44E3-9099-C40C66FF867C}">
              <a14:compatExt xmlns:a14="http://schemas.microsoft.com/office/drawing/2010/main" spid="_x0000_s1381"/>
            </a:ext>
            <a:ext uri="{FF2B5EF4-FFF2-40B4-BE49-F238E27FC236}">
              <a16:creationId xmlns:a16="http://schemas.microsoft.com/office/drawing/2014/main" id="{00000000-0008-0000-0E00-000066010000}"/>
            </a:ext>
          </a:extLst>
        </xdr:cNvPr>
        <xdr:cNvSpPr/>
      </xdr:nvSpPr>
      <xdr:spPr bwMode="auto">
        <a:xfrm>
          <a:off x="3562350" y="19069050"/>
          <a:ext cx="152400" cy="152400"/>
        </a:xfrm>
        <a:prstGeom prst="rect">
          <a:avLst/>
        </a:prstGeom>
        <a:noFill/>
        <a:ln w="9525">
          <a:miter lim="800000"/>
          <a:headEnd/>
          <a:tailEnd/>
        </a:ln>
      </xdr:spPr>
    </xdr:sp>
    <xdr:clientData/>
  </xdr:twoCellAnchor>
  <xdr:twoCellAnchor editAs="oneCell">
    <xdr:from>
      <xdr:col>2</xdr:col>
      <xdr:colOff>0</xdr:colOff>
      <xdr:row>91</xdr:row>
      <xdr:rowOff>0</xdr:rowOff>
    </xdr:from>
    <xdr:to>
      <xdr:col>2</xdr:col>
      <xdr:colOff>152400</xdr:colOff>
      <xdr:row>91</xdr:row>
      <xdr:rowOff>152400</xdr:rowOff>
    </xdr:to>
    <xdr:sp macro="" textlink="">
      <xdr:nvSpPr>
        <xdr:cNvPr id="359" name="Control 358" hidden="1">
          <a:extLst>
            <a:ext uri="{63B3BB69-23CF-44E3-9099-C40C66FF867C}">
              <a14:compatExt xmlns:a14="http://schemas.microsoft.com/office/drawing/2010/main" spid="_x0000_s1382"/>
            </a:ext>
            <a:ext uri="{FF2B5EF4-FFF2-40B4-BE49-F238E27FC236}">
              <a16:creationId xmlns:a16="http://schemas.microsoft.com/office/drawing/2014/main" id="{00000000-0008-0000-0E00-000067010000}"/>
            </a:ext>
          </a:extLst>
        </xdr:cNvPr>
        <xdr:cNvSpPr/>
      </xdr:nvSpPr>
      <xdr:spPr bwMode="auto">
        <a:xfrm>
          <a:off x="3562350" y="19069050"/>
          <a:ext cx="152400" cy="152400"/>
        </a:xfrm>
        <a:prstGeom prst="rect">
          <a:avLst/>
        </a:prstGeom>
        <a:noFill/>
        <a:ln w="9525">
          <a:miter lim="800000"/>
          <a:headEnd/>
          <a:tailEnd/>
        </a:ln>
      </xdr:spPr>
    </xdr:sp>
    <xdr:clientData/>
  </xdr:twoCellAnchor>
  <xdr:twoCellAnchor editAs="oneCell">
    <xdr:from>
      <xdr:col>0</xdr:col>
      <xdr:colOff>0</xdr:colOff>
      <xdr:row>92</xdr:row>
      <xdr:rowOff>0</xdr:rowOff>
    </xdr:from>
    <xdr:to>
      <xdr:col>0</xdr:col>
      <xdr:colOff>139700</xdr:colOff>
      <xdr:row>92</xdr:row>
      <xdr:rowOff>139700</xdr:rowOff>
    </xdr:to>
    <xdr:sp macro="" textlink="">
      <xdr:nvSpPr>
        <xdr:cNvPr id="360" name="Control 359" hidden="1">
          <a:extLst>
            <a:ext uri="{63B3BB69-23CF-44E3-9099-C40C66FF867C}">
              <a14:compatExt xmlns:a14="http://schemas.microsoft.com/office/drawing/2010/main" spid="_x0000_s1383"/>
            </a:ext>
            <a:ext uri="{FF2B5EF4-FFF2-40B4-BE49-F238E27FC236}">
              <a16:creationId xmlns:a16="http://schemas.microsoft.com/office/drawing/2014/main" id="{00000000-0008-0000-0E00-000068010000}"/>
            </a:ext>
          </a:extLst>
        </xdr:cNvPr>
        <xdr:cNvSpPr/>
      </xdr:nvSpPr>
      <xdr:spPr bwMode="auto">
        <a:xfrm>
          <a:off x="0" y="19278600"/>
          <a:ext cx="139700" cy="139700"/>
        </a:xfrm>
        <a:prstGeom prst="rect">
          <a:avLst/>
        </a:prstGeom>
        <a:noFill/>
        <a:ln w="9525">
          <a:miter lim="800000"/>
          <a:headEnd/>
          <a:tailEnd/>
        </a:ln>
      </xdr:spPr>
    </xdr:sp>
    <xdr:clientData/>
  </xdr:twoCellAnchor>
  <xdr:twoCellAnchor editAs="oneCell">
    <xdr:from>
      <xdr:col>2</xdr:col>
      <xdr:colOff>0</xdr:colOff>
      <xdr:row>92</xdr:row>
      <xdr:rowOff>0</xdr:rowOff>
    </xdr:from>
    <xdr:to>
      <xdr:col>2</xdr:col>
      <xdr:colOff>254000</xdr:colOff>
      <xdr:row>93</xdr:row>
      <xdr:rowOff>82550</xdr:rowOff>
    </xdr:to>
    <xdr:sp macro="" textlink="">
      <xdr:nvSpPr>
        <xdr:cNvPr id="361" name="Control 360" hidden="1">
          <a:extLst>
            <a:ext uri="{63B3BB69-23CF-44E3-9099-C40C66FF867C}">
              <a14:compatExt xmlns:a14="http://schemas.microsoft.com/office/drawing/2010/main" spid="_x0000_s1384"/>
            </a:ext>
            <a:ext uri="{FF2B5EF4-FFF2-40B4-BE49-F238E27FC236}">
              <a16:creationId xmlns:a16="http://schemas.microsoft.com/office/drawing/2014/main" id="{00000000-0008-0000-0E00-000069010000}"/>
            </a:ext>
          </a:extLst>
        </xdr:cNvPr>
        <xdr:cNvSpPr/>
      </xdr:nvSpPr>
      <xdr:spPr bwMode="auto">
        <a:xfrm>
          <a:off x="3562350" y="19278600"/>
          <a:ext cx="254000" cy="273050"/>
        </a:xfrm>
        <a:prstGeom prst="rect">
          <a:avLst/>
        </a:prstGeom>
        <a:noFill/>
        <a:ln w="9525">
          <a:miter lim="800000"/>
          <a:headEnd/>
          <a:tailEnd/>
        </a:ln>
      </xdr:spPr>
    </xdr:sp>
    <xdr:clientData/>
  </xdr:twoCellAnchor>
  <xdr:twoCellAnchor editAs="oneCell">
    <xdr:from>
      <xdr:col>2</xdr:col>
      <xdr:colOff>0</xdr:colOff>
      <xdr:row>92</xdr:row>
      <xdr:rowOff>0</xdr:rowOff>
    </xdr:from>
    <xdr:to>
      <xdr:col>2</xdr:col>
      <xdr:colOff>152400</xdr:colOff>
      <xdr:row>92</xdr:row>
      <xdr:rowOff>152400</xdr:rowOff>
    </xdr:to>
    <xdr:sp macro="" textlink="">
      <xdr:nvSpPr>
        <xdr:cNvPr id="362" name="Control 361" hidden="1">
          <a:extLst>
            <a:ext uri="{63B3BB69-23CF-44E3-9099-C40C66FF867C}">
              <a14:compatExt xmlns:a14="http://schemas.microsoft.com/office/drawing/2010/main" spid="_x0000_s1385"/>
            </a:ext>
            <a:ext uri="{FF2B5EF4-FFF2-40B4-BE49-F238E27FC236}">
              <a16:creationId xmlns:a16="http://schemas.microsoft.com/office/drawing/2014/main" id="{00000000-0008-0000-0E00-00006A010000}"/>
            </a:ext>
          </a:extLst>
        </xdr:cNvPr>
        <xdr:cNvSpPr/>
      </xdr:nvSpPr>
      <xdr:spPr bwMode="auto">
        <a:xfrm>
          <a:off x="3562350" y="19278600"/>
          <a:ext cx="152400" cy="152400"/>
        </a:xfrm>
        <a:prstGeom prst="rect">
          <a:avLst/>
        </a:prstGeom>
        <a:noFill/>
        <a:ln w="9525">
          <a:miter lim="800000"/>
          <a:headEnd/>
          <a:tailEnd/>
        </a:ln>
      </xdr:spPr>
    </xdr:sp>
    <xdr:clientData/>
  </xdr:twoCellAnchor>
  <xdr:twoCellAnchor editAs="oneCell">
    <xdr:from>
      <xdr:col>2</xdr:col>
      <xdr:colOff>0</xdr:colOff>
      <xdr:row>92</xdr:row>
      <xdr:rowOff>0</xdr:rowOff>
    </xdr:from>
    <xdr:to>
      <xdr:col>2</xdr:col>
      <xdr:colOff>152400</xdr:colOff>
      <xdr:row>92</xdr:row>
      <xdr:rowOff>152400</xdr:rowOff>
    </xdr:to>
    <xdr:sp macro="" textlink="">
      <xdr:nvSpPr>
        <xdr:cNvPr id="363" name="Control 362" hidden="1">
          <a:extLst>
            <a:ext uri="{63B3BB69-23CF-44E3-9099-C40C66FF867C}">
              <a14:compatExt xmlns:a14="http://schemas.microsoft.com/office/drawing/2010/main" spid="_x0000_s1386"/>
            </a:ext>
            <a:ext uri="{FF2B5EF4-FFF2-40B4-BE49-F238E27FC236}">
              <a16:creationId xmlns:a16="http://schemas.microsoft.com/office/drawing/2014/main" id="{00000000-0008-0000-0E00-00006B010000}"/>
            </a:ext>
          </a:extLst>
        </xdr:cNvPr>
        <xdr:cNvSpPr/>
      </xdr:nvSpPr>
      <xdr:spPr bwMode="auto">
        <a:xfrm>
          <a:off x="3562350" y="19278600"/>
          <a:ext cx="152400" cy="152400"/>
        </a:xfrm>
        <a:prstGeom prst="rect">
          <a:avLst/>
        </a:prstGeom>
        <a:noFill/>
        <a:ln w="9525">
          <a:miter lim="800000"/>
          <a:headEnd/>
          <a:tailEnd/>
        </a:ln>
      </xdr:spPr>
    </xdr:sp>
    <xdr:clientData/>
  </xdr:twoCellAnchor>
  <xdr:twoCellAnchor editAs="oneCell">
    <xdr:from>
      <xdr:col>0</xdr:col>
      <xdr:colOff>0</xdr:colOff>
      <xdr:row>93</xdr:row>
      <xdr:rowOff>0</xdr:rowOff>
    </xdr:from>
    <xdr:to>
      <xdr:col>0</xdr:col>
      <xdr:colOff>139700</xdr:colOff>
      <xdr:row>93</xdr:row>
      <xdr:rowOff>139700</xdr:rowOff>
    </xdr:to>
    <xdr:sp macro="" textlink="">
      <xdr:nvSpPr>
        <xdr:cNvPr id="364" name="Control 363" hidden="1">
          <a:extLst>
            <a:ext uri="{63B3BB69-23CF-44E3-9099-C40C66FF867C}">
              <a14:compatExt xmlns:a14="http://schemas.microsoft.com/office/drawing/2010/main" spid="_x0000_s1387"/>
            </a:ext>
            <a:ext uri="{FF2B5EF4-FFF2-40B4-BE49-F238E27FC236}">
              <a16:creationId xmlns:a16="http://schemas.microsoft.com/office/drawing/2014/main" id="{00000000-0008-0000-0E00-00006C010000}"/>
            </a:ext>
          </a:extLst>
        </xdr:cNvPr>
        <xdr:cNvSpPr/>
      </xdr:nvSpPr>
      <xdr:spPr bwMode="auto">
        <a:xfrm>
          <a:off x="0" y="19488150"/>
          <a:ext cx="139700" cy="139700"/>
        </a:xfrm>
        <a:prstGeom prst="rect">
          <a:avLst/>
        </a:prstGeom>
        <a:noFill/>
        <a:ln w="9525">
          <a:miter lim="800000"/>
          <a:headEnd/>
          <a:tailEnd/>
        </a:ln>
      </xdr:spPr>
    </xdr:sp>
    <xdr:clientData/>
  </xdr:twoCellAnchor>
  <xdr:twoCellAnchor editAs="oneCell">
    <xdr:from>
      <xdr:col>2</xdr:col>
      <xdr:colOff>0</xdr:colOff>
      <xdr:row>93</xdr:row>
      <xdr:rowOff>0</xdr:rowOff>
    </xdr:from>
    <xdr:to>
      <xdr:col>2</xdr:col>
      <xdr:colOff>254000</xdr:colOff>
      <xdr:row>94</xdr:row>
      <xdr:rowOff>82550</xdr:rowOff>
    </xdr:to>
    <xdr:sp macro="" textlink="">
      <xdr:nvSpPr>
        <xdr:cNvPr id="365" name="Control 364" hidden="1">
          <a:extLst>
            <a:ext uri="{63B3BB69-23CF-44E3-9099-C40C66FF867C}">
              <a14:compatExt xmlns:a14="http://schemas.microsoft.com/office/drawing/2010/main" spid="_x0000_s1388"/>
            </a:ext>
            <a:ext uri="{FF2B5EF4-FFF2-40B4-BE49-F238E27FC236}">
              <a16:creationId xmlns:a16="http://schemas.microsoft.com/office/drawing/2014/main" id="{00000000-0008-0000-0E00-00006D010000}"/>
            </a:ext>
          </a:extLst>
        </xdr:cNvPr>
        <xdr:cNvSpPr/>
      </xdr:nvSpPr>
      <xdr:spPr bwMode="auto">
        <a:xfrm>
          <a:off x="3562350" y="19488150"/>
          <a:ext cx="254000" cy="273050"/>
        </a:xfrm>
        <a:prstGeom prst="rect">
          <a:avLst/>
        </a:prstGeom>
        <a:noFill/>
        <a:ln w="9525">
          <a:miter lim="800000"/>
          <a:headEnd/>
          <a:tailEnd/>
        </a:ln>
      </xdr:spPr>
    </xdr:sp>
    <xdr:clientData/>
  </xdr:twoCellAnchor>
  <xdr:twoCellAnchor editAs="oneCell">
    <xdr:from>
      <xdr:col>2</xdr:col>
      <xdr:colOff>0</xdr:colOff>
      <xdr:row>93</xdr:row>
      <xdr:rowOff>0</xdr:rowOff>
    </xdr:from>
    <xdr:to>
      <xdr:col>2</xdr:col>
      <xdr:colOff>152400</xdr:colOff>
      <xdr:row>93</xdr:row>
      <xdr:rowOff>152400</xdr:rowOff>
    </xdr:to>
    <xdr:sp macro="" textlink="">
      <xdr:nvSpPr>
        <xdr:cNvPr id="366" name="Control 365" hidden="1">
          <a:extLst>
            <a:ext uri="{63B3BB69-23CF-44E3-9099-C40C66FF867C}">
              <a14:compatExt xmlns:a14="http://schemas.microsoft.com/office/drawing/2010/main" spid="_x0000_s1389"/>
            </a:ext>
            <a:ext uri="{FF2B5EF4-FFF2-40B4-BE49-F238E27FC236}">
              <a16:creationId xmlns:a16="http://schemas.microsoft.com/office/drawing/2014/main" id="{00000000-0008-0000-0E00-00006E010000}"/>
            </a:ext>
          </a:extLst>
        </xdr:cNvPr>
        <xdr:cNvSpPr/>
      </xdr:nvSpPr>
      <xdr:spPr bwMode="auto">
        <a:xfrm>
          <a:off x="3562350" y="19488150"/>
          <a:ext cx="152400" cy="152400"/>
        </a:xfrm>
        <a:prstGeom prst="rect">
          <a:avLst/>
        </a:prstGeom>
        <a:noFill/>
        <a:ln w="9525">
          <a:miter lim="800000"/>
          <a:headEnd/>
          <a:tailEnd/>
        </a:ln>
      </xdr:spPr>
    </xdr:sp>
    <xdr:clientData/>
  </xdr:twoCellAnchor>
  <xdr:twoCellAnchor editAs="oneCell">
    <xdr:from>
      <xdr:col>2</xdr:col>
      <xdr:colOff>0</xdr:colOff>
      <xdr:row>93</xdr:row>
      <xdr:rowOff>0</xdr:rowOff>
    </xdr:from>
    <xdr:to>
      <xdr:col>2</xdr:col>
      <xdr:colOff>152400</xdr:colOff>
      <xdr:row>93</xdr:row>
      <xdr:rowOff>152400</xdr:rowOff>
    </xdr:to>
    <xdr:sp macro="" textlink="">
      <xdr:nvSpPr>
        <xdr:cNvPr id="367" name="Control 366" hidden="1">
          <a:extLst>
            <a:ext uri="{63B3BB69-23CF-44E3-9099-C40C66FF867C}">
              <a14:compatExt xmlns:a14="http://schemas.microsoft.com/office/drawing/2010/main" spid="_x0000_s1390"/>
            </a:ext>
            <a:ext uri="{FF2B5EF4-FFF2-40B4-BE49-F238E27FC236}">
              <a16:creationId xmlns:a16="http://schemas.microsoft.com/office/drawing/2014/main" id="{00000000-0008-0000-0E00-00006F010000}"/>
            </a:ext>
          </a:extLst>
        </xdr:cNvPr>
        <xdr:cNvSpPr/>
      </xdr:nvSpPr>
      <xdr:spPr bwMode="auto">
        <a:xfrm>
          <a:off x="3562350" y="19488150"/>
          <a:ext cx="152400" cy="152400"/>
        </a:xfrm>
        <a:prstGeom prst="rect">
          <a:avLst/>
        </a:prstGeom>
        <a:noFill/>
        <a:ln w="9525">
          <a:miter lim="800000"/>
          <a:headEnd/>
          <a:tailEnd/>
        </a:ln>
      </xdr:spPr>
    </xdr:sp>
    <xdr:clientData/>
  </xdr:twoCellAnchor>
  <xdr:twoCellAnchor editAs="oneCell">
    <xdr:from>
      <xdr:col>0</xdr:col>
      <xdr:colOff>0</xdr:colOff>
      <xdr:row>94</xdr:row>
      <xdr:rowOff>0</xdr:rowOff>
    </xdr:from>
    <xdr:to>
      <xdr:col>0</xdr:col>
      <xdr:colOff>139700</xdr:colOff>
      <xdr:row>94</xdr:row>
      <xdr:rowOff>139700</xdr:rowOff>
    </xdr:to>
    <xdr:sp macro="" textlink="">
      <xdr:nvSpPr>
        <xdr:cNvPr id="368" name="Control 367" hidden="1">
          <a:extLst>
            <a:ext uri="{63B3BB69-23CF-44E3-9099-C40C66FF867C}">
              <a14:compatExt xmlns:a14="http://schemas.microsoft.com/office/drawing/2010/main" spid="_x0000_s1391"/>
            </a:ext>
            <a:ext uri="{FF2B5EF4-FFF2-40B4-BE49-F238E27FC236}">
              <a16:creationId xmlns:a16="http://schemas.microsoft.com/office/drawing/2014/main" id="{00000000-0008-0000-0E00-000070010000}"/>
            </a:ext>
          </a:extLst>
        </xdr:cNvPr>
        <xdr:cNvSpPr/>
      </xdr:nvSpPr>
      <xdr:spPr bwMode="auto">
        <a:xfrm>
          <a:off x="0" y="19697700"/>
          <a:ext cx="139700" cy="139700"/>
        </a:xfrm>
        <a:prstGeom prst="rect">
          <a:avLst/>
        </a:prstGeom>
        <a:noFill/>
        <a:ln w="9525">
          <a:miter lim="800000"/>
          <a:headEnd/>
          <a:tailEnd/>
        </a:ln>
      </xdr:spPr>
    </xdr:sp>
    <xdr:clientData/>
  </xdr:twoCellAnchor>
  <xdr:twoCellAnchor editAs="oneCell">
    <xdr:from>
      <xdr:col>2</xdr:col>
      <xdr:colOff>0</xdr:colOff>
      <xdr:row>94</xdr:row>
      <xdr:rowOff>0</xdr:rowOff>
    </xdr:from>
    <xdr:to>
      <xdr:col>2</xdr:col>
      <xdr:colOff>254000</xdr:colOff>
      <xdr:row>95</xdr:row>
      <xdr:rowOff>82550</xdr:rowOff>
    </xdr:to>
    <xdr:sp macro="" textlink="">
      <xdr:nvSpPr>
        <xdr:cNvPr id="369" name="Control 368" hidden="1">
          <a:extLst>
            <a:ext uri="{63B3BB69-23CF-44E3-9099-C40C66FF867C}">
              <a14:compatExt xmlns:a14="http://schemas.microsoft.com/office/drawing/2010/main" spid="_x0000_s1392"/>
            </a:ext>
            <a:ext uri="{FF2B5EF4-FFF2-40B4-BE49-F238E27FC236}">
              <a16:creationId xmlns:a16="http://schemas.microsoft.com/office/drawing/2014/main" id="{00000000-0008-0000-0E00-000071010000}"/>
            </a:ext>
          </a:extLst>
        </xdr:cNvPr>
        <xdr:cNvSpPr/>
      </xdr:nvSpPr>
      <xdr:spPr bwMode="auto">
        <a:xfrm>
          <a:off x="3562350" y="19697700"/>
          <a:ext cx="254000" cy="273050"/>
        </a:xfrm>
        <a:prstGeom prst="rect">
          <a:avLst/>
        </a:prstGeom>
        <a:noFill/>
        <a:ln w="9525">
          <a:miter lim="800000"/>
          <a:headEnd/>
          <a:tailEnd/>
        </a:ln>
      </xdr:spPr>
    </xdr:sp>
    <xdr:clientData/>
  </xdr:twoCellAnchor>
  <xdr:twoCellAnchor editAs="oneCell">
    <xdr:from>
      <xdr:col>2</xdr:col>
      <xdr:colOff>0</xdr:colOff>
      <xdr:row>94</xdr:row>
      <xdr:rowOff>0</xdr:rowOff>
    </xdr:from>
    <xdr:to>
      <xdr:col>2</xdr:col>
      <xdr:colOff>152400</xdr:colOff>
      <xdr:row>94</xdr:row>
      <xdr:rowOff>152400</xdr:rowOff>
    </xdr:to>
    <xdr:sp macro="" textlink="">
      <xdr:nvSpPr>
        <xdr:cNvPr id="370" name="Control 369" hidden="1">
          <a:extLst>
            <a:ext uri="{63B3BB69-23CF-44E3-9099-C40C66FF867C}">
              <a14:compatExt xmlns:a14="http://schemas.microsoft.com/office/drawing/2010/main" spid="_x0000_s1393"/>
            </a:ext>
            <a:ext uri="{FF2B5EF4-FFF2-40B4-BE49-F238E27FC236}">
              <a16:creationId xmlns:a16="http://schemas.microsoft.com/office/drawing/2014/main" id="{00000000-0008-0000-0E00-000072010000}"/>
            </a:ext>
          </a:extLst>
        </xdr:cNvPr>
        <xdr:cNvSpPr/>
      </xdr:nvSpPr>
      <xdr:spPr bwMode="auto">
        <a:xfrm>
          <a:off x="3562350" y="19697700"/>
          <a:ext cx="152400" cy="152400"/>
        </a:xfrm>
        <a:prstGeom prst="rect">
          <a:avLst/>
        </a:prstGeom>
        <a:noFill/>
        <a:ln w="9525">
          <a:miter lim="800000"/>
          <a:headEnd/>
          <a:tailEnd/>
        </a:ln>
      </xdr:spPr>
    </xdr:sp>
    <xdr:clientData/>
  </xdr:twoCellAnchor>
  <xdr:twoCellAnchor editAs="oneCell">
    <xdr:from>
      <xdr:col>2</xdr:col>
      <xdr:colOff>0</xdr:colOff>
      <xdr:row>94</xdr:row>
      <xdr:rowOff>0</xdr:rowOff>
    </xdr:from>
    <xdr:to>
      <xdr:col>2</xdr:col>
      <xdr:colOff>152400</xdr:colOff>
      <xdr:row>94</xdr:row>
      <xdr:rowOff>152400</xdr:rowOff>
    </xdr:to>
    <xdr:sp macro="" textlink="">
      <xdr:nvSpPr>
        <xdr:cNvPr id="371" name="Control 370" hidden="1">
          <a:extLst>
            <a:ext uri="{63B3BB69-23CF-44E3-9099-C40C66FF867C}">
              <a14:compatExt xmlns:a14="http://schemas.microsoft.com/office/drawing/2010/main" spid="_x0000_s1394"/>
            </a:ext>
            <a:ext uri="{FF2B5EF4-FFF2-40B4-BE49-F238E27FC236}">
              <a16:creationId xmlns:a16="http://schemas.microsoft.com/office/drawing/2014/main" id="{00000000-0008-0000-0E00-000073010000}"/>
            </a:ext>
          </a:extLst>
        </xdr:cNvPr>
        <xdr:cNvSpPr/>
      </xdr:nvSpPr>
      <xdr:spPr bwMode="auto">
        <a:xfrm>
          <a:off x="3562350" y="19697700"/>
          <a:ext cx="152400" cy="152400"/>
        </a:xfrm>
        <a:prstGeom prst="rect">
          <a:avLst/>
        </a:prstGeom>
        <a:noFill/>
        <a:ln w="9525">
          <a:miter lim="800000"/>
          <a:headEnd/>
          <a:tailEnd/>
        </a:ln>
      </xdr:spPr>
    </xdr:sp>
    <xdr:clientData/>
  </xdr:twoCellAnchor>
  <xdr:twoCellAnchor editAs="oneCell">
    <xdr:from>
      <xdr:col>0</xdr:col>
      <xdr:colOff>0</xdr:colOff>
      <xdr:row>95</xdr:row>
      <xdr:rowOff>0</xdr:rowOff>
    </xdr:from>
    <xdr:to>
      <xdr:col>0</xdr:col>
      <xdr:colOff>139700</xdr:colOff>
      <xdr:row>95</xdr:row>
      <xdr:rowOff>139700</xdr:rowOff>
    </xdr:to>
    <xdr:sp macro="" textlink="">
      <xdr:nvSpPr>
        <xdr:cNvPr id="372" name="Control 371" hidden="1">
          <a:extLst>
            <a:ext uri="{63B3BB69-23CF-44E3-9099-C40C66FF867C}">
              <a14:compatExt xmlns:a14="http://schemas.microsoft.com/office/drawing/2010/main" spid="_x0000_s1395"/>
            </a:ext>
            <a:ext uri="{FF2B5EF4-FFF2-40B4-BE49-F238E27FC236}">
              <a16:creationId xmlns:a16="http://schemas.microsoft.com/office/drawing/2014/main" id="{00000000-0008-0000-0E00-000074010000}"/>
            </a:ext>
          </a:extLst>
        </xdr:cNvPr>
        <xdr:cNvSpPr/>
      </xdr:nvSpPr>
      <xdr:spPr bwMode="auto">
        <a:xfrm>
          <a:off x="0" y="19907250"/>
          <a:ext cx="139700" cy="139700"/>
        </a:xfrm>
        <a:prstGeom prst="rect">
          <a:avLst/>
        </a:prstGeom>
        <a:noFill/>
        <a:ln w="9525">
          <a:miter lim="800000"/>
          <a:headEnd/>
          <a:tailEnd/>
        </a:ln>
      </xdr:spPr>
    </xdr:sp>
    <xdr:clientData/>
  </xdr:twoCellAnchor>
  <xdr:twoCellAnchor editAs="oneCell">
    <xdr:from>
      <xdr:col>2</xdr:col>
      <xdr:colOff>0</xdr:colOff>
      <xdr:row>95</xdr:row>
      <xdr:rowOff>0</xdr:rowOff>
    </xdr:from>
    <xdr:to>
      <xdr:col>2</xdr:col>
      <xdr:colOff>254000</xdr:colOff>
      <xdr:row>96</xdr:row>
      <xdr:rowOff>82550</xdr:rowOff>
    </xdr:to>
    <xdr:sp macro="" textlink="">
      <xdr:nvSpPr>
        <xdr:cNvPr id="373" name="Control 372" hidden="1">
          <a:extLst>
            <a:ext uri="{63B3BB69-23CF-44E3-9099-C40C66FF867C}">
              <a14:compatExt xmlns:a14="http://schemas.microsoft.com/office/drawing/2010/main" spid="_x0000_s1396"/>
            </a:ext>
            <a:ext uri="{FF2B5EF4-FFF2-40B4-BE49-F238E27FC236}">
              <a16:creationId xmlns:a16="http://schemas.microsoft.com/office/drawing/2014/main" id="{00000000-0008-0000-0E00-000075010000}"/>
            </a:ext>
          </a:extLst>
        </xdr:cNvPr>
        <xdr:cNvSpPr/>
      </xdr:nvSpPr>
      <xdr:spPr bwMode="auto">
        <a:xfrm>
          <a:off x="3562350" y="19907250"/>
          <a:ext cx="254000" cy="273050"/>
        </a:xfrm>
        <a:prstGeom prst="rect">
          <a:avLst/>
        </a:prstGeom>
        <a:noFill/>
        <a:ln w="9525">
          <a:miter lim="800000"/>
          <a:headEnd/>
          <a:tailEnd/>
        </a:ln>
      </xdr:spPr>
    </xdr:sp>
    <xdr:clientData/>
  </xdr:twoCellAnchor>
  <xdr:twoCellAnchor editAs="oneCell">
    <xdr:from>
      <xdr:col>2</xdr:col>
      <xdr:colOff>0</xdr:colOff>
      <xdr:row>95</xdr:row>
      <xdr:rowOff>0</xdr:rowOff>
    </xdr:from>
    <xdr:to>
      <xdr:col>2</xdr:col>
      <xdr:colOff>152400</xdr:colOff>
      <xdr:row>95</xdr:row>
      <xdr:rowOff>152400</xdr:rowOff>
    </xdr:to>
    <xdr:sp macro="" textlink="">
      <xdr:nvSpPr>
        <xdr:cNvPr id="374" name="Control 373" hidden="1">
          <a:extLst>
            <a:ext uri="{63B3BB69-23CF-44E3-9099-C40C66FF867C}">
              <a14:compatExt xmlns:a14="http://schemas.microsoft.com/office/drawing/2010/main" spid="_x0000_s1397"/>
            </a:ext>
            <a:ext uri="{FF2B5EF4-FFF2-40B4-BE49-F238E27FC236}">
              <a16:creationId xmlns:a16="http://schemas.microsoft.com/office/drawing/2014/main" id="{00000000-0008-0000-0E00-000076010000}"/>
            </a:ext>
          </a:extLst>
        </xdr:cNvPr>
        <xdr:cNvSpPr/>
      </xdr:nvSpPr>
      <xdr:spPr bwMode="auto">
        <a:xfrm>
          <a:off x="3562350" y="19907250"/>
          <a:ext cx="152400" cy="152400"/>
        </a:xfrm>
        <a:prstGeom prst="rect">
          <a:avLst/>
        </a:prstGeom>
        <a:noFill/>
        <a:ln w="9525">
          <a:miter lim="800000"/>
          <a:headEnd/>
          <a:tailEnd/>
        </a:ln>
      </xdr:spPr>
    </xdr:sp>
    <xdr:clientData/>
  </xdr:twoCellAnchor>
  <xdr:twoCellAnchor editAs="oneCell">
    <xdr:from>
      <xdr:col>2</xdr:col>
      <xdr:colOff>0</xdr:colOff>
      <xdr:row>95</xdr:row>
      <xdr:rowOff>0</xdr:rowOff>
    </xdr:from>
    <xdr:to>
      <xdr:col>2</xdr:col>
      <xdr:colOff>152400</xdr:colOff>
      <xdr:row>95</xdr:row>
      <xdr:rowOff>152400</xdr:rowOff>
    </xdr:to>
    <xdr:sp macro="" textlink="">
      <xdr:nvSpPr>
        <xdr:cNvPr id="375" name="Control 374" hidden="1">
          <a:extLst>
            <a:ext uri="{63B3BB69-23CF-44E3-9099-C40C66FF867C}">
              <a14:compatExt xmlns:a14="http://schemas.microsoft.com/office/drawing/2010/main" spid="_x0000_s1398"/>
            </a:ext>
            <a:ext uri="{FF2B5EF4-FFF2-40B4-BE49-F238E27FC236}">
              <a16:creationId xmlns:a16="http://schemas.microsoft.com/office/drawing/2014/main" id="{00000000-0008-0000-0E00-000077010000}"/>
            </a:ext>
          </a:extLst>
        </xdr:cNvPr>
        <xdr:cNvSpPr/>
      </xdr:nvSpPr>
      <xdr:spPr bwMode="auto">
        <a:xfrm>
          <a:off x="3562350" y="19907250"/>
          <a:ext cx="152400" cy="152400"/>
        </a:xfrm>
        <a:prstGeom prst="rect">
          <a:avLst/>
        </a:prstGeom>
        <a:noFill/>
        <a:ln w="9525">
          <a:miter lim="800000"/>
          <a:headEnd/>
          <a:tailEnd/>
        </a:ln>
      </xdr:spPr>
    </xdr:sp>
    <xdr:clientData/>
  </xdr:twoCellAnchor>
  <xdr:twoCellAnchor editAs="oneCell">
    <xdr:from>
      <xdr:col>0</xdr:col>
      <xdr:colOff>0</xdr:colOff>
      <xdr:row>96</xdr:row>
      <xdr:rowOff>0</xdr:rowOff>
    </xdr:from>
    <xdr:to>
      <xdr:col>0</xdr:col>
      <xdr:colOff>139700</xdr:colOff>
      <xdr:row>96</xdr:row>
      <xdr:rowOff>139700</xdr:rowOff>
    </xdr:to>
    <xdr:sp macro="" textlink="">
      <xdr:nvSpPr>
        <xdr:cNvPr id="376" name="Control 375" hidden="1">
          <a:extLst>
            <a:ext uri="{63B3BB69-23CF-44E3-9099-C40C66FF867C}">
              <a14:compatExt xmlns:a14="http://schemas.microsoft.com/office/drawing/2010/main" spid="_x0000_s1399"/>
            </a:ext>
            <a:ext uri="{FF2B5EF4-FFF2-40B4-BE49-F238E27FC236}">
              <a16:creationId xmlns:a16="http://schemas.microsoft.com/office/drawing/2014/main" id="{00000000-0008-0000-0E00-000078010000}"/>
            </a:ext>
          </a:extLst>
        </xdr:cNvPr>
        <xdr:cNvSpPr/>
      </xdr:nvSpPr>
      <xdr:spPr bwMode="auto">
        <a:xfrm>
          <a:off x="0" y="20116800"/>
          <a:ext cx="139700" cy="139700"/>
        </a:xfrm>
        <a:prstGeom prst="rect">
          <a:avLst/>
        </a:prstGeom>
        <a:noFill/>
        <a:ln w="9525">
          <a:miter lim="800000"/>
          <a:headEnd/>
          <a:tailEnd/>
        </a:ln>
      </xdr:spPr>
    </xdr:sp>
    <xdr:clientData/>
  </xdr:twoCellAnchor>
  <xdr:twoCellAnchor editAs="oneCell">
    <xdr:from>
      <xdr:col>2</xdr:col>
      <xdr:colOff>0</xdr:colOff>
      <xdr:row>96</xdr:row>
      <xdr:rowOff>0</xdr:rowOff>
    </xdr:from>
    <xdr:to>
      <xdr:col>2</xdr:col>
      <xdr:colOff>254000</xdr:colOff>
      <xdr:row>97</xdr:row>
      <xdr:rowOff>82550</xdr:rowOff>
    </xdr:to>
    <xdr:sp macro="" textlink="">
      <xdr:nvSpPr>
        <xdr:cNvPr id="377" name="Control 376" hidden="1">
          <a:extLst>
            <a:ext uri="{63B3BB69-23CF-44E3-9099-C40C66FF867C}">
              <a14:compatExt xmlns:a14="http://schemas.microsoft.com/office/drawing/2010/main" spid="_x0000_s1400"/>
            </a:ext>
            <a:ext uri="{FF2B5EF4-FFF2-40B4-BE49-F238E27FC236}">
              <a16:creationId xmlns:a16="http://schemas.microsoft.com/office/drawing/2014/main" id="{00000000-0008-0000-0E00-000079010000}"/>
            </a:ext>
          </a:extLst>
        </xdr:cNvPr>
        <xdr:cNvSpPr/>
      </xdr:nvSpPr>
      <xdr:spPr bwMode="auto">
        <a:xfrm>
          <a:off x="3562350" y="20116800"/>
          <a:ext cx="254000" cy="273050"/>
        </a:xfrm>
        <a:prstGeom prst="rect">
          <a:avLst/>
        </a:prstGeom>
        <a:noFill/>
        <a:ln w="9525">
          <a:miter lim="800000"/>
          <a:headEnd/>
          <a:tailEnd/>
        </a:ln>
      </xdr:spPr>
    </xdr:sp>
    <xdr:clientData/>
  </xdr:twoCellAnchor>
  <xdr:twoCellAnchor editAs="oneCell">
    <xdr:from>
      <xdr:col>2</xdr:col>
      <xdr:colOff>0</xdr:colOff>
      <xdr:row>96</xdr:row>
      <xdr:rowOff>0</xdr:rowOff>
    </xdr:from>
    <xdr:to>
      <xdr:col>2</xdr:col>
      <xdr:colOff>152400</xdr:colOff>
      <xdr:row>96</xdr:row>
      <xdr:rowOff>152400</xdr:rowOff>
    </xdr:to>
    <xdr:sp macro="" textlink="">
      <xdr:nvSpPr>
        <xdr:cNvPr id="378" name="Control 377" hidden="1">
          <a:extLst>
            <a:ext uri="{63B3BB69-23CF-44E3-9099-C40C66FF867C}">
              <a14:compatExt xmlns:a14="http://schemas.microsoft.com/office/drawing/2010/main" spid="_x0000_s1401"/>
            </a:ext>
            <a:ext uri="{FF2B5EF4-FFF2-40B4-BE49-F238E27FC236}">
              <a16:creationId xmlns:a16="http://schemas.microsoft.com/office/drawing/2014/main" id="{00000000-0008-0000-0E00-00007A010000}"/>
            </a:ext>
          </a:extLst>
        </xdr:cNvPr>
        <xdr:cNvSpPr/>
      </xdr:nvSpPr>
      <xdr:spPr bwMode="auto">
        <a:xfrm>
          <a:off x="3562350" y="20116800"/>
          <a:ext cx="152400" cy="152400"/>
        </a:xfrm>
        <a:prstGeom prst="rect">
          <a:avLst/>
        </a:prstGeom>
        <a:noFill/>
        <a:ln w="9525">
          <a:miter lim="800000"/>
          <a:headEnd/>
          <a:tailEnd/>
        </a:ln>
      </xdr:spPr>
    </xdr:sp>
    <xdr:clientData/>
  </xdr:twoCellAnchor>
  <xdr:twoCellAnchor editAs="oneCell">
    <xdr:from>
      <xdr:col>2</xdr:col>
      <xdr:colOff>0</xdr:colOff>
      <xdr:row>96</xdr:row>
      <xdr:rowOff>0</xdr:rowOff>
    </xdr:from>
    <xdr:to>
      <xdr:col>2</xdr:col>
      <xdr:colOff>152400</xdr:colOff>
      <xdr:row>96</xdr:row>
      <xdr:rowOff>152400</xdr:rowOff>
    </xdr:to>
    <xdr:sp macro="" textlink="">
      <xdr:nvSpPr>
        <xdr:cNvPr id="379" name="Control 378" hidden="1">
          <a:extLst>
            <a:ext uri="{63B3BB69-23CF-44E3-9099-C40C66FF867C}">
              <a14:compatExt xmlns:a14="http://schemas.microsoft.com/office/drawing/2010/main" spid="_x0000_s1402"/>
            </a:ext>
            <a:ext uri="{FF2B5EF4-FFF2-40B4-BE49-F238E27FC236}">
              <a16:creationId xmlns:a16="http://schemas.microsoft.com/office/drawing/2014/main" id="{00000000-0008-0000-0E00-00007B010000}"/>
            </a:ext>
          </a:extLst>
        </xdr:cNvPr>
        <xdr:cNvSpPr/>
      </xdr:nvSpPr>
      <xdr:spPr bwMode="auto">
        <a:xfrm>
          <a:off x="3562350" y="20116800"/>
          <a:ext cx="152400" cy="152400"/>
        </a:xfrm>
        <a:prstGeom prst="rect">
          <a:avLst/>
        </a:prstGeom>
        <a:noFill/>
        <a:ln w="9525">
          <a:miter lim="800000"/>
          <a:headEnd/>
          <a:tailEnd/>
        </a:ln>
      </xdr:spPr>
    </xdr:sp>
    <xdr:clientData/>
  </xdr:twoCellAnchor>
  <xdr:twoCellAnchor editAs="oneCell">
    <xdr:from>
      <xdr:col>0</xdr:col>
      <xdr:colOff>0</xdr:colOff>
      <xdr:row>97</xdr:row>
      <xdr:rowOff>0</xdr:rowOff>
    </xdr:from>
    <xdr:to>
      <xdr:col>0</xdr:col>
      <xdr:colOff>139700</xdr:colOff>
      <xdr:row>97</xdr:row>
      <xdr:rowOff>139700</xdr:rowOff>
    </xdr:to>
    <xdr:sp macro="" textlink="">
      <xdr:nvSpPr>
        <xdr:cNvPr id="380" name="Control 379" hidden="1">
          <a:extLst>
            <a:ext uri="{63B3BB69-23CF-44E3-9099-C40C66FF867C}">
              <a14:compatExt xmlns:a14="http://schemas.microsoft.com/office/drawing/2010/main" spid="_x0000_s1403"/>
            </a:ext>
            <a:ext uri="{FF2B5EF4-FFF2-40B4-BE49-F238E27FC236}">
              <a16:creationId xmlns:a16="http://schemas.microsoft.com/office/drawing/2014/main" id="{00000000-0008-0000-0E00-00007C010000}"/>
            </a:ext>
          </a:extLst>
        </xdr:cNvPr>
        <xdr:cNvSpPr/>
      </xdr:nvSpPr>
      <xdr:spPr bwMode="auto">
        <a:xfrm>
          <a:off x="0" y="20326350"/>
          <a:ext cx="139700" cy="139700"/>
        </a:xfrm>
        <a:prstGeom prst="rect">
          <a:avLst/>
        </a:prstGeom>
        <a:noFill/>
        <a:ln w="9525">
          <a:miter lim="800000"/>
          <a:headEnd/>
          <a:tailEnd/>
        </a:ln>
      </xdr:spPr>
    </xdr:sp>
    <xdr:clientData/>
  </xdr:twoCellAnchor>
  <xdr:twoCellAnchor editAs="oneCell">
    <xdr:from>
      <xdr:col>2</xdr:col>
      <xdr:colOff>0</xdr:colOff>
      <xdr:row>97</xdr:row>
      <xdr:rowOff>0</xdr:rowOff>
    </xdr:from>
    <xdr:to>
      <xdr:col>2</xdr:col>
      <xdr:colOff>254000</xdr:colOff>
      <xdr:row>98</xdr:row>
      <xdr:rowOff>82550</xdr:rowOff>
    </xdr:to>
    <xdr:sp macro="" textlink="">
      <xdr:nvSpPr>
        <xdr:cNvPr id="381" name="Control 380" hidden="1">
          <a:extLst>
            <a:ext uri="{63B3BB69-23CF-44E3-9099-C40C66FF867C}">
              <a14:compatExt xmlns:a14="http://schemas.microsoft.com/office/drawing/2010/main" spid="_x0000_s1404"/>
            </a:ext>
            <a:ext uri="{FF2B5EF4-FFF2-40B4-BE49-F238E27FC236}">
              <a16:creationId xmlns:a16="http://schemas.microsoft.com/office/drawing/2014/main" id="{00000000-0008-0000-0E00-00007D010000}"/>
            </a:ext>
          </a:extLst>
        </xdr:cNvPr>
        <xdr:cNvSpPr/>
      </xdr:nvSpPr>
      <xdr:spPr bwMode="auto">
        <a:xfrm>
          <a:off x="3562350" y="20326350"/>
          <a:ext cx="254000" cy="273050"/>
        </a:xfrm>
        <a:prstGeom prst="rect">
          <a:avLst/>
        </a:prstGeom>
        <a:noFill/>
        <a:ln w="9525">
          <a:miter lim="800000"/>
          <a:headEnd/>
          <a:tailEnd/>
        </a:ln>
      </xdr:spPr>
    </xdr:sp>
    <xdr:clientData/>
  </xdr:twoCellAnchor>
  <xdr:twoCellAnchor editAs="oneCell">
    <xdr:from>
      <xdr:col>2</xdr:col>
      <xdr:colOff>0</xdr:colOff>
      <xdr:row>97</xdr:row>
      <xdr:rowOff>0</xdr:rowOff>
    </xdr:from>
    <xdr:to>
      <xdr:col>2</xdr:col>
      <xdr:colOff>152400</xdr:colOff>
      <xdr:row>97</xdr:row>
      <xdr:rowOff>152400</xdr:rowOff>
    </xdr:to>
    <xdr:sp macro="" textlink="">
      <xdr:nvSpPr>
        <xdr:cNvPr id="382" name="Control 381" hidden="1">
          <a:extLst>
            <a:ext uri="{63B3BB69-23CF-44E3-9099-C40C66FF867C}">
              <a14:compatExt xmlns:a14="http://schemas.microsoft.com/office/drawing/2010/main" spid="_x0000_s1405"/>
            </a:ext>
            <a:ext uri="{FF2B5EF4-FFF2-40B4-BE49-F238E27FC236}">
              <a16:creationId xmlns:a16="http://schemas.microsoft.com/office/drawing/2014/main" id="{00000000-0008-0000-0E00-00007E010000}"/>
            </a:ext>
          </a:extLst>
        </xdr:cNvPr>
        <xdr:cNvSpPr/>
      </xdr:nvSpPr>
      <xdr:spPr bwMode="auto">
        <a:xfrm>
          <a:off x="3562350" y="20326350"/>
          <a:ext cx="152400" cy="152400"/>
        </a:xfrm>
        <a:prstGeom prst="rect">
          <a:avLst/>
        </a:prstGeom>
        <a:noFill/>
        <a:ln w="9525">
          <a:miter lim="800000"/>
          <a:headEnd/>
          <a:tailEnd/>
        </a:ln>
      </xdr:spPr>
    </xdr:sp>
    <xdr:clientData/>
  </xdr:twoCellAnchor>
  <xdr:twoCellAnchor editAs="oneCell">
    <xdr:from>
      <xdr:col>2</xdr:col>
      <xdr:colOff>0</xdr:colOff>
      <xdr:row>97</xdr:row>
      <xdr:rowOff>0</xdr:rowOff>
    </xdr:from>
    <xdr:to>
      <xdr:col>2</xdr:col>
      <xdr:colOff>152400</xdr:colOff>
      <xdr:row>97</xdr:row>
      <xdr:rowOff>152400</xdr:rowOff>
    </xdr:to>
    <xdr:sp macro="" textlink="">
      <xdr:nvSpPr>
        <xdr:cNvPr id="383" name="Control 382" hidden="1">
          <a:extLst>
            <a:ext uri="{63B3BB69-23CF-44E3-9099-C40C66FF867C}">
              <a14:compatExt xmlns:a14="http://schemas.microsoft.com/office/drawing/2010/main" spid="_x0000_s1406"/>
            </a:ext>
            <a:ext uri="{FF2B5EF4-FFF2-40B4-BE49-F238E27FC236}">
              <a16:creationId xmlns:a16="http://schemas.microsoft.com/office/drawing/2014/main" id="{00000000-0008-0000-0E00-00007F010000}"/>
            </a:ext>
          </a:extLst>
        </xdr:cNvPr>
        <xdr:cNvSpPr/>
      </xdr:nvSpPr>
      <xdr:spPr bwMode="auto">
        <a:xfrm>
          <a:off x="3562350" y="20326350"/>
          <a:ext cx="152400" cy="152400"/>
        </a:xfrm>
        <a:prstGeom prst="rect">
          <a:avLst/>
        </a:prstGeom>
        <a:noFill/>
        <a:ln w="9525">
          <a:miter lim="800000"/>
          <a:headEnd/>
          <a:tailEnd/>
        </a:ln>
      </xdr:spPr>
    </xdr:sp>
    <xdr:clientData/>
  </xdr:twoCellAnchor>
  <xdr:twoCellAnchor editAs="oneCell">
    <xdr:from>
      <xdr:col>0</xdr:col>
      <xdr:colOff>0</xdr:colOff>
      <xdr:row>98</xdr:row>
      <xdr:rowOff>0</xdr:rowOff>
    </xdr:from>
    <xdr:to>
      <xdr:col>0</xdr:col>
      <xdr:colOff>139700</xdr:colOff>
      <xdr:row>98</xdr:row>
      <xdr:rowOff>139700</xdr:rowOff>
    </xdr:to>
    <xdr:sp macro="" textlink="">
      <xdr:nvSpPr>
        <xdr:cNvPr id="384" name="Control 383" hidden="1">
          <a:extLst>
            <a:ext uri="{63B3BB69-23CF-44E3-9099-C40C66FF867C}">
              <a14:compatExt xmlns:a14="http://schemas.microsoft.com/office/drawing/2010/main" spid="_x0000_s1407"/>
            </a:ext>
            <a:ext uri="{FF2B5EF4-FFF2-40B4-BE49-F238E27FC236}">
              <a16:creationId xmlns:a16="http://schemas.microsoft.com/office/drawing/2014/main" id="{00000000-0008-0000-0E00-000080010000}"/>
            </a:ext>
          </a:extLst>
        </xdr:cNvPr>
        <xdr:cNvSpPr/>
      </xdr:nvSpPr>
      <xdr:spPr bwMode="auto">
        <a:xfrm>
          <a:off x="0" y="20535900"/>
          <a:ext cx="139700" cy="139700"/>
        </a:xfrm>
        <a:prstGeom prst="rect">
          <a:avLst/>
        </a:prstGeom>
        <a:noFill/>
        <a:ln w="9525">
          <a:miter lim="800000"/>
          <a:headEnd/>
          <a:tailEnd/>
        </a:ln>
      </xdr:spPr>
    </xdr:sp>
    <xdr:clientData/>
  </xdr:twoCellAnchor>
  <xdr:twoCellAnchor editAs="oneCell">
    <xdr:from>
      <xdr:col>2</xdr:col>
      <xdr:colOff>0</xdr:colOff>
      <xdr:row>98</xdr:row>
      <xdr:rowOff>0</xdr:rowOff>
    </xdr:from>
    <xdr:to>
      <xdr:col>2</xdr:col>
      <xdr:colOff>254000</xdr:colOff>
      <xdr:row>99</xdr:row>
      <xdr:rowOff>82550</xdr:rowOff>
    </xdr:to>
    <xdr:sp macro="" textlink="">
      <xdr:nvSpPr>
        <xdr:cNvPr id="385" name="Control 384" hidden="1">
          <a:extLst>
            <a:ext uri="{63B3BB69-23CF-44E3-9099-C40C66FF867C}">
              <a14:compatExt xmlns:a14="http://schemas.microsoft.com/office/drawing/2010/main" spid="_x0000_s1408"/>
            </a:ext>
            <a:ext uri="{FF2B5EF4-FFF2-40B4-BE49-F238E27FC236}">
              <a16:creationId xmlns:a16="http://schemas.microsoft.com/office/drawing/2014/main" id="{00000000-0008-0000-0E00-000081010000}"/>
            </a:ext>
          </a:extLst>
        </xdr:cNvPr>
        <xdr:cNvSpPr/>
      </xdr:nvSpPr>
      <xdr:spPr bwMode="auto">
        <a:xfrm>
          <a:off x="3562350" y="20535900"/>
          <a:ext cx="254000" cy="273050"/>
        </a:xfrm>
        <a:prstGeom prst="rect">
          <a:avLst/>
        </a:prstGeom>
        <a:noFill/>
        <a:ln w="9525">
          <a:miter lim="800000"/>
          <a:headEnd/>
          <a:tailEnd/>
        </a:ln>
      </xdr:spPr>
    </xdr:sp>
    <xdr:clientData/>
  </xdr:twoCellAnchor>
  <xdr:twoCellAnchor editAs="oneCell">
    <xdr:from>
      <xdr:col>2</xdr:col>
      <xdr:colOff>0</xdr:colOff>
      <xdr:row>98</xdr:row>
      <xdr:rowOff>0</xdr:rowOff>
    </xdr:from>
    <xdr:to>
      <xdr:col>2</xdr:col>
      <xdr:colOff>152400</xdr:colOff>
      <xdr:row>98</xdr:row>
      <xdr:rowOff>152400</xdr:rowOff>
    </xdr:to>
    <xdr:sp macro="" textlink="">
      <xdr:nvSpPr>
        <xdr:cNvPr id="386" name="Control 385" hidden="1">
          <a:extLst>
            <a:ext uri="{63B3BB69-23CF-44E3-9099-C40C66FF867C}">
              <a14:compatExt xmlns:a14="http://schemas.microsoft.com/office/drawing/2010/main" spid="_x0000_s1409"/>
            </a:ext>
            <a:ext uri="{FF2B5EF4-FFF2-40B4-BE49-F238E27FC236}">
              <a16:creationId xmlns:a16="http://schemas.microsoft.com/office/drawing/2014/main" id="{00000000-0008-0000-0E00-000082010000}"/>
            </a:ext>
          </a:extLst>
        </xdr:cNvPr>
        <xdr:cNvSpPr/>
      </xdr:nvSpPr>
      <xdr:spPr bwMode="auto">
        <a:xfrm>
          <a:off x="3562350" y="20535900"/>
          <a:ext cx="152400" cy="152400"/>
        </a:xfrm>
        <a:prstGeom prst="rect">
          <a:avLst/>
        </a:prstGeom>
        <a:noFill/>
        <a:ln w="9525">
          <a:miter lim="800000"/>
          <a:headEnd/>
          <a:tailEnd/>
        </a:ln>
      </xdr:spPr>
    </xdr:sp>
    <xdr:clientData/>
  </xdr:twoCellAnchor>
  <xdr:twoCellAnchor editAs="oneCell">
    <xdr:from>
      <xdr:col>2</xdr:col>
      <xdr:colOff>0</xdr:colOff>
      <xdr:row>98</xdr:row>
      <xdr:rowOff>0</xdr:rowOff>
    </xdr:from>
    <xdr:to>
      <xdr:col>2</xdr:col>
      <xdr:colOff>152400</xdr:colOff>
      <xdr:row>98</xdr:row>
      <xdr:rowOff>152400</xdr:rowOff>
    </xdr:to>
    <xdr:sp macro="" textlink="">
      <xdr:nvSpPr>
        <xdr:cNvPr id="387" name="Control 386" hidden="1">
          <a:extLst>
            <a:ext uri="{63B3BB69-23CF-44E3-9099-C40C66FF867C}">
              <a14:compatExt xmlns:a14="http://schemas.microsoft.com/office/drawing/2010/main" spid="_x0000_s1410"/>
            </a:ext>
            <a:ext uri="{FF2B5EF4-FFF2-40B4-BE49-F238E27FC236}">
              <a16:creationId xmlns:a16="http://schemas.microsoft.com/office/drawing/2014/main" id="{00000000-0008-0000-0E00-000083010000}"/>
            </a:ext>
          </a:extLst>
        </xdr:cNvPr>
        <xdr:cNvSpPr/>
      </xdr:nvSpPr>
      <xdr:spPr bwMode="auto">
        <a:xfrm>
          <a:off x="3562350" y="20535900"/>
          <a:ext cx="152400" cy="152400"/>
        </a:xfrm>
        <a:prstGeom prst="rect">
          <a:avLst/>
        </a:prstGeom>
        <a:noFill/>
        <a:ln w="9525">
          <a:miter lim="800000"/>
          <a:headEnd/>
          <a:tailEnd/>
        </a:ln>
      </xdr:spPr>
    </xdr:sp>
    <xdr:clientData/>
  </xdr:twoCellAnchor>
  <xdr:twoCellAnchor editAs="oneCell">
    <xdr:from>
      <xdr:col>0</xdr:col>
      <xdr:colOff>0</xdr:colOff>
      <xdr:row>99</xdr:row>
      <xdr:rowOff>0</xdr:rowOff>
    </xdr:from>
    <xdr:to>
      <xdr:col>0</xdr:col>
      <xdr:colOff>139700</xdr:colOff>
      <xdr:row>99</xdr:row>
      <xdr:rowOff>139700</xdr:rowOff>
    </xdr:to>
    <xdr:sp macro="" textlink="">
      <xdr:nvSpPr>
        <xdr:cNvPr id="388" name="Control 387" hidden="1">
          <a:extLst>
            <a:ext uri="{63B3BB69-23CF-44E3-9099-C40C66FF867C}">
              <a14:compatExt xmlns:a14="http://schemas.microsoft.com/office/drawing/2010/main" spid="_x0000_s1411"/>
            </a:ext>
            <a:ext uri="{FF2B5EF4-FFF2-40B4-BE49-F238E27FC236}">
              <a16:creationId xmlns:a16="http://schemas.microsoft.com/office/drawing/2014/main" id="{00000000-0008-0000-0E00-000084010000}"/>
            </a:ext>
          </a:extLst>
        </xdr:cNvPr>
        <xdr:cNvSpPr/>
      </xdr:nvSpPr>
      <xdr:spPr bwMode="auto">
        <a:xfrm>
          <a:off x="0" y="20745450"/>
          <a:ext cx="139700" cy="139700"/>
        </a:xfrm>
        <a:prstGeom prst="rect">
          <a:avLst/>
        </a:prstGeom>
        <a:noFill/>
        <a:ln w="9525">
          <a:miter lim="800000"/>
          <a:headEnd/>
          <a:tailEnd/>
        </a:ln>
      </xdr:spPr>
    </xdr:sp>
    <xdr:clientData/>
  </xdr:twoCellAnchor>
  <xdr:twoCellAnchor editAs="oneCell">
    <xdr:from>
      <xdr:col>2</xdr:col>
      <xdr:colOff>0</xdr:colOff>
      <xdr:row>99</xdr:row>
      <xdr:rowOff>0</xdr:rowOff>
    </xdr:from>
    <xdr:to>
      <xdr:col>2</xdr:col>
      <xdr:colOff>254000</xdr:colOff>
      <xdr:row>100</xdr:row>
      <xdr:rowOff>82550</xdr:rowOff>
    </xdr:to>
    <xdr:sp macro="" textlink="">
      <xdr:nvSpPr>
        <xdr:cNvPr id="389" name="Control 388" hidden="1">
          <a:extLst>
            <a:ext uri="{63B3BB69-23CF-44E3-9099-C40C66FF867C}">
              <a14:compatExt xmlns:a14="http://schemas.microsoft.com/office/drawing/2010/main" spid="_x0000_s1412"/>
            </a:ext>
            <a:ext uri="{FF2B5EF4-FFF2-40B4-BE49-F238E27FC236}">
              <a16:creationId xmlns:a16="http://schemas.microsoft.com/office/drawing/2014/main" id="{00000000-0008-0000-0E00-000085010000}"/>
            </a:ext>
          </a:extLst>
        </xdr:cNvPr>
        <xdr:cNvSpPr/>
      </xdr:nvSpPr>
      <xdr:spPr bwMode="auto">
        <a:xfrm>
          <a:off x="3562350" y="20745450"/>
          <a:ext cx="254000" cy="273050"/>
        </a:xfrm>
        <a:prstGeom prst="rect">
          <a:avLst/>
        </a:prstGeom>
        <a:noFill/>
        <a:ln w="9525">
          <a:miter lim="800000"/>
          <a:headEnd/>
          <a:tailEnd/>
        </a:ln>
      </xdr:spPr>
    </xdr:sp>
    <xdr:clientData/>
  </xdr:twoCellAnchor>
  <xdr:twoCellAnchor editAs="oneCell">
    <xdr:from>
      <xdr:col>2</xdr:col>
      <xdr:colOff>0</xdr:colOff>
      <xdr:row>99</xdr:row>
      <xdr:rowOff>0</xdr:rowOff>
    </xdr:from>
    <xdr:to>
      <xdr:col>2</xdr:col>
      <xdr:colOff>152400</xdr:colOff>
      <xdr:row>99</xdr:row>
      <xdr:rowOff>152400</xdr:rowOff>
    </xdr:to>
    <xdr:sp macro="" textlink="">
      <xdr:nvSpPr>
        <xdr:cNvPr id="390" name="Control 389" hidden="1">
          <a:extLst>
            <a:ext uri="{63B3BB69-23CF-44E3-9099-C40C66FF867C}">
              <a14:compatExt xmlns:a14="http://schemas.microsoft.com/office/drawing/2010/main" spid="_x0000_s1413"/>
            </a:ext>
            <a:ext uri="{FF2B5EF4-FFF2-40B4-BE49-F238E27FC236}">
              <a16:creationId xmlns:a16="http://schemas.microsoft.com/office/drawing/2014/main" id="{00000000-0008-0000-0E00-000086010000}"/>
            </a:ext>
          </a:extLst>
        </xdr:cNvPr>
        <xdr:cNvSpPr/>
      </xdr:nvSpPr>
      <xdr:spPr bwMode="auto">
        <a:xfrm>
          <a:off x="3562350" y="20745450"/>
          <a:ext cx="152400" cy="152400"/>
        </a:xfrm>
        <a:prstGeom prst="rect">
          <a:avLst/>
        </a:prstGeom>
        <a:noFill/>
        <a:ln w="9525">
          <a:miter lim="800000"/>
          <a:headEnd/>
          <a:tailEnd/>
        </a:ln>
      </xdr:spPr>
    </xdr:sp>
    <xdr:clientData/>
  </xdr:twoCellAnchor>
  <xdr:twoCellAnchor editAs="oneCell">
    <xdr:from>
      <xdr:col>2</xdr:col>
      <xdr:colOff>0</xdr:colOff>
      <xdr:row>99</xdr:row>
      <xdr:rowOff>0</xdr:rowOff>
    </xdr:from>
    <xdr:to>
      <xdr:col>2</xdr:col>
      <xdr:colOff>152400</xdr:colOff>
      <xdr:row>99</xdr:row>
      <xdr:rowOff>152400</xdr:rowOff>
    </xdr:to>
    <xdr:sp macro="" textlink="">
      <xdr:nvSpPr>
        <xdr:cNvPr id="391" name="Control 390" hidden="1">
          <a:extLst>
            <a:ext uri="{63B3BB69-23CF-44E3-9099-C40C66FF867C}">
              <a14:compatExt xmlns:a14="http://schemas.microsoft.com/office/drawing/2010/main" spid="_x0000_s1414"/>
            </a:ext>
            <a:ext uri="{FF2B5EF4-FFF2-40B4-BE49-F238E27FC236}">
              <a16:creationId xmlns:a16="http://schemas.microsoft.com/office/drawing/2014/main" id="{00000000-0008-0000-0E00-000087010000}"/>
            </a:ext>
          </a:extLst>
        </xdr:cNvPr>
        <xdr:cNvSpPr/>
      </xdr:nvSpPr>
      <xdr:spPr bwMode="auto">
        <a:xfrm>
          <a:off x="3562350" y="20745450"/>
          <a:ext cx="152400" cy="152400"/>
        </a:xfrm>
        <a:prstGeom prst="rect">
          <a:avLst/>
        </a:prstGeom>
        <a:noFill/>
        <a:ln w="9525">
          <a:miter lim="800000"/>
          <a:headEnd/>
          <a:tailEnd/>
        </a:ln>
      </xdr:spPr>
    </xdr:sp>
    <xdr:clientData/>
  </xdr:twoCellAnchor>
  <xdr:twoCellAnchor editAs="oneCell">
    <xdr:from>
      <xdr:col>0</xdr:col>
      <xdr:colOff>0</xdr:colOff>
      <xdr:row>100</xdr:row>
      <xdr:rowOff>0</xdr:rowOff>
    </xdr:from>
    <xdr:to>
      <xdr:col>0</xdr:col>
      <xdr:colOff>139700</xdr:colOff>
      <xdr:row>100</xdr:row>
      <xdr:rowOff>139700</xdr:rowOff>
    </xdr:to>
    <xdr:sp macro="" textlink="">
      <xdr:nvSpPr>
        <xdr:cNvPr id="392" name="Control 391" hidden="1">
          <a:extLst>
            <a:ext uri="{63B3BB69-23CF-44E3-9099-C40C66FF867C}">
              <a14:compatExt xmlns:a14="http://schemas.microsoft.com/office/drawing/2010/main" spid="_x0000_s1415"/>
            </a:ext>
            <a:ext uri="{FF2B5EF4-FFF2-40B4-BE49-F238E27FC236}">
              <a16:creationId xmlns:a16="http://schemas.microsoft.com/office/drawing/2014/main" id="{00000000-0008-0000-0E00-000088010000}"/>
            </a:ext>
          </a:extLst>
        </xdr:cNvPr>
        <xdr:cNvSpPr/>
      </xdr:nvSpPr>
      <xdr:spPr bwMode="auto">
        <a:xfrm>
          <a:off x="0" y="20955000"/>
          <a:ext cx="139700" cy="139700"/>
        </a:xfrm>
        <a:prstGeom prst="rect">
          <a:avLst/>
        </a:prstGeom>
        <a:noFill/>
        <a:ln w="9525">
          <a:miter lim="800000"/>
          <a:headEnd/>
          <a:tailEnd/>
        </a:ln>
      </xdr:spPr>
    </xdr:sp>
    <xdr:clientData/>
  </xdr:twoCellAnchor>
  <xdr:twoCellAnchor editAs="oneCell">
    <xdr:from>
      <xdr:col>2</xdr:col>
      <xdr:colOff>0</xdr:colOff>
      <xdr:row>100</xdr:row>
      <xdr:rowOff>0</xdr:rowOff>
    </xdr:from>
    <xdr:to>
      <xdr:col>2</xdr:col>
      <xdr:colOff>254000</xdr:colOff>
      <xdr:row>101</xdr:row>
      <xdr:rowOff>82550</xdr:rowOff>
    </xdr:to>
    <xdr:sp macro="" textlink="">
      <xdr:nvSpPr>
        <xdr:cNvPr id="393" name="Control 392" hidden="1">
          <a:extLst>
            <a:ext uri="{63B3BB69-23CF-44E3-9099-C40C66FF867C}">
              <a14:compatExt xmlns:a14="http://schemas.microsoft.com/office/drawing/2010/main" spid="_x0000_s1416"/>
            </a:ext>
            <a:ext uri="{FF2B5EF4-FFF2-40B4-BE49-F238E27FC236}">
              <a16:creationId xmlns:a16="http://schemas.microsoft.com/office/drawing/2014/main" id="{00000000-0008-0000-0E00-000089010000}"/>
            </a:ext>
          </a:extLst>
        </xdr:cNvPr>
        <xdr:cNvSpPr/>
      </xdr:nvSpPr>
      <xdr:spPr bwMode="auto">
        <a:xfrm>
          <a:off x="3562350" y="20955000"/>
          <a:ext cx="254000" cy="273050"/>
        </a:xfrm>
        <a:prstGeom prst="rect">
          <a:avLst/>
        </a:prstGeom>
        <a:noFill/>
        <a:ln w="9525">
          <a:miter lim="800000"/>
          <a:headEnd/>
          <a:tailEnd/>
        </a:ln>
      </xdr:spPr>
    </xdr:sp>
    <xdr:clientData/>
  </xdr:twoCellAnchor>
  <xdr:twoCellAnchor editAs="oneCell">
    <xdr:from>
      <xdr:col>2</xdr:col>
      <xdr:colOff>0</xdr:colOff>
      <xdr:row>100</xdr:row>
      <xdr:rowOff>0</xdr:rowOff>
    </xdr:from>
    <xdr:to>
      <xdr:col>2</xdr:col>
      <xdr:colOff>152400</xdr:colOff>
      <xdr:row>100</xdr:row>
      <xdr:rowOff>152400</xdr:rowOff>
    </xdr:to>
    <xdr:sp macro="" textlink="">
      <xdr:nvSpPr>
        <xdr:cNvPr id="394" name="Control 393" hidden="1">
          <a:extLst>
            <a:ext uri="{63B3BB69-23CF-44E3-9099-C40C66FF867C}">
              <a14:compatExt xmlns:a14="http://schemas.microsoft.com/office/drawing/2010/main" spid="_x0000_s1417"/>
            </a:ext>
            <a:ext uri="{FF2B5EF4-FFF2-40B4-BE49-F238E27FC236}">
              <a16:creationId xmlns:a16="http://schemas.microsoft.com/office/drawing/2014/main" id="{00000000-0008-0000-0E00-00008A010000}"/>
            </a:ext>
          </a:extLst>
        </xdr:cNvPr>
        <xdr:cNvSpPr/>
      </xdr:nvSpPr>
      <xdr:spPr bwMode="auto">
        <a:xfrm>
          <a:off x="3562350" y="20955000"/>
          <a:ext cx="152400" cy="152400"/>
        </a:xfrm>
        <a:prstGeom prst="rect">
          <a:avLst/>
        </a:prstGeom>
        <a:noFill/>
        <a:ln w="9525">
          <a:miter lim="800000"/>
          <a:headEnd/>
          <a:tailEnd/>
        </a:ln>
      </xdr:spPr>
    </xdr:sp>
    <xdr:clientData/>
  </xdr:twoCellAnchor>
  <xdr:twoCellAnchor editAs="oneCell">
    <xdr:from>
      <xdr:col>2</xdr:col>
      <xdr:colOff>0</xdr:colOff>
      <xdr:row>100</xdr:row>
      <xdr:rowOff>0</xdr:rowOff>
    </xdr:from>
    <xdr:to>
      <xdr:col>2</xdr:col>
      <xdr:colOff>152400</xdr:colOff>
      <xdr:row>100</xdr:row>
      <xdr:rowOff>152400</xdr:rowOff>
    </xdr:to>
    <xdr:sp macro="" textlink="">
      <xdr:nvSpPr>
        <xdr:cNvPr id="395" name="Control 394" hidden="1">
          <a:extLst>
            <a:ext uri="{63B3BB69-23CF-44E3-9099-C40C66FF867C}">
              <a14:compatExt xmlns:a14="http://schemas.microsoft.com/office/drawing/2010/main" spid="_x0000_s1418"/>
            </a:ext>
            <a:ext uri="{FF2B5EF4-FFF2-40B4-BE49-F238E27FC236}">
              <a16:creationId xmlns:a16="http://schemas.microsoft.com/office/drawing/2014/main" id="{00000000-0008-0000-0E00-00008B010000}"/>
            </a:ext>
          </a:extLst>
        </xdr:cNvPr>
        <xdr:cNvSpPr/>
      </xdr:nvSpPr>
      <xdr:spPr bwMode="auto">
        <a:xfrm>
          <a:off x="3562350" y="20955000"/>
          <a:ext cx="152400" cy="152400"/>
        </a:xfrm>
        <a:prstGeom prst="rect">
          <a:avLst/>
        </a:prstGeom>
        <a:noFill/>
        <a:ln w="9525">
          <a:miter lim="800000"/>
          <a:headEnd/>
          <a:tailEnd/>
        </a:ln>
      </xdr:spPr>
    </xdr:sp>
    <xdr:clientData/>
  </xdr:twoCellAnchor>
  <xdr:twoCellAnchor editAs="oneCell">
    <xdr:from>
      <xdr:col>2</xdr:col>
      <xdr:colOff>0</xdr:colOff>
      <xdr:row>101</xdr:row>
      <xdr:rowOff>0</xdr:rowOff>
    </xdr:from>
    <xdr:to>
      <xdr:col>2</xdr:col>
      <xdr:colOff>254000</xdr:colOff>
      <xdr:row>102</xdr:row>
      <xdr:rowOff>82550</xdr:rowOff>
    </xdr:to>
    <xdr:sp macro="" textlink="">
      <xdr:nvSpPr>
        <xdr:cNvPr id="396" name="Control 395" hidden="1">
          <a:extLst>
            <a:ext uri="{63B3BB69-23CF-44E3-9099-C40C66FF867C}">
              <a14:compatExt xmlns:a14="http://schemas.microsoft.com/office/drawing/2010/main" spid="_x0000_s1419"/>
            </a:ext>
            <a:ext uri="{FF2B5EF4-FFF2-40B4-BE49-F238E27FC236}">
              <a16:creationId xmlns:a16="http://schemas.microsoft.com/office/drawing/2014/main" id="{00000000-0008-0000-0E00-00008C010000}"/>
            </a:ext>
          </a:extLst>
        </xdr:cNvPr>
        <xdr:cNvSpPr/>
      </xdr:nvSpPr>
      <xdr:spPr bwMode="auto">
        <a:xfrm>
          <a:off x="3562350" y="21164550"/>
          <a:ext cx="254000" cy="273050"/>
        </a:xfrm>
        <a:prstGeom prst="rect">
          <a:avLst/>
        </a:prstGeom>
        <a:noFill/>
        <a:ln w="9525">
          <a:miter lim="800000"/>
          <a:headEnd/>
          <a:tailEnd/>
        </a:ln>
      </xdr:spPr>
    </xdr:sp>
    <xdr:clientData/>
  </xdr:twoCellAnchor>
  <xdr:twoCellAnchor editAs="oneCell">
    <xdr:from>
      <xdr:col>2</xdr:col>
      <xdr:colOff>0</xdr:colOff>
      <xdr:row>101</xdr:row>
      <xdr:rowOff>0</xdr:rowOff>
    </xdr:from>
    <xdr:to>
      <xdr:col>2</xdr:col>
      <xdr:colOff>152400</xdr:colOff>
      <xdr:row>101</xdr:row>
      <xdr:rowOff>152400</xdr:rowOff>
    </xdr:to>
    <xdr:sp macro="" textlink="">
      <xdr:nvSpPr>
        <xdr:cNvPr id="397" name="Control 396" hidden="1">
          <a:extLst>
            <a:ext uri="{63B3BB69-23CF-44E3-9099-C40C66FF867C}">
              <a14:compatExt xmlns:a14="http://schemas.microsoft.com/office/drawing/2010/main" spid="_x0000_s1420"/>
            </a:ext>
            <a:ext uri="{FF2B5EF4-FFF2-40B4-BE49-F238E27FC236}">
              <a16:creationId xmlns:a16="http://schemas.microsoft.com/office/drawing/2014/main" id="{00000000-0008-0000-0E00-00008D010000}"/>
            </a:ext>
          </a:extLst>
        </xdr:cNvPr>
        <xdr:cNvSpPr/>
      </xdr:nvSpPr>
      <xdr:spPr bwMode="auto">
        <a:xfrm>
          <a:off x="3562350" y="21164550"/>
          <a:ext cx="152400" cy="152400"/>
        </a:xfrm>
        <a:prstGeom prst="rect">
          <a:avLst/>
        </a:prstGeom>
        <a:noFill/>
        <a:ln w="9525">
          <a:miter lim="800000"/>
          <a:headEnd/>
          <a:tailEnd/>
        </a:ln>
      </xdr:spPr>
    </xdr:sp>
    <xdr:clientData/>
  </xdr:twoCellAnchor>
  <xdr:twoCellAnchor editAs="oneCell">
    <xdr:from>
      <xdr:col>2</xdr:col>
      <xdr:colOff>0</xdr:colOff>
      <xdr:row>1</xdr:row>
      <xdr:rowOff>0</xdr:rowOff>
    </xdr:from>
    <xdr:to>
      <xdr:col>2</xdr:col>
      <xdr:colOff>254000</xdr:colOff>
      <xdr:row>2</xdr:row>
      <xdr:rowOff>82550</xdr:rowOff>
    </xdr:to>
    <xdr:pic>
      <xdr:nvPicPr>
        <xdr:cNvPr id="398" name="Control 1">
          <a:extLst>
            <a:ext uri="{FF2B5EF4-FFF2-40B4-BE49-F238E27FC236}">
              <a16:creationId xmlns:a16="http://schemas.microsoft.com/office/drawing/2014/main" id="{00000000-0008-0000-0E00-00008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09550"/>
          <a:ext cx="254000" cy="273050"/>
        </a:xfrm>
        <a:prstGeom prst="rect">
          <a:avLst/>
        </a:prstGeom>
        <a:noFill/>
        <a:ln w="9525">
          <a:miter lim="800000"/>
          <a:headEnd/>
          <a:tailEnd/>
        </a:ln>
      </xdr:spPr>
    </xdr:pic>
    <xdr:clientData/>
  </xdr:twoCellAnchor>
  <xdr:twoCellAnchor editAs="oneCell">
    <xdr:from>
      <xdr:col>2</xdr:col>
      <xdr:colOff>0</xdr:colOff>
      <xdr:row>1</xdr:row>
      <xdr:rowOff>0</xdr:rowOff>
    </xdr:from>
    <xdr:to>
      <xdr:col>2</xdr:col>
      <xdr:colOff>152400</xdr:colOff>
      <xdr:row>1</xdr:row>
      <xdr:rowOff>152400</xdr:rowOff>
    </xdr:to>
    <xdr:pic>
      <xdr:nvPicPr>
        <xdr:cNvPr id="399" name="Control 2">
          <a:extLst>
            <a:ext uri="{FF2B5EF4-FFF2-40B4-BE49-F238E27FC236}">
              <a16:creationId xmlns:a16="http://schemas.microsoft.com/office/drawing/2014/main" id="{00000000-0008-0000-0E00-00008F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09550"/>
          <a:ext cx="152400" cy="152400"/>
        </a:xfrm>
        <a:prstGeom prst="rect">
          <a:avLst/>
        </a:prstGeom>
        <a:noFill/>
        <a:ln w="9525">
          <a:miter lim="800000"/>
          <a:headEnd/>
          <a:tailEnd/>
        </a:ln>
      </xdr:spPr>
    </xdr:pic>
    <xdr:clientData/>
  </xdr:twoCellAnchor>
  <xdr:twoCellAnchor editAs="oneCell">
    <xdr:from>
      <xdr:col>2</xdr:col>
      <xdr:colOff>0</xdr:colOff>
      <xdr:row>1</xdr:row>
      <xdr:rowOff>0</xdr:rowOff>
    </xdr:from>
    <xdr:to>
      <xdr:col>2</xdr:col>
      <xdr:colOff>152400</xdr:colOff>
      <xdr:row>1</xdr:row>
      <xdr:rowOff>152400</xdr:rowOff>
    </xdr:to>
    <xdr:pic>
      <xdr:nvPicPr>
        <xdr:cNvPr id="400" name="Control 3">
          <a:extLst>
            <a:ext uri="{FF2B5EF4-FFF2-40B4-BE49-F238E27FC236}">
              <a16:creationId xmlns:a16="http://schemas.microsoft.com/office/drawing/2014/main" id="{00000000-0008-0000-0E00-000090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09550"/>
          <a:ext cx="152400" cy="152400"/>
        </a:xfrm>
        <a:prstGeom prst="rect">
          <a:avLst/>
        </a:prstGeom>
        <a:noFill/>
        <a:ln w="9525">
          <a:miter lim="800000"/>
          <a:headEnd/>
          <a:tailEnd/>
        </a:ln>
      </xdr:spPr>
    </xdr:pic>
    <xdr:clientData/>
  </xdr:twoCellAnchor>
  <xdr:twoCellAnchor editAs="oneCell">
    <xdr:from>
      <xdr:col>0</xdr:col>
      <xdr:colOff>0</xdr:colOff>
      <xdr:row>2</xdr:row>
      <xdr:rowOff>0</xdr:rowOff>
    </xdr:from>
    <xdr:to>
      <xdr:col>0</xdr:col>
      <xdr:colOff>139700</xdr:colOff>
      <xdr:row>2</xdr:row>
      <xdr:rowOff>139700</xdr:rowOff>
    </xdr:to>
    <xdr:pic>
      <xdr:nvPicPr>
        <xdr:cNvPr id="401" name="Control 4">
          <a:extLst>
            <a:ext uri="{FF2B5EF4-FFF2-40B4-BE49-F238E27FC236}">
              <a16:creationId xmlns:a16="http://schemas.microsoft.com/office/drawing/2014/main" id="{00000000-0008-0000-0E00-000091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19100"/>
          <a:ext cx="139700" cy="139700"/>
        </a:xfrm>
        <a:prstGeom prst="rect">
          <a:avLst/>
        </a:prstGeom>
        <a:noFill/>
        <a:ln w="9525">
          <a:miter lim="800000"/>
          <a:headEnd/>
          <a:tailEnd/>
        </a:ln>
      </xdr:spPr>
    </xdr:pic>
    <xdr:clientData/>
  </xdr:twoCellAnchor>
  <xdr:twoCellAnchor editAs="oneCell">
    <xdr:from>
      <xdr:col>2</xdr:col>
      <xdr:colOff>0</xdr:colOff>
      <xdr:row>2</xdr:row>
      <xdr:rowOff>0</xdr:rowOff>
    </xdr:from>
    <xdr:to>
      <xdr:col>2</xdr:col>
      <xdr:colOff>254000</xdr:colOff>
      <xdr:row>3</xdr:row>
      <xdr:rowOff>82550</xdr:rowOff>
    </xdr:to>
    <xdr:pic>
      <xdr:nvPicPr>
        <xdr:cNvPr id="402" name="Control 5">
          <a:extLst>
            <a:ext uri="{FF2B5EF4-FFF2-40B4-BE49-F238E27FC236}">
              <a16:creationId xmlns:a16="http://schemas.microsoft.com/office/drawing/2014/main" id="{00000000-0008-0000-0E00-00009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419100"/>
          <a:ext cx="254000" cy="273050"/>
        </a:xfrm>
        <a:prstGeom prst="rect">
          <a:avLst/>
        </a:prstGeom>
        <a:noFill/>
        <a:ln w="9525">
          <a:miter lim="800000"/>
          <a:headEnd/>
          <a:tailEnd/>
        </a:ln>
      </xdr:spPr>
    </xdr:pic>
    <xdr:clientData/>
  </xdr:twoCellAnchor>
  <xdr:twoCellAnchor editAs="oneCell">
    <xdr:from>
      <xdr:col>2</xdr:col>
      <xdr:colOff>0</xdr:colOff>
      <xdr:row>2</xdr:row>
      <xdr:rowOff>0</xdr:rowOff>
    </xdr:from>
    <xdr:to>
      <xdr:col>2</xdr:col>
      <xdr:colOff>152400</xdr:colOff>
      <xdr:row>2</xdr:row>
      <xdr:rowOff>152400</xdr:rowOff>
    </xdr:to>
    <xdr:pic>
      <xdr:nvPicPr>
        <xdr:cNvPr id="403" name="Control 6">
          <a:extLst>
            <a:ext uri="{FF2B5EF4-FFF2-40B4-BE49-F238E27FC236}">
              <a16:creationId xmlns:a16="http://schemas.microsoft.com/office/drawing/2014/main" id="{00000000-0008-0000-0E00-000093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419100"/>
          <a:ext cx="152400" cy="152400"/>
        </a:xfrm>
        <a:prstGeom prst="rect">
          <a:avLst/>
        </a:prstGeom>
        <a:noFill/>
        <a:ln w="9525">
          <a:miter lim="800000"/>
          <a:headEnd/>
          <a:tailEnd/>
        </a:ln>
      </xdr:spPr>
    </xdr:pic>
    <xdr:clientData/>
  </xdr:twoCellAnchor>
  <xdr:twoCellAnchor editAs="oneCell">
    <xdr:from>
      <xdr:col>2</xdr:col>
      <xdr:colOff>0</xdr:colOff>
      <xdr:row>2</xdr:row>
      <xdr:rowOff>0</xdr:rowOff>
    </xdr:from>
    <xdr:to>
      <xdr:col>2</xdr:col>
      <xdr:colOff>152400</xdr:colOff>
      <xdr:row>2</xdr:row>
      <xdr:rowOff>152400</xdr:rowOff>
    </xdr:to>
    <xdr:pic>
      <xdr:nvPicPr>
        <xdr:cNvPr id="404" name="Control 7">
          <a:extLst>
            <a:ext uri="{FF2B5EF4-FFF2-40B4-BE49-F238E27FC236}">
              <a16:creationId xmlns:a16="http://schemas.microsoft.com/office/drawing/2014/main" id="{00000000-0008-0000-0E00-000094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419100"/>
          <a:ext cx="152400" cy="152400"/>
        </a:xfrm>
        <a:prstGeom prst="rect">
          <a:avLst/>
        </a:prstGeom>
        <a:noFill/>
        <a:ln w="9525">
          <a:miter lim="800000"/>
          <a:headEnd/>
          <a:tailEnd/>
        </a:ln>
      </xdr:spPr>
    </xdr:pic>
    <xdr:clientData/>
  </xdr:twoCellAnchor>
  <xdr:twoCellAnchor editAs="oneCell">
    <xdr:from>
      <xdr:col>0</xdr:col>
      <xdr:colOff>0</xdr:colOff>
      <xdr:row>3</xdr:row>
      <xdr:rowOff>0</xdr:rowOff>
    </xdr:from>
    <xdr:to>
      <xdr:col>0</xdr:col>
      <xdr:colOff>139700</xdr:colOff>
      <xdr:row>3</xdr:row>
      <xdr:rowOff>139700</xdr:rowOff>
    </xdr:to>
    <xdr:pic>
      <xdr:nvPicPr>
        <xdr:cNvPr id="405" name="Control 8">
          <a:extLst>
            <a:ext uri="{FF2B5EF4-FFF2-40B4-BE49-F238E27FC236}">
              <a16:creationId xmlns:a16="http://schemas.microsoft.com/office/drawing/2014/main" id="{00000000-0008-0000-0E00-000095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28650"/>
          <a:ext cx="139700" cy="139700"/>
        </a:xfrm>
        <a:prstGeom prst="rect">
          <a:avLst/>
        </a:prstGeom>
        <a:noFill/>
        <a:ln w="9525">
          <a:miter lim="800000"/>
          <a:headEnd/>
          <a:tailEnd/>
        </a:ln>
      </xdr:spPr>
    </xdr:pic>
    <xdr:clientData/>
  </xdr:twoCellAnchor>
  <xdr:twoCellAnchor editAs="oneCell">
    <xdr:from>
      <xdr:col>2</xdr:col>
      <xdr:colOff>0</xdr:colOff>
      <xdr:row>3</xdr:row>
      <xdr:rowOff>0</xdr:rowOff>
    </xdr:from>
    <xdr:to>
      <xdr:col>2</xdr:col>
      <xdr:colOff>254000</xdr:colOff>
      <xdr:row>4</xdr:row>
      <xdr:rowOff>82550</xdr:rowOff>
    </xdr:to>
    <xdr:pic>
      <xdr:nvPicPr>
        <xdr:cNvPr id="406" name="Control 9">
          <a:extLst>
            <a:ext uri="{FF2B5EF4-FFF2-40B4-BE49-F238E27FC236}">
              <a16:creationId xmlns:a16="http://schemas.microsoft.com/office/drawing/2014/main" id="{00000000-0008-0000-0E00-00009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628650"/>
          <a:ext cx="254000" cy="273050"/>
        </a:xfrm>
        <a:prstGeom prst="rect">
          <a:avLst/>
        </a:prstGeom>
        <a:noFill/>
        <a:ln w="9525">
          <a:miter lim="800000"/>
          <a:headEnd/>
          <a:tailEnd/>
        </a:ln>
      </xdr:spPr>
    </xdr:pic>
    <xdr:clientData/>
  </xdr:twoCellAnchor>
  <xdr:twoCellAnchor editAs="oneCell">
    <xdr:from>
      <xdr:col>2</xdr:col>
      <xdr:colOff>0</xdr:colOff>
      <xdr:row>3</xdr:row>
      <xdr:rowOff>0</xdr:rowOff>
    </xdr:from>
    <xdr:to>
      <xdr:col>2</xdr:col>
      <xdr:colOff>152400</xdr:colOff>
      <xdr:row>3</xdr:row>
      <xdr:rowOff>152400</xdr:rowOff>
    </xdr:to>
    <xdr:pic>
      <xdr:nvPicPr>
        <xdr:cNvPr id="407" name="Control 10">
          <a:extLst>
            <a:ext uri="{FF2B5EF4-FFF2-40B4-BE49-F238E27FC236}">
              <a16:creationId xmlns:a16="http://schemas.microsoft.com/office/drawing/2014/main" id="{00000000-0008-0000-0E00-000097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628650"/>
          <a:ext cx="152400" cy="152400"/>
        </a:xfrm>
        <a:prstGeom prst="rect">
          <a:avLst/>
        </a:prstGeom>
        <a:noFill/>
        <a:ln w="9525">
          <a:miter lim="800000"/>
          <a:headEnd/>
          <a:tailEnd/>
        </a:ln>
      </xdr:spPr>
    </xdr:pic>
    <xdr:clientData/>
  </xdr:twoCellAnchor>
  <xdr:twoCellAnchor editAs="oneCell">
    <xdr:from>
      <xdr:col>2</xdr:col>
      <xdr:colOff>0</xdr:colOff>
      <xdr:row>3</xdr:row>
      <xdr:rowOff>0</xdr:rowOff>
    </xdr:from>
    <xdr:to>
      <xdr:col>2</xdr:col>
      <xdr:colOff>152400</xdr:colOff>
      <xdr:row>3</xdr:row>
      <xdr:rowOff>152400</xdr:rowOff>
    </xdr:to>
    <xdr:pic>
      <xdr:nvPicPr>
        <xdr:cNvPr id="408" name="Control 11">
          <a:extLst>
            <a:ext uri="{FF2B5EF4-FFF2-40B4-BE49-F238E27FC236}">
              <a16:creationId xmlns:a16="http://schemas.microsoft.com/office/drawing/2014/main" id="{00000000-0008-0000-0E00-000098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628650"/>
          <a:ext cx="152400" cy="152400"/>
        </a:xfrm>
        <a:prstGeom prst="rect">
          <a:avLst/>
        </a:prstGeom>
        <a:noFill/>
        <a:ln w="9525">
          <a:miter lim="800000"/>
          <a:headEnd/>
          <a:tailEnd/>
        </a:ln>
      </xdr:spPr>
    </xdr:pic>
    <xdr:clientData/>
  </xdr:twoCellAnchor>
  <xdr:twoCellAnchor editAs="oneCell">
    <xdr:from>
      <xdr:col>0</xdr:col>
      <xdr:colOff>0</xdr:colOff>
      <xdr:row>4</xdr:row>
      <xdr:rowOff>0</xdr:rowOff>
    </xdr:from>
    <xdr:to>
      <xdr:col>0</xdr:col>
      <xdr:colOff>139700</xdr:colOff>
      <xdr:row>4</xdr:row>
      <xdr:rowOff>139700</xdr:rowOff>
    </xdr:to>
    <xdr:pic>
      <xdr:nvPicPr>
        <xdr:cNvPr id="409" name="Control 12">
          <a:extLst>
            <a:ext uri="{FF2B5EF4-FFF2-40B4-BE49-F238E27FC236}">
              <a16:creationId xmlns:a16="http://schemas.microsoft.com/office/drawing/2014/main" id="{00000000-0008-0000-0E00-000099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38200"/>
          <a:ext cx="139700" cy="139700"/>
        </a:xfrm>
        <a:prstGeom prst="rect">
          <a:avLst/>
        </a:prstGeom>
        <a:noFill/>
        <a:ln w="9525">
          <a:miter lim="800000"/>
          <a:headEnd/>
          <a:tailEnd/>
        </a:ln>
      </xdr:spPr>
    </xdr:pic>
    <xdr:clientData/>
  </xdr:twoCellAnchor>
  <xdr:twoCellAnchor editAs="oneCell">
    <xdr:from>
      <xdr:col>2</xdr:col>
      <xdr:colOff>0</xdr:colOff>
      <xdr:row>4</xdr:row>
      <xdr:rowOff>0</xdr:rowOff>
    </xdr:from>
    <xdr:to>
      <xdr:col>2</xdr:col>
      <xdr:colOff>254000</xdr:colOff>
      <xdr:row>5</xdr:row>
      <xdr:rowOff>82550</xdr:rowOff>
    </xdr:to>
    <xdr:pic>
      <xdr:nvPicPr>
        <xdr:cNvPr id="410" name="Control 13">
          <a:extLst>
            <a:ext uri="{FF2B5EF4-FFF2-40B4-BE49-F238E27FC236}">
              <a16:creationId xmlns:a16="http://schemas.microsoft.com/office/drawing/2014/main" id="{00000000-0008-0000-0E00-00009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838200"/>
          <a:ext cx="254000" cy="273050"/>
        </a:xfrm>
        <a:prstGeom prst="rect">
          <a:avLst/>
        </a:prstGeom>
        <a:noFill/>
        <a:ln w="9525">
          <a:miter lim="800000"/>
          <a:headEnd/>
          <a:tailEnd/>
        </a:ln>
      </xdr:spPr>
    </xdr:pic>
    <xdr:clientData/>
  </xdr:twoCellAnchor>
  <xdr:twoCellAnchor editAs="oneCell">
    <xdr:from>
      <xdr:col>2</xdr:col>
      <xdr:colOff>0</xdr:colOff>
      <xdr:row>4</xdr:row>
      <xdr:rowOff>0</xdr:rowOff>
    </xdr:from>
    <xdr:to>
      <xdr:col>2</xdr:col>
      <xdr:colOff>152400</xdr:colOff>
      <xdr:row>4</xdr:row>
      <xdr:rowOff>152400</xdr:rowOff>
    </xdr:to>
    <xdr:pic>
      <xdr:nvPicPr>
        <xdr:cNvPr id="411" name="Control 14">
          <a:extLst>
            <a:ext uri="{FF2B5EF4-FFF2-40B4-BE49-F238E27FC236}">
              <a16:creationId xmlns:a16="http://schemas.microsoft.com/office/drawing/2014/main" id="{00000000-0008-0000-0E00-00009B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838200"/>
          <a:ext cx="152400" cy="152400"/>
        </a:xfrm>
        <a:prstGeom prst="rect">
          <a:avLst/>
        </a:prstGeom>
        <a:noFill/>
        <a:ln w="9525">
          <a:miter lim="800000"/>
          <a:headEnd/>
          <a:tailEnd/>
        </a:ln>
      </xdr:spPr>
    </xdr:pic>
    <xdr:clientData/>
  </xdr:twoCellAnchor>
  <xdr:twoCellAnchor editAs="oneCell">
    <xdr:from>
      <xdr:col>2</xdr:col>
      <xdr:colOff>0</xdr:colOff>
      <xdr:row>4</xdr:row>
      <xdr:rowOff>0</xdr:rowOff>
    </xdr:from>
    <xdr:to>
      <xdr:col>2</xdr:col>
      <xdr:colOff>152400</xdr:colOff>
      <xdr:row>4</xdr:row>
      <xdr:rowOff>152400</xdr:rowOff>
    </xdr:to>
    <xdr:pic>
      <xdr:nvPicPr>
        <xdr:cNvPr id="412" name="Control 15">
          <a:extLst>
            <a:ext uri="{FF2B5EF4-FFF2-40B4-BE49-F238E27FC236}">
              <a16:creationId xmlns:a16="http://schemas.microsoft.com/office/drawing/2014/main" id="{00000000-0008-0000-0E00-00009C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838200"/>
          <a:ext cx="152400" cy="152400"/>
        </a:xfrm>
        <a:prstGeom prst="rect">
          <a:avLst/>
        </a:prstGeom>
        <a:noFill/>
        <a:ln w="9525">
          <a:miter lim="800000"/>
          <a:headEnd/>
          <a:tailEnd/>
        </a:ln>
      </xdr:spPr>
    </xdr:pic>
    <xdr:clientData/>
  </xdr:twoCellAnchor>
  <xdr:twoCellAnchor editAs="oneCell">
    <xdr:from>
      <xdr:col>0</xdr:col>
      <xdr:colOff>0</xdr:colOff>
      <xdr:row>5</xdr:row>
      <xdr:rowOff>0</xdr:rowOff>
    </xdr:from>
    <xdr:to>
      <xdr:col>0</xdr:col>
      <xdr:colOff>139700</xdr:colOff>
      <xdr:row>5</xdr:row>
      <xdr:rowOff>139700</xdr:rowOff>
    </xdr:to>
    <xdr:pic>
      <xdr:nvPicPr>
        <xdr:cNvPr id="413" name="Control 16">
          <a:extLst>
            <a:ext uri="{FF2B5EF4-FFF2-40B4-BE49-F238E27FC236}">
              <a16:creationId xmlns:a16="http://schemas.microsoft.com/office/drawing/2014/main" id="{00000000-0008-0000-0E00-00009D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047750"/>
          <a:ext cx="139700" cy="139700"/>
        </a:xfrm>
        <a:prstGeom prst="rect">
          <a:avLst/>
        </a:prstGeom>
        <a:noFill/>
        <a:ln w="9525">
          <a:miter lim="800000"/>
          <a:headEnd/>
          <a:tailEnd/>
        </a:ln>
      </xdr:spPr>
    </xdr:pic>
    <xdr:clientData/>
  </xdr:twoCellAnchor>
  <xdr:twoCellAnchor editAs="oneCell">
    <xdr:from>
      <xdr:col>2</xdr:col>
      <xdr:colOff>0</xdr:colOff>
      <xdr:row>5</xdr:row>
      <xdr:rowOff>0</xdr:rowOff>
    </xdr:from>
    <xdr:to>
      <xdr:col>2</xdr:col>
      <xdr:colOff>254000</xdr:colOff>
      <xdr:row>6</xdr:row>
      <xdr:rowOff>82550</xdr:rowOff>
    </xdr:to>
    <xdr:pic>
      <xdr:nvPicPr>
        <xdr:cNvPr id="414" name="Control 17">
          <a:extLst>
            <a:ext uri="{FF2B5EF4-FFF2-40B4-BE49-F238E27FC236}">
              <a16:creationId xmlns:a16="http://schemas.microsoft.com/office/drawing/2014/main" id="{00000000-0008-0000-0E00-00009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047750"/>
          <a:ext cx="254000" cy="273050"/>
        </a:xfrm>
        <a:prstGeom prst="rect">
          <a:avLst/>
        </a:prstGeom>
        <a:noFill/>
        <a:ln w="9525">
          <a:miter lim="800000"/>
          <a:headEnd/>
          <a:tailEnd/>
        </a:ln>
      </xdr:spPr>
    </xdr:pic>
    <xdr:clientData/>
  </xdr:twoCellAnchor>
  <xdr:twoCellAnchor editAs="oneCell">
    <xdr:from>
      <xdr:col>2</xdr:col>
      <xdr:colOff>0</xdr:colOff>
      <xdr:row>5</xdr:row>
      <xdr:rowOff>0</xdr:rowOff>
    </xdr:from>
    <xdr:to>
      <xdr:col>2</xdr:col>
      <xdr:colOff>152400</xdr:colOff>
      <xdr:row>5</xdr:row>
      <xdr:rowOff>152400</xdr:rowOff>
    </xdr:to>
    <xdr:pic>
      <xdr:nvPicPr>
        <xdr:cNvPr id="415" name="Control 18">
          <a:extLst>
            <a:ext uri="{FF2B5EF4-FFF2-40B4-BE49-F238E27FC236}">
              <a16:creationId xmlns:a16="http://schemas.microsoft.com/office/drawing/2014/main" id="{00000000-0008-0000-0E00-00009F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047750"/>
          <a:ext cx="152400" cy="152400"/>
        </a:xfrm>
        <a:prstGeom prst="rect">
          <a:avLst/>
        </a:prstGeom>
        <a:noFill/>
        <a:ln w="9525">
          <a:miter lim="800000"/>
          <a:headEnd/>
          <a:tailEnd/>
        </a:ln>
      </xdr:spPr>
    </xdr:pic>
    <xdr:clientData/>
  </xdr:twoCellAnchor>
  <xdr:twoCellAnchor editAs="oneCell">
    <xdr:from>
      <xdr:col>2</xdr:col>
      <xdr:colOff>0</xdr:colOff>
      <xdr:row>5</xdr:row>
      <xdr:rowOff>0</xdr:rowOff>
    </xdr:from>
    <xdr:to>
      <xdr:col>2</xdr:col>
      <xdr:colOff>152400</xdr:colOff>
      <xdr:row>5</xdr:row>
      <xdr:rowOff>152400</xdr:rowOff>
    </xdr:to>
    <xdr:pic>
      <xdr:nvPicPr>
        <xdr:cNvPr id="416" name="Control 19">
          <a:extLst>
            <a:ext uri="{FF2B5EF4-FFF2-40B4-BE49-F238E27FC236}">
              <a16:creationId xmlns:a16="http://schemas.microsoft.com/office/drawing/2014/main" id="{00000000-0008-0000-0E00-0000A0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047750"/>
          <a:ext cx="152400" cy="152400"/>
        </a:xfrm>
        <a:prstGeom prst="rect">
          <a:avLst/>
        </a:prstGeom>
        <a:noFill/>
        <a:ln w="9525">
          <a:miter lim="800000"/>
          <a:headEnd/>
          <a:tailEnd/>
        </a:ln>
      </xdr:spPr>
    </xdr:pic>
    <xdr:clientData/>
  </xdr:twoCellAnchor>
  <xdr:twoCellAnchor editAs="oneCell">
    <xdr:from>
      <xdr:col>0</xdr:col>
      <xdr:colOff>0</xdr:colOff>
      <xdr:row>6</xdr:row>
      <xdr:rowOff>0</xdr:rowOff>
    </xdr:from>
    <xdr:to>
      <xdr:col>0</xdr:col>
      <xdr:colOff>139700</xdr:colOff>
      <xdr:row>6</xdr:row>
      <xdr:rowOff>139700</xdr:rowOff>
    </xdr:to>
    <xdr:pic>
      <xdr:nvPicPr>
        <xdr:cNvPr id="417" name="Control 20">
          <a:extLst>
            <a:ext uri="{FF2B5EF4-FFF2-40B4-BE49-F238E27FC236}">
              <a16:creationId xmlns:a16="http://schemas.microsoft.com/office/drawing/2014/main" id="{00000000-0008-0000-0E00-0000A1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257300"/>
          <a:ext cx="139700" cy="139700"/>
        </a:xfrm>
        <a:prstGeom prst="rect">
          <a:avLst/>
        </a:prstGeom>
        <a:noFill/>
        <a:ln w="9525">
          <a:miter lim="800000"/>
          <a:headEnd/>
          <a:tailEnd/>
        </a:ln>
      </xdr:spPr>
    </xdr:pic>
    <xdr:clientData/>
  </xdr:twoCellAnchor>
  <xdr:twoCellAnchor editAs="oneCell">
    <xdr:from>
      <xdr:col>2</xdr:col>
      <xdr:colOff>0</xdr:colOff>
      <xdr:row>6</xdr:row>
      <xdr:rowOff>0</xdr:rowOff>
    </xdr:from>
    <xdr:to>
      <xdr:col>2</xdr:col>
      <xdr:colOff>254000</xdr:colOff>
      <xdr:row>7</xdr:row>
      <xdr:rowOff>73025</xdr:rowOff>
    </xdr:to>
    <xdr:pic>
      <xdr:nvPicPr>
        <xdr:cNvPr id="418" name="Control 21">
          <a:extLst>
            <a:ext uri="{FF2B5EF4-FFF2-40B4-BE49-F238E27FC236}">
              <a16:creationId xmlns:a16="http://schemas.microsoft.com/office/drawing/2014/main" id="{00000000-0008-0000-0E00-0000A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257300"/>
          <a:ext cx="254000" cy="273050"/>
        </a:xfrm>
        <a:prstGeom prst="rect">
          <a:avLst/>
        </a:prstGeom>
        <a:noFill/>
        <a:ln w="9525">
          <a:miter lim="800000"/>
          <a:headEnd/>
          <a:tailEnd/>
        </a:ln>
      </xdr:spPr>
    </xdr:pic>
    <xdr:clientData/>
  </xdr:twoCellAnchor>
  <xdr:twoCellAnchor editAs="oneCell">
    <xdr:from>
      <xdr:col>2</xdr:col>
      <xdr:colOff>0</xdr:colOff>
      <xdr:row>6</xdr:row>
      <xdr:rowOff>0</xdr:rowOff>
    </xdr:from>
    <xdr:to>
      <xdr:col>2</xdr:col>
      <xdr:colOff>152400</xdr:colOff>
      <xdr:row>6</xdr:row>
      <xdr:rowOff>152400</xdr:rowOff>
    </xdr:to>
    <xdr:pic>
      <xdr:nvPicPr>
        <xdr:cNvPr id="419" name="Control 22">
          <a:extLst>
            <a:ext uri="{FF2B5EF4-FFF2-40B4-BE49-F238E27FC236}">
              <a16:creationId xmlns:a16="http://schemas.microsoft.com/office/drawing/2014/main" id="{00000000-0008-0000-0E00-0000A3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257300"/>
          <a:ext cx="152400" cy="152400"/>
        </a:xfrm>
        <a:prstGeom prst="rect">
          <a:avLst/>
        </a:prstGeom>
        <a:noFill/>
        <a:ln w="9525">
          <a:miter lim="800000"/>
          <a:headEnd/>
          <a:tailEnd/>
        </a:ln>
      </xdr:spPr>
    </xdr:pic>
    <xdr:clientData/>
  </xdr:twoCellAnchor>
  <xdr:twoCellAnchor editAs="oneCell">
    <xdr:from>
      <xdr:col>2</xdr:col>
      <xdr:colOff>0</xdr:colOff>
      <xdr:row>6</xdr:row>
      <xdr:rowOff>0</xdr:rowOff>
    </xdr:from>
    <xdr:to>
      <xdr:col>2</xdr:col>
      <xdr:colOff>152400</xdr:colOff>
      <xdr:row>6</xdr:row>
      <xdr:rowOff>152400</xdr:rowOff>
    </xdr:to>
    <xdr:pic>
      <xdr:nvPicPr>
        <xdr:cNvPr id="420" name="Control 23">
          <a:extLst>
            <a:ext uri="{FF2B5EF4-FFF2-40B4-BE49-F238E27FC236}">
              <a16:creationId xmlns:a16="http://schemas.microsoft.com/office/drawing/2014/main" id="{00000000-0008-0000-0E00-0000A4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257300"/>
          <a:ext cx="152400" cy="152400"/>
        </a:xfrm>
        <a:prstGeom prst="rect">
          <a:avLst/>
        </a:prstGeom>
        <a:noFill/>
        <a:ln w="9525">
          <a:miter lim="800000"/>
          <a:headEnd/>
          <a:tailEnd/>
        </a:ln>
      </xdr:spPr>
    </xdr:pic>
    <xdr:clientData/>
  </xdr:twoCellAnchor>
  <xdr:twoCellAnchor editAs="oneCell">
    <xdr:from>
      <xdr:col>0</xdr:col>
      <xdr:colOff>0</xdr:colOff>
      <xdr:row>7</xdr:row>
      <xdr:rowOff>0</xdr:rowOff>
    </xdr:from>
    <xdr:to>
      <xdr:col>0</xdr:col>
      <xdr:colOff>139700</xdr:colOff>
      <xdr:row>7</xdr:row>
      <xdr:rowOff>139700</xdr:rowOff>
    </xdr:to>
    <xdr:pic>
      <xdr:nvPicPr>
        <xdr:cNvPr id="421" name="Control 24">
          <a:extLst>
            <a:ext uri="{FF2B5EF4-FFF2-40B4-BE49-F238E27FC236}">
              <a16:creationId xmlns:a16="http://schemas.microsoft.com/office/drawing/2014/main" id="{00000000-0008-0000-0E00-0000A5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466850"/>
          <a:ext cx="139700" cy="139700"/>
        </a:xfrm>
        <a:prstGeom prst="rect">
          <a:avLst/>
        </a:prstGeom>
        <a:noFill/>
        <a:ln w="9525">
          <a:miter lim="800000"/>
          <a:headEnd/>
          <a:tailEnd/>
        </a:ln>
      </xdr:spPr>
    </xdr:pic>
    <xdr:clientData/>
  </xdr:twoCellAnchor>
  <xdr:twoCellAnchor editAs="oneCell">
    <xdr:from>
      <xdr:col>2</xdr:col>
      <xdr:colOff>0</xdr:colOff>
      <xdr:row>7</xdr:row>
      <xdr:rowOff>0</xdr:rowOff>
    </xdr:from>
    <xdr:to>
      <xdr:col>2</xdr:col>
      <xdr:colOff>254000</xdr:colOff>
      <xdr:row>8</xdr:row>
      <xdr:rowOff>82550</xdr:rowOff>
    </xdr:to>
    <xdr:pic>
      <xdr:nvPicPr>
        <xdr:cNvPr id="422" name="Control 25">
          <a:extLst>
            <a:ext uri="{FF2B5EF4-FFF2-40B4-BE49-F238E27FC236}">
              <a16:creationId xmlns:a16="http://schemas.microsoft.com/office/drawing/2014/main" id="{00000000-0008-0000-0E00-0000A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466850"/>
          <a:ext cx="254000" cy="273050"/>
        </a:xfrm>
        <a:prstGeom prst="rect">
          <a:avLst/>
        </a:prstGeom>
        <a:noFill/>
        <a:ln w="9525">
          <a:miter lim="800000"/>
          <a:headEnd/>
          <a:tailEnd/>
        </a:ln>
      </xdr:spPr>
    </xdr:pic>
    <xdr:clientData/>
  </xdr:twoCellAnchor>
  <xdr:twoCellAnchor editAs="oneCell">
    <xdr:from>
      <xdr:col>2</xdr:col>
      <xdr:colOff>0</xdr:colOff>
      <xdr:row>7</xdr:row>
      <xdr:rowOff>0</xdr:rowOff>
    </xdr:from>
    <xdr:to>
      <xdr:col>2</xdr:col>
      <xdr:colOff>152400</xdr:colOff>
      <xdr:row>7</xdr:row>
      <xdr:rowOff>152400</xdr:rowOff>
    </xdr:to>
    <xdr:pic>
      <xdr:nvPicPr>
        <xdr:cNvPr id="423" name="Control 26">
          <a:extLst>
            <a:ext uri="{FF2B5EF4-FFF2-40B4-BE49-F238E27FC236}">
              <a16:creationId xmlns:a16="http://schemas.microsoft.com/office/drawing/2014/main" id="{00000000-0008-0000-0E00-0000A7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466850"/>
          <a:ext cx="152400" cy="152400"/>
        </a:xfrm>
        <a:prstGeom prst="rect">
          <a:avLst/>
        </a:prstGeom>
        <a:noFill/>
        <a:ln w="9525">
          <a:miter lim="800000"/>
          <a:headEnd/>
          <a:tailEnd/>
        </a:ln>
      </xdr:spPr>
    </xdr:pic>
    <xdr:clientData/>
  </xdr:twoCellAnchor>
  <xdr:twoCellAnchor editAs="oneCell">
    <xdr:from>
      <xdr:col>2</xdr:col>
      <xdr:colOff>0</xdr:colOff>
      <xdr:row>7</xdr:row>
      <xdr:rowOff>0</xdr:rowOff>
    </xdr:from>
    <xdr:to>
      <xdr:col>2</xdr:col>
      <xdr:colOff>152400</xdr:colOff>
      <xdr:row>7</xdr:row>
      <xdr:rowOff>152400</xdr:rowOff>
    </xdr:to>
    <xdr:pic>
      <xdr:nvPicPr>
        <xdr:cNvPr id="424" name="Control 27">
          <a:extLst>
            <a:ext uri="{FF2B5EF4-FFF2-40B4-BE49-F238E27FC236}">
              <a16:creationId xmlns:a16="http://schemas.microsoft.com/office/drawing/2014/main" id="{00000000-0008-0000-0E00-0000A8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466850"/>
          <a:ext cx="152400" cy="152400"/>
        </a:xfrm>
        <a:prstGeom prst="rect">
          <a:avLst/>
        </a:prstGeom>
        <a:noFill/>
        <a:ln w="9525">
          <a:miter lim="800000"/>
          <a:headEnd/>
          <a:tailEnd/>
        </a:ln>
      </xdr:spPr>
    </xdr:pic>
    <xdr:clientData/>
  </xdr:twoCellAnchor>
  <xdr:twoCellAnchor editAs="oneCell">
    <xdr:from>
      <xdr:col>0</xdr:col>
      <xdr:colOff>0</xdr:colOff>
      <xdr:row>8</xdr:row>
      <xdr:rowOff>0</xdr:rowOff>
    </xdr:from>
    <xdr:to>
      <xdr:col>0</xdr:col>
      <xdr:colOff>139700</xdr:colOff>
      <xdr:row>8</xdr:row>
      <xdr:rowOff>139700</xdr:rowOff>
    </xdr:to>
    <xdr:pic>
      <xdr:nvPicPr>
        <xdr:cNvPr id="425" name="Control 28">
          <a:extLst>
            <a:ext uri="{FF2B5EF4-FFF2-40B4-BE49-F238E27FC236}">
              <a16:creationId xmlns:a16="http://schemas.microsoft.com/office/drawing/2014/main" id="{00000000-0008-0000-0E00-0000A9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676400"/>
          <a:ext cx="139700" cy="139700"/>
        </a:xfrm>
        <a:prstGeom prst="rect">
          <a:avLst/>
        </a:prstGeom>
        <a:noFill/>
        <a:ln w="9525">
          <a:miter lim="800000"/>
          <a:headEnd/>
          <a:tailEnd/>
        </a:ln>
      </xdr:spPr>
    </xdr:pic>
    <xdr:clientData/>
  </xdr:twoCellAnchor>
  <xdr:twoCellAnchor editAs="oneCell">
    <xdr:from>
      <xdr:col>2</xdr:col>
      <xdr:colOff>0</xdr:colOff>
      <xdr:row>8</xdr:row>
      <xdr:rowOff>0</xdr:rowOff>
    </xdr:from>
    <xdr:to>
      <xdr:col>2</xdr:col>
      <xdr:colOff>254000</xdr:colOff>
      <xdr:row>9</xdr:row>
      <xdr:rowOff>82550</xdr:rowOff>
    </xdr:to>
    <xdr:pic>
      <xdr:nvPicPr>
        <xdr:cNvPr id="426" name="Control 29">
          <a:extLst>
            <a:ext uri="{FF2B5EF4-FFF2-40B4-BE49-F238E27FC236}">
              <a16:creationId xmlns:a16="http://schemas.microsoft.com/office/drawing/2014/main" id="{00000000-0008-0000-0E00-0000A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676400"/>
          <a:ext cx="254000" cy="273050"/>
        </a:xfrm>
        <a:prstGeom prst="rect">
          <a:avLst/>
        </a:prstGeom>
        <a:noFill/>
        <a:ln w="9525">
          <a:miter lim="800000"/>
          <a:headEnd/>
          <a:tailEnd/>
        </a:ln>
      </xdr:spPr>
    </xdr:pic>
    <xdr:clientData/>
  </xdr:twoCellAnchor>
  <xdr:twoCellAnchor editAs="oneCell">
    <xdr:from>
      <xdr:col>2</xdr:col>
      <xdr:colOff>0</xdr:colOff>
      <xdr:row>8</xdr:row>
      <xdr:rowOff>0</xdr:rowOff>
    </xdr:from>
    <xdr:to>
      <xdr:col>2</xdr:col>
      <xdr:colOff>152400</xdr:colOff>
      <xdr:row>8</xdr:row>
      <xdr:rowOff>152400</xdr:rowOff>
    </xdr:to>
    <xdr:pic>
      <xdr:nvPicPr>
        <xdr:cNvPr id="427" name="Control 30">
          <a:extLst>
            <a:ext uri="{FF2B5EF4-FFF2-40B4-BE49-F238E27FC236}">
              <a16:creationId xmlns:a16="http://schemas.microsoft.com/office/drawing/2014/main" id="{00000000-0008-0000-0E00-0000AB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676400"/>
          <a:ext cx="152400" cy="152400"/>
        </a:xfrm>
        <a:prstGeom prst="rect">
          <a:avLst/>
        </a:prstGeom>
        <a:noFill/>
        <a:ln w="9525">
          <a:miter lim="800000"/>
          <a:headEnd/>
          <a:tailEnd/>
        </a:ln>
      </xdr:spPr>
    </xdr:pic>
    <xdr:clientData/>
  </xdr:twoCellAnchor>
  <xdr:twoCellAnchor editAs="oneCell">
    <xdr:from>
      <xdr:col>2</xdr:col>
      <xdr:colOff>0</xdr:colOff>
      <xdr:row>8</xdr:row>
      <xdr:rowOff>0</xdr:rowOff>
    </xdr:from>
    <xdr:to>
      <xdr:col>2</xdr:col>
      <xdr:colOff>152400</xdr:colOff>
      <xdr:row>8</xdr:row>
      <xdr:rowOff>152400</xdr:rowOff>
    </xdr:to>
    <xdr:pic>
      <xdr:nvPicPr>
        <xdr:cNvPr id="428" name="Control 31">
          <a:extLst>
            <a:ext uri="{FF2B5EF4-FFF2-40B4-BE49-F238E27FC236}">
              <a16:creationId xmlns:a16="http://schemas.microsoft.com/office/drawing/2014/main" id="{00000000-0008-0000-0E00-0000AC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676400"/>
          <a:ext cx="152400" cy="152400"/>
        </a:xfrm>
        <a:prstGeom prst="rect">
          <a:avLst/>
        </a:prstGeom>
        <a:noFill/>
        <a:ln w="9525">
          <a:miter lim="800000"/>
          <a:headEnd/>
          <a:tailEnd/>
        </a:ln>
      </xdr:spPr>
    </xdr:pic>
    <xdr:clientData/>
  </xdr:twoCellAnchor>
  <xdr:twoCellAnchor editAs="oneCell">
    <xdr:from>
      <xdr:col>0</xdr:col>
      <xdr:colOff>0</xdr:colOff>
      <xdr:row>9</xdr:row>
      <xdr:rowOff>0</xdr:rowOff>
    </xdr:from>
    <xdr:to>
      <xdr:col>0</xdr:col>
      <xdr:colOff>139700</xdr:colOff>
      <xdr:row>9</xdr:row>
      <xdr:rowOff>139700</xdr:rowOff>
    </xdr:to>
    <xdr:pic>
      <xdr:nvPicPr>
        <xdr:cNvPr id="429" name="Control 32">
          <a:extLst>
            <a:ext uri="{FF2B5EF4-FFF2-40B4-BE49-F238E27FC236}">
              <a16:creationId xmlns:a16="http://schemas.microsoft.com/office/drawing/2014/main" id="{00000000-0008-0000-0E00-0000AD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885950"/>
          <a:ext cx="139700" cy="139700"/>
        </a:xfrm>
        <a:prstGeom prst="rect">
          <a:avLst/>
        </a:prstGeom>
        <a:noFill/>
        <a:ln w="9525">
          <a:miter lim="800000"/>
          <a:headEnd/>
          <a:tailEnd/>
        </a:ln>
      </xdr:spPr>
    </xdr:pic>
    <xdr:clientData/>
  </xdr:twoCellAnchor>
  <xdr:twoCellAnchor editAs="oneCell">
    <xdr:from>
      <xdr:col>2</xdr:col>
      <xdr:colOff>0</xdr:colOff>
      <xdr:row>9</xdr:row>
      <xdr:rowOff>0</xdr:rowOff>
    </xdr:from>
    <xdr:to>
      <xdr:col>2</xdr:col>
      <xdr:colOff>254000</xdr:colOff>
      <xdr:row>10</xdr:row>
      <xdr:rowOff>82550</xdr:rowOff>
    </xdr:to>
    <xdr:pic>
      <xdr:nvPicPr>
        <xdr:cNvPr id="430" name="Control 33">
          <a:extLst>
            <a:ext uri="{FF2B5EF4-FFF2-40B4-BE49-F238E27FC236}">
              <a16:creationId xmlns:a16="http://schemas.microsoft.com/office/drawing/2014/main" id="{00000000-0008-0000-0E00-0000A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885950"/>
          <a:ext cx="254000" cy="273050"/>
        </a:xfrm>
        <a:prstGeom prst="rect">
          <a:avLst/>
        </a:prstGeom>
        <a:noFill/>
        <a:ln w="9525">
          <a:miter lim="800000"/>
          <a:headEnd/>
          <a:tailEnd/>
        </a:ln>
      </xdr:spPr>
    </xdr:pic>
    <xdr:clientData/>
  </xdr:twoCellAnchor>
  <xdr:twoCellAnchor editAs="oneCell">
    <xdr:from>
      <xdr:col>2</xdr:col>
      <xdr:colOff>0</xdr:colOff>
      <xdr:row>9</xdr:row>
      <xdr:rowOff>0</xdr:rowOff>
    </xdr:from>
    <xdr:to>
      <xdr:col>2</xdr:col>
      <xdr:colOff>152400</xdr:colOff>
      <xdr:row>9</xdr:row>
      <xdr:rowOff>152400</xdr:rowOff>
    </xdr:to>
    <xdr:pic>
      <xdr:nvPicPr>
        <xdr:cNvPr id="431" name="Control 34">
          <a:extLst>
            <a:ext uri="{FF2B5EF4-FFF2-40B4-BE49-F238E27FC236}">
              <a16:creationId xmlns:a16="http://schemas.microsoft.com/office/drawing/2014/main" id="{00000000-0008-0000-0E00-0000AF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885950"/>
          <a:ext cx="152400" cy="152400"/>
        </a:xfrm>
        <a:prstGeom prst="rect">
          <a:avLst/>
        </a:prstGeom>
        <a:noFill/>
        <a:ln w="9525">
          <a:miter lim="800000"/>
          <a:headEnd/>
          <a:tailEnd/>
        </a:ln>
      </xdr:spPr>
    </xdr:pic>
    <xdr:clientData/>
  </xdr:twoCellAnchor>
  <xdr:twoCellAnchor editAs="oneCell">
    <xdr:from>
      <xdr:col>2</xdr:col>
      <xdr:colOff>0</xdr:colOff>
      <xdr:row>9</xdr:row>
      <xdr:rowOff>0</xdr:rowOff>
    </xdr:from>
    <xdr:to>
      <xdr:col>2</xdr:col>
      <xdr:colOff>152400</xdr:colOff>
      <xdr:row>9</xdr:row>
      <xdr:rowOff>152400</xdr:rowOff>
    </xdr:to>
    <xdr:pic>
      <xdr:nvPicPr>
        <xdr:cNvPr id="432" name="Control 35">
          <a:extLst>
            <a:ext uri="{FF2B5EF4-FFF2-40B4-BE49-F238E27FC236}">
              <a16:creationId xmlns:a16="http://schemas.microsoft.com/office/drawing/2014/main" id="{00000000-0008-0000-0E00-0000B0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885950"/>
          <a:ext cx="152400" cy="152400"/>
        </a:xfrm>
        <a:prstGeom prst="rect">
          <a:avLst/>
        </a:prstGeom>
        <a:noFill/>
        <a:ln w="9525">
          <a:miter lim="800000"/>
          <a:headEnd/>
          <a:tailEnd/>
        </a:ln>
      </xdr:spPr>
    </xdr:pic>
    <xdr:clientData/>
  </xdr:twoCellAnchor>
  <xdr:twoCellAnchor editAs="oneCell">
    <xdr:from>
      <xdr:col>0</xdr:col>
      <xdr:colOff>0</xdr:colOff>
      <xdr:row>10</xdr:row>
      <xdr:rowOff>0</xdr:rowOff>
    </xdr:from>
    <xdr:to>
      <xdr:col>0</xdr:col>
      <xdr:colOff>139700</xdr:colOff>
      <xdr:row>10</xdr:row>
      <xdr:rowOff>139700</xdr:rowOff>
    </xdr:to>
    <xdr:pic>
      <xdr:nvPicPr>
        <xdr:cNvPr id="433" name="Control 36">
          <a:extLst>
            <a:ext uri="{FF2B5EF4-FFF2-40B4-BE49-F238E27FC236}">
              <a16:creationId xmlns:a16="http://schemas.microsoft.com/office/drawing/2014/main" id="{00000000-0008-0000-0E00-0000B1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095500"/>
          <a:ext cx="139700" cy="139700"/>
        </a:xfrm>
        <a:prstGeom prst="rect">
          <a:avLst/>
        </a:prstGeom>
        <a:noFill/>
        <a:ln w="9525">
          <a:miter lim="800000"/>
          <a:headEnd/>
          <a:tailEnd/>
        </a:ln>
      </xdr:spPr>
    </xdr:pic>
    <xdr:clientData/>
  </xdr:twoCellAnchor>
  <xdr:twoCellAnchor editAs="oneCell">
    <xdr:from>
      <xdr:col>2</xdr:col>
      <xdr:colOff>0</xdr:colOff>
      <xdr:row>10</xdr:row>
      <xdr:rowOff>0</xdr:rowOff>
    </xdr:from>
    <xdr:to>
      <xdr:col>2</xdr:col>
      <xdr:colOff>254000</xdr:colOff>
      <xdr:row>11</xdr:row>
      <xdr:rowOff>82550</xdr:rowOff>
    </xdr:to>
    <xdr:pic>
      <xdr:nvPicPr>
        <xdr:cNvPr id="434" name="Control 37">
          <a:extLst>
            <a:ext uri="{FF2B5EF4-FFF2-40B4-BE49-F238E27FC236}">
              <a16:creationId xmlns:a16="http://schemas.microsoft.com/office/drawing/2014/main" id="{00000000-0008-0000-0E00-0000B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095500"/>
          <a:ext cx="254000" cy="273050"/>
        </a:xfrm>
        <a:prstGeom prst="rect">
          <a:avLst/>
        </a:prstGeom>
        <a:noFill/>
        <a:ln w="9525">
          <a:miter lim="800000"/>
          <a:headEnd/>
          <a:tailEnd/>
        </a:ln>
      </xdr:spPr>
    </xdr:pic>
    <xdr:clientData/>
  </xdr:twoCellAnchor>
  <xdr:twoCellAnchor editAs="oneCell">
    <xdr:from>
      <xdr:col>2</xdr:col>
      <xdr:colOff>0</xdr:colOff>
      <xdr:row>10</xdr:row>
      <xdr:rowOff>0</xdr:rowOff>
    </xdr:from>
    <xdr:to>
      <xdr:col>2</xdr:col>
      <xdr:colOff>152400</xdr:colOff>
      <xdr:row>10</xdr:row>
      <xdr:rowOff>152400</xdr:rowOff>
    </xdr:to>
    <xdr:pic>
      <xdr:nvPicPr>
        <xdr:cNvPr id="435" name="Control 38">
          <a:extLst>
            <a:ext uri="{FF2B5EF4-FFF2-40B4-BE49-F238E27FC236}">
              <a16:creationId xmlns:a16="http://schemas.microsoft.com/office/drawing/2014/main" id="{00000000-0008-0000-0E00-0000B3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095500"/>
          <a:ext cx="152400" cy="152400"/>
        </a:xfrm>
        <a:prstGeom prst="rect">
          <a:avLst/>
        </a:prstGeom>
        <a:noFill/>
        <a:ln w="9525">
          <a:miter lim="800000"/>
          <a:headEnd/>
          <a:tailEnd/>
        </a:ln>
      </xdr:spPr>
    </xdr:pic>
    <xdr:clientData/>
  </xdr:twoCellAnchor>
  <xdr:twoCellAnchor editAs="oneCell">
    <xdr:from>
      <xdr:col>2</xdr:col>
      <xdr:colOff>0</xdr:colOff>
      <xdr:row>10</xdr:row>
      <xdr:rowOff>0</xdr:rowOff>
    </xdr:from>
    <xdr:to>
      <xdr:col>2</xdr:col>
      <xdr:colOff>152400</xdr:colOff>
      <xdr:row>10</xdr:row>
      <xdr:rowOff>152400</xdr:rowOff>
    </xdr:to>
    <xdr:pic>
      <xdr:nvPicPr>
        <xdr:cNvPr id="436" name="Control 39">
          <a:extLst>
            <a:ext uri="{FF2B5EF4-FFF2-40B4-BE49-F238E27FC236}">
              <a16:creationId xmlns:a16="http://schemas.microsoft.com/office/drawing/2014/main" id="{00000000-0008-0000-0E00-0000B4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095500"/>
          <a:ext cx="152400" cy="152400"/>
        </a:xfrm>
        <a:prstGeom prst="rect">
          <a:avLst/>
        </a:prstGeom>
        <a:noFill/>
        <a:ln w="9525">
          <a:miter lim="800000"/>
          <a:headEnd/>
          <a:tailEnd/>
        </a:ln>
      </xdr:spPr>
    </xdr:pic>
    <xdr:clientData/>
  </xdr:twoCellAnchor>
  <xdr:twoCellAnchor editAs="oneCell">
    <xdr:from>
      <xdr:col>0</xdr:col>
      <xdr:colOff>0</xdr:colOff>
      <xdr:row>11</xdr:row>
      <xdr:rowOff>0</xdr:rowOff>
    </xdr:from>
    <xdr:to>
      <xdr:col>0</xdr:col>
      <xdr:colOff>139700</xdr:colOff>
      <xdr:row>11</xdr:row>
      <xdr:rowOff>139700</xdr:rowOff>
    </xdr:to>
    <xdr:pic>
      <xdr:nvPicPr>
        <xdr:cNvPr id="437" name="Control 40">
          <a:extLst>
            <a:ext uri="{FF2B5EF4-FFF2-40B4-BE49-F238E27FC236}">
              <a16:creationId xmlns:a16="http://schemas.microsoft.com/office/drawing/2014/main" id="{00000000-0008-0000-0E00-0000B5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05050"/>
          <a:ext cx="139700" cy="139700"/>
        </a:xfrm>
        <a:prstGeom prst="rect">
          <a:avLst/>
        </a:prstGeom>
        <a:noFill/>
        <a:ln w="9525">
          <a:miter lim="800000"/>
          <a:headEnd/>
          <a:tailEnd/>
        </a:ln>
      </xdr:spPr>
    </xdr:pic>
    <xdr:clientData/>
  </xdr:twoCellAnchor>
  <xdr:twoCellAnchor editAs="oneCell">
    <xdr:from>
      <xdr:col>2</xdr:col>
      <xdr:colOff>0</xdr:colOff>
      <xdr:row>11</xdr:row>
      <xdr:rowOff>0</xdr:rowOff>
    </xdr:from>
    <xdr:to>
      <xdr:col>2</xdr:col>
      <xdr:colOff>254000</xdr:colOff>
      <xdr:row>12</xdr:row>
      <xdr:rowOff>82550</xdr:rowOff>
    </xdr:to>
    <xdr:pic>
      <xdr:nvPicPr>
        <xdr:cNvPr id="438" name="Control 41">
          <a:extLst>
            <a:ext uri="{FF2B5EF4-FFF2-40B4-BE49-F238E27FC236}">
              <a16:creationId xmlns:a16="http://schemas.microsoft.com/office/drawing/2014/main" id="{00000000-0008-0000-0E00-0000B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305050"/>
          <a:ext cx="254000" cy="273050"/>
        </a:xfrm>
        <a:prstGeom prst="rect">
          <a:avLst/>
        </a:prstGeom>
        <a:noFill/>
        <a:ln w="9525">
          <a:miter lim="800000"/>
          <a:headEnd/>
          <a:tailEnd/>
        </a:ln>
      </xdr:spPr>
    </xdr:pic>
    <xdr:clientData/>
  </xdr:twoCellAnchor>
  <xdr:twoCellAnchor editAs="oneCell">
    <xdr:from>
      <xdr:col>2</xdr:col>
      <xdr:colOff>0</xdr:colOff>
      <xdr:row>11</xdr:row>
      <xdr:rowOff>0</xdr:rowOff>
    </xdr:from>
    <xdr:to>
      <xdr:col>2</xdr:col>
      <xdr:colOff>152400</xdr:colOff>
      <xdr:row>11</xdr:row>
      <xdr:rowOff>152400</xdr:rowOff>
    </xdr:to>
    <xdr:pic>
      <xdr:nvPicPr>
        <xdr:cNvPr id="439" name="Control 42">
          <a:extLst>
            <a:ext uri="{FF2B5EF4-FFF2-40B4-BE49-F238E27FC236}">
              <a16:creationId xmlns:a16="http://schemas.microsoft.com/office/drawing/2014/main" id="{00000000-0008-0000-0E00-0000B7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305050"/>
          <a:ext cx="152400" cy="152400"/>
        </a:xfrm>
        <a:prstGeom prst="rect">
          <a:avLst/>
        </a:prstGeom>
        <a:noFill/>
        <a:ln w="9525">
          <a:miter lim="800000"/>
          <a:headEnd/>
          <a:tailEnd/>
        </a:ln>
      </xdr:spPr>
    </xdr:pic>
    <xdr:clientData/>
  </xdr:twoCellAnchor>
  <xdr:twoCellAnchor editAs="oneCell">
    <xdr:from>
      <xdr:col>2</xdr:col>
      <xdr:colOff>0</xdr:colOff>
      <xdr:row>11</xdr:row>
      <xdr:rowOff>0</xdr:rowOff>
    </xdr:from>
    <xdr:to>
      <xdr:col>2</xdr:col>
      <xdr:colOff>152400</xdr:colOff>
      <xdr:row>11</xdr:row>
      <xdr:rowOff>152400</xdr:rowOff>
    </xdr:to>
    <xdr:pic>
      <xdr:nvPicPr>
        <xdr:cNvPr id="440" name="Control 43">
          <a:extLst>
            <a:ext uri="{FF2B5EF4-FFF2-40B4-BE49-F238E27FC236}">
              <a16:creationId xmlns:a16="http://schemas.microsoft.com/office/drawing/2014/main" id="{00000000-0008-0000-0E00-0000B8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305050"/>
          <a:ext cx="152400" cy="152400"/>
        </a:xfrm>
        <a:prstGeom prst="rect">
          <a:avLst/>
        </a:prstGeom>
        <a:noFill/>
        <a:ln w="9525">
          <a:miter lim="800000"/>
          <a:headEnd/>
          <a:tailEnd/>
        </a:ln>
      </xdr:spPr>
    </xdr:pic>
    <xdr:clientData/>
  </xdr:twoCellAnchor>
  <xdr:twoCellAnchor editAs="oneCell">
    <xdr:from>
      <xdr:col>0</xdr:col>
      <xdr:colOff>0</xdr:colOff>
      <xdr:row>12</xdr:row>
      <xdr:rowOff>0</xdr:rowOff>
    </xdr:from>
    <xdr:to>
      <xdr:col>0</xdr:col>
      <xdr:colOff>139700</xdr:colOff>
      <xdr:row>12</xdr:row>
      <xdr:rowOff>139700</xdr:rowOff>
    </xdr:to>
    <xdr:pic>
      <xdr:nvPicPr>
        <xdr:cNvPr id="441" name="Control 44">
          <a:extLst>
            <a:ext uri="{FF2B5EF4-FFF2-40B4-BE49-F238E27FC236}">
              <a16:creationId xmlns:a16="http://schemas.microsoft.com/office/drawing/2014/main" id="{00000000-0008-0000-0E00-0000B9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514600"/>
          <a:ext cx="139700" cy="139700"/>
        </a:xfrm>
        <a:prstGeom prst="rect">
          <a:avLst/>
        </a:prstGeom>
        <a:noFill/>
        <a:ln w="9525">
          <a:miter lim="800000"/>
          <a:headEnd/>
          <a:tailEnd/>
        </a:ln>
      </xdr:spPr>
    </xdr:pic>
    <xdr:clientData/>
  </xdr:twoCellAnchor>
  <xdr:twoCellAnchor editAs="oneCell">
    <xdr:from>
      <xdr:col>2</xdr:col>
      <xdr:colOff>0</xdr:colOff>
      <xdr:row>12</xdr:row>
      <xdr:rowOff>0</xdr:rowOff>
    </xdr:from>
    <xdr:to>
      <xdr:col>2</xdr:col>
      <xdr:colOff>254000</xdr:colOff>
      <xdr:row>13</xdr:row>
      <xdr:rowOff>82550</xdr:rowOff>
    </xdr:to>
    <xdr:pic>
      <xdr:nvPicPr>
        <xdr:cNvPr id="442" name="Control 45">
          <a:extLst>
            <a:ext uri="{FF2B5EF4-FFF2-40B4-BE49-F238E27FC236}">
              <a16:creationId xmlns:a16="http://schemas.microsoft.com/office/drawing/2014/main" id="{00000000-0008-0000-0E00-0000B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514600"/>
          <a:ext cx="254000" cy="273050"/>
        </a:xfrm>
        <a:prstGeom prst="rect">
          <a:avLst/>
        </a:prstGeom>
        <a:noFill/>
        <a:ln w="9525">
          <a:miter lim="800000"/>
          <a:headEnd/>
          <a:tailEnd/>
        </a:ln>
      </xdr:spPr>
    </xdr:pic>
    <xdr:clientData/>
  </xdr:twoCellAnchor>
  <xdr:twoCellAnchor editAs="oneCell">
    <xdr:from>
      <xdr:col>2</xdr:col>
      <xdr:colOff>0</xdr:colOff>
      <xdr:row>12</xdr:row>
      <xdr:rowOff>0</xdr:rowOff>
    </xdr:from>
    <xdr:to>
      <xdr:col>2</xdr:col>
      <xdr:colOff>152400</xdr:colOff>
      <xdr:row>12</xdr:row>
      <xdr:rowOff>152400</xdr:rowOff>
    </xdr:to>
    <xdr:pic>
      <xdr:nvPicPr>
        <xdr:cNvPr id="443" name="Control 46">
          <a:extLst>
            <a:ext uri="{FF2B5EF4-FFF2-40B4-BE49-F238E27FC236}">
              <a16:creationId xmlns:a16="http://schemas.microsoft.com/office/drawing/2014/main" id="{00000000-0008-0000-0E00-0000BB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514600"/>
          <a:ext cx="152400" cy="152400"/>
        </a:xfrm>
        <a:prstGeom prst="rect">
          <a:avLst/>
        </a:prstGeom>
        <a:noFill/>
        <a:ln w="9525">
          <a:miter lim="800000"/>
          <a:headEnd/>
          <a:tailEnd/>
        </a:ln>
      </xdr:spPr>
    </xdr:pic>
    <xdr:clientData/>
  </xdr:twoCellAnchor>
  <xdr:twoCellAnchor editAs="oneCell">
    <xdr:from>
      <xdr:col>2</xdr:col>
      <xdr:colOff>0</xdr:colOff>
      <xdr:row>12</xdr:row>
      <xdr:rowOff>0</xdr:rowOff>
    </xdr:from>
    <xdr:to>
      <xdr:col>2</xdr:col>
      <xdr:colOff>152400</xdr:colOff>
      <xdr:row>12</xdr:row>
      <xdr:rowOff>152400</xdr:rowOff>
    </xdr:to>
    <xdr:pic>
      <xdr:nvPicPr>
        <xdr:cNvPr id="444" name="Control 47">
          <a:extLst>
            <a:ext uri="{FF2B5EF4-FFF2-40B4-BE49-F238E27FC236}">
              <a16:creationId xmlns:a16="http://schemas.microsoft.com/office/drawing/2014/main" id="{00000000-0008-0000-0E00-0000BC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514600"/>
          <a:ext cx="152400" cy="152400"/>
        </a:xfrm>
        <a:prstGeom prst="rect">
          <a:avLst/>
        </a:prstGeom>
        <a:noFill/>
        <a:ln w="9525">
          <a:miter lim="800000"/>
          <a:headEnd/>
          <a:tailEnd/>
        </a:ln>
      </xdr:spPr>
    </xdr:pic>
    <xdr:clientData/>
  </xdr:twoCellAnchor>
  <xdr:twoCellAnchor editAs="oneCell">
    <xdr:from>
      <xdr:col>0</xdr:col>
      <xdr:colOff>0</xdr:colOff>
      <xdr:row>13</xdr:row>
      <xdr:rowOff>0</xdr:rowOff>
    </xdr:from>
    <xdr:to>
      <xdr:col>0</xdr:col>
      <xdr:colOff>139700</xdr:colOff>
      <xdr:row>13</xdr:row>
      <xdr:rowOff>139700</xdr:rowOff>
    </xdr:to>
    <xdr:pic>
      <xdr:nvPicPr>
        <xdr:cNvPr id="445" name="Control 48">
          <a:extLst>
            <a:ext uri="{FF2B5EF4-FFF2-40B4-BE49-F238E27FC236}">
              <a16:creationId xmlns:a16="http://schemas.microsoft.com/office/drawing/2014/main" id="{00000000-0008-0000-0E00-0000BD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724150"/>
          <a:ext cx="139700" cy="139700"/>
        </a:xfrm>
        <a:prstGeom prst="rect">
          <a:avLst/>
        </a:prstGeom>
        <a:noFill/>
        <a:ln w="9525">
          <a:miter lim="800000"/>
          <a:headEnd/>
          <a:tailEnd/>
        </a:ln>
      </xdr:spPr>
    </xdr:pic>
    <xdr:clientData/>
  </xdr:twoCellAnchor>
  <xdr:twoCellAnchor editAs="oneCell">
    <xdr:from>
      <xdr:col>2</xdr:col>
      <xdr:colOff>0</xdr:colOff>
      <xdr:row>13</xdr:row>
      <xdr:rowOff>0</xdr:rowOff>
    </xdr:from>
    <xdr:to>
      <xdr:col>2</xdr:col>
      <xdr:colOff>254000</xdr:colOff>
      <xdr:row>14</xdr:row>
      <xdr:rowOff>82550</xdr:rowOff>
    </xdr:to>
    <xdr:pic>
      <xdr:nvPicPr>
        <xdr:cNvPr id="446" name="Control 49">
          <a:extLst>
            <a:ext uri="{FF2B5EF4-FFF2-40B4-BE49-F238E27FC236}">
              <a16:creationId xmlns:a16="http://schemas.microsoft.com/office/drawing/2014/main" id="{00000000-0008-0000-0E00-0000B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724150"/>
          <a:ext cx="254000" cy="273050"/>
        </a:xfrm>
        <a:prstGeom prst="rect">
          <a:avLst/>
        </a:prstGeom>
        <a:noFill/>
        <a:ln w="9525">
          <a:miter lim="800000"/>
          <a:headEnd/>
          <a:tailEnd/>
        </a:ln>
      </xdr:spPr>
    </xdr:pic>
    <xdr:clientData/>
  </xdr:twoCellAnchor>
  <xdr:twoCellAnchor editAs="oneCell">
    <xdr:from>
      <xdr:col>2</xdr:col>
      <xdr:colOff>0</xdr:colOff>
      <xdr:row>13</xdr:row>
      <xdr:rowOff>0</xdr:rowOff>
    </xdr:from>
    <xdr:to>
      <xdr:col>2</xdr:col>
      <xdr:colOff>152400</xdr:colOff>
      <xdr:row>13</xdr:row>
      <xdr:rowOff>152400</xdr:rowOff>
    </xdr:to>
    <xdr:pic>
      <xdr:nvPicPr>
        <xdr:cNvPr id="447" name="Control 50">
          <a:extLst>
            <a:ext uri="{FF2B5EF4-FFF2-40B4-BE49-F238E27FC236}">
              <a16:creationId xmlns:a16="http://schemas.microsoft.com/office/drawing/2014/main" id="{00000000-0008-0000-0E00-0000BF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724150"/>
          <a:ext cx="152400" cy="152400"/>
        </a:xfrm>
        <a:prstGeom prst="rect">
          <a:avLst/>
        </a:prstGeom>
        <a:noFill/>
        <a:ln w="9525">
          <a:miter lim="800000"/>
          <a:headEnd/>
          <a:tailEnd/>
        </a:ln>
      </xdr:spPr>
    </xdr:pic>
    <xdr:clientData/>
  </xdr:twoCellAnchor>
  <xdr:twoCellAnchor editAs="oneCell">
    <xdr:from>
      <xdr:col>2</xdr:col>
      <xdr:colOff>0</xdr:colOff>
      <xdr:row>13</xdr:row>
      <xdr:rowOff>0</xdr:rowOff>
    </xdr:from>
    <xdr:to>
      <xdr:col>2</xdr:col>
      <xdr:colOff>152400</xdr:colOff>
      <xdr:row>13</xdr:row>
      <xdr:rowOff>152400</xdr:rowOff>
    </xdr:to>
    <xdr:pic>
      <xdr:nvPicPr>
        <xdr:cNvPr id="448" name="Control 51">
          <a:extLst>
            <a:ext uri="{FF2B5EF4-FFF2-40B4-BE49-F238E27FC236}">
              <a16:creationId xmlns:a16="http://schemas.microsoft.com/office/drawing/2014/main" id="{00000000-0008-0000-0E00-0000C0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724150"/>
          <a:ext cx="152400" cy="152400"/>
        </a:xfrm>
        <a:prstGeom prst="rect">
          <a:avLst/>
        </a:prstGeom>
        <a:noFill/>
        <a:ln w="9525">
          <a:miter lim="800000"/>
          <a:headEnd/>
          <a:tailEnd/>
        </a:ln>
      </xdr:spPr>
    </xdr:pic>
    <xdr:clientData/>
  </xdr:twoCellAnchor>
  <xdr:twoCellAnchor editAs="oneCell">
    <xdr:from>
      <xdr:col>0</xdr:col>
      <xdr:colOff>0</xdr:colOff>
      <xdr:row>14</xdr:row>
      <xdr:rowOff>0</xdr:rowOff>
    </xdr:from>
    <xdr:to>
      <xdr:col>0</xdr:col>
      <xdr:colOff>139700</xdr:colOff>
      <xdr:row>14</xdr:row>
      <xdr:rowOff>139700</xdr:rowOff>
    </xdr:to>
    <xdr:pic>
      <xdr:nvPicPr>
        <xdr:cNvPr id="449" name="Control 52">
          <a:extLst>
            <a:ext uri="{FF2B5EF4-FFF2-40B4-BE49-F238E27FC236}">
              <a16:creationId xmlns:a16="http://schemas.microsoft.com/office/drawing/2014/main" id="{00000000-0008-0000-0E00-0000C1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933700"/>
          <a:ext cx="139700" cy="139700"/>
        </a:xfrm>
        <a:prstGeom prst="rect">
          <a:avLst/>
        </a:prstGeom>
        <a:noFill/>
        <a:ln w="9525">
          <a:miter lim="800000"/>
          <a:headEnd/>
          <a:tailEnd/>
        </a:ln>
      </xdr:spPr>
    </xdr:pic>
    <xdr:clientData/>
  </xdr:twoCellAnchor>
  <xdr:twoCellAnchor editAs="oneCell">
    <xdr:from>
      <xdr:col>2</xdr:col>
      <xdr:colOff>0</xdr:colOff>
      <xdr:row>14</xdr:row>
      <xdr:rowOff>0</xdr:rowOff>
    </xdr:from>
    <xdr:to>
      <xdr:col>2</xdr:col>
      <xdr:colOff>254000</xdr:colOff>
      <xdr:row>15</xdr:row>
      <xdr:rowOff>82550</xdr:rowOff>
    </xdr:to>
    <xdr:pic>
      <xdr:nvPicPr>
        <xdr:cNvPr id="450" name="Control 53">
          <a:extLst>
            <a:ext uri="{FF2B5EF4-FFF2-40B4-BE49-F238E27FC236}">
              <a16:creationId xmlns:a16="http://schemas.microsoft.com/office/drawing/2014/main" id="{00000000-0008-0000-0E00-0000C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933700"/>
          <a:ext cx="254000" cy="273050"/>
        </a:xfrm>
        <a:prstGeom prst="rect">
          <a:avLst/>
        </a:prstGeom>
        <a:noFill/>
        <a:ln w="9525">
          <a:miter lim="800000"/>
          <a:headEnd/>
          <a:tailEnd/>
        </a:ln>
      </xdr:spPr>
    </xdr:pic>
    <xdr:clientData/>
  </xdr:twoCellAnchor>
  <xdr:twoCellAnchor editAs="oneCell">
    <xdr:from>
      <xdr:col>2</xdr:col>
      <xdr:colOff>0</xdr:colOff>
      <xdr:row>14</xdr:row>
      <xdr:rowOff>0</xdr:rowOff>
    </xdr:from>
    <xdr:to>
      <xdr:col>2</xdr:col>
      <xdr:colOff>152400</xdr:colOff>
      <xdr:row>14</xdr:row>
      <xdr:rowOff>152400</xdr:rowOff>
    </xdr:to>
    <xdr:pic>
      <xdr:nvPicPr>
        <xdr:cNvPr id="451" name="Control 54">
          <a:extLst>
            <a:ext uri="{FF2B5EF4-FFF2-40B4-BE49-F238E27FC236}">
              <a16:creationId xmlns:a16="http://schemas.microsoft.com/office/drawing/2014/main" id="{00000000-0008-0000-0E00-0000C3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933700"/>
          <a:ext cx="152400" cy="152400"/>
        </a:xfrm>
        <a:prstGeom prst="rect">
          <a:avLst/>
        </a:prstGeom>
        <a:noFill/>
        <a:ln w="9525">
          <a:miter lim="800000"/>
          <a:headEnd/>
          <a:tailEnd/>
        </a:ln>
      </xdr:spPr>
    </xdr:pic>
    <xdr:clientData/>
  </xdr:twoCellAnchor>
  <xdr:twoCellAnchor editAs="oneCell">
    <xdr:from>
      <xdr:col>2</xdr:col>
      <xdr:colOff>0</xdr:colOff>
      <xdr:row>14</xdr:row>
      <xdr:rowOff>0</xdr:rowOff>
    </xdr:from>
    <xdr:to>
      <xdr:col>2</xdr:col>
      <xdr:colOff>152400</xdr:colOff>
      <xdr:row>14</xdr:row>
      <xdr:rowOff>152400</xdr:rowOff>
    </xdr:to>
    <xdr:pic>
      <xdr:nvPicPr>
        <xdr:cNvPr id="452" name="Control 55">
          <a:extLst>
            <a:ext uri="{FF2B5EF4-FFF2-40B4-BE49-F238E27FC236}">
              <a16:creationId xmlns:a16="http://schemas.microsoft.com/office/drawing/2014/main" id="{00000000-0008-0000-0E00-0000C4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933700"/>
          <a:ext cx="152400" cy="152400"/>
        </a:xfrm>
        <a:prstGeom prst="rect">
          <a:avLst/>
        </a:prstGeom>
        <a:noFill/>
        <a:ln w="9525">
          <a:miter lim="800000"/>
          <a:headEnd/>
          <a:tailEnd/>
        </a:ln>
      </xdr:spPr>
    </xdr:pic>
    <xdr:clientData/>
  </xdr:twoCellAnchor>
  <xdr:twoCellAnchor editAs="oneCell">
    <xdr:from>
      <xdr:col>0</xdr:col>
      <xdr:colOff>0</xdr:colOff>
      <xdr:row>15</xdr:row>
      <xdr:rowOff>0</xdr:rowOff>
    </xdr:from>
    <xdr:to>
      <xdr:col>0</xdr:col>
      <xdr:colOff>139700</xdr:colOff>
      <xdr:row>15</xdr:row>
      <xdr:rowOff>139700</xdr:rowOff>
    </xdr:to>
    <xdr:pic>
      <xdr:nvPicPr>
        <xdr:cNvPr id="453" name="Control 56">
          <a:extLst>
            <a:ext uri="{FF2B5EF4-FFF2-40B4-BE49-F238E27FC236}">
              <a16:creationId xmlns:a16="http://schemas.microsoft.com/office/drawing/2014/main" id="{00000000-0008-0000-0E00-0000C5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143250"/>
          <a:ext cx="139700" cy="139700"/>
        </a:xfrm>
        <a:prstGeom prst="rect">
          <a:avLst/>
        </a:prstGeom>
        <a:noFill/>
        <a:ln w="9525">
          <a:miter lim="800000"/>
          <a:headEnd/>
          <a:tailEnd/>
        </a:ln>
      </xdr:spPr>
    </xdr:pic>
    <xdr:clientData/>
  </xdr:twoCellAnchor>
  <xdr:twoCellAnchor editAs="oneCell">
    <xdr:from>
      <xdr:col>2</xdr:col>
      <xdr:colOff>0</xdr:colOff>
      <xdr:row>15</xdr:row>
      <xdr:rowOff>0</xdr:rowOff>
    </xdr:from>
    <xdr:to>
      <xdr:col>2</xdr:col>
      <xdr:colOff>254000</xdr:colOff>
      <xdr:row>16</xdr:row>
      <xdr:rowOff>82550</xdr:rowOff>
    </xdr:to>
    <xdr:pic>
      <xdr:nvPicPr>
        <xdr:cNvPr id="454" name="Control 57">
          <a:extLst>
            <a:ext uri="{FF2B5EF4-FFF2-40B4-BE49-F238E27FC236}">
              <a16:creationId xmlns:a16="http://schemas.microsoft.com/office/drawing/2014/main" id="{00000000-0008-0000-0E00-0000C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3143250"/>
          <a:ext cx="254000" cy="273050"/>
        </a:xfrm>
        <a:prstGeom prst="rect">
          <a:avLst/>
        </a:prstGeom>
        <a:noFill/>
        <a:ln w="9525">
          <a:miter lim="800000"/>
          <a:headEnd/>
          <a:tailEnd/>
        </a:ln>
      </xdr:spPr>
    </xdr:pic>
    <xdr:clientData/>
  </xdr:twoCellAnchor>
  <xdr:twoCellAnchor editAs="oneCell">
    <xdr:from>
      <xdr:col>2</xdr:col>
      <xdr:colOff>0</xdr:colOff>
      <xdr:row>15</xdr:row>
      <xdr:rowOff>0</xdr:rowOff>
    </xdr:from>
    <xdr:to>
      <xdr:col>2</xdr:col>
      <xdr:colOff>152400</xdr:colOff>
      <xdr:row>15</xdr:row>
      <xdr:rowOff>152400</xdr:rowOff>
    </xdr:to>
    <xdr:pic>
      <xdr:nvPicPr>
        <xdr:cNvPr id="455" name="Control 58">
          <a:extLst>
            <a:ext uri="{FF2B5EF4-FFF2-40B4-BE49-F238E27FC236}">
              <a16:creationId xmlns:a16="http://schemas.microsoft.com/office/drawing/2014/main" id="{00000000-0008-0000-0E00-0000C7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3143250"/>
          <a:ext cx="152400" cy="152400"/>
        </a:xfrm>
        <a:prstGeom prst="rect">
          <a:avLst/>
        </a:prstGeom>
        <a:noFill/>
        <a:ln w="9525">
          <a:miter lim="800000"/>
          <a:headEnd/>
          <a:tailEnd/>
        </a:ln>
      </xdr:spPr>
    </xdr:pic>
    <xdr:clientData/>
  </xdr:twoCellAnchor>
  <xdr:twoCellAnchor editAs="oneCell">
    <xdr:from>
      <xdr:col>2</xdr:col>
      <xdr:colOff>0</xdr:colOff>
      <xdr:row>15</xdr:row>
      <xdr:rowOff>0</xdr:rowOff>
    </xdr:from>
    <xdr:to>
      <xdr:col>2</xdr:col>
      <xdr:colOff>152400</xdr:colOff>
      <xdr:row>15</xdr:row>
      <xdr:rowOff>152400</xdr:rowOff>
    </xdr:to>
    <xdr:pic>
      <xdr:nvPicPr>
        <xdr:cNvPr id="456" name="Control 59">
          <a:extLst>
            <a:ext uri="{FF2B5EF4-FFF2-40B4-BE49-F238E27FC236}">
              <a16:creationId xmlns:a16="http://schemas.microsoft.com/office/drawing/2014/main" id="{00000000-0008-0000-0E00-0000C8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143250"/>
          <a:ext cx="152400" cy="152400"/>
        </a:xfrm>
        <a:prstGeom prst="rect">
          <a:avLst/>
        </a:prstGeom>
        <a:noFill/>
        <a:ln w="9525">
          <a:miter lim="800000"/>
          <a:headEnd/>
          <a:tailEnd/>
        </a:ln>
      </xdr:spPr>
    </xdr:pic>
    <xdr:clientData/>
  </xdr:twoCellAnchor>
  <xdr:twoCellAnchor editAs="oneCell">
    <xdr:from>
      <xdr:col>0</xdr:col>
      <xdr:colOff>0</xdr:colOff>
      <xdr:row>16</xdr:row>
      <xdr:rowOff>0</xdr:rowOff>
    </xdr:from>
    <xdr:to>
      <xdr:col>0</xdr:col>
      <xdr:colOff>139700</xdr:colOff>
      <xdr:row>16</xdr:row>
      <xdr:rowOff>139700</xdr:rowOff>
    </xdr:to>
    <xdr:pic>
      <xdr:nvPicPr>
        <xdr:cNvPr id="457" name="Control 60">
          <a:extLst>
            <a:ext uri="{FF2B5EF4-FFF2-40B4-BE49-F238E27FC236}">
              <a16:creationId xmlns:a16="http://schemas.microsoft.com/office/drawing/2014/main" id="{00000000-0008-0000-0E00-0000C9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352800"/>
          <a:ext cx="139700" cy="139700"/>
        </a:xfrm>
        <a:prstGeom prst="rect">
          <a:avLst/>
        </a:prstGeom>
        <a:noFill/>
        <a:ln w="9525">
          <a:miter lim="800000"/>
          <a:headEnd/>
          <a:tailEnd/>
        </a:ln>
      </xdr:spPr>
    </xdr:pic>
    <xdr:clientData/>
  </xdr:twoCellAnchor>
  <xdr:twoCellAnchor editAs="oneCell">
    <xdr:from>
      <xdr:col>2</xdr:col>
      <xdr:colOff>0</xdr:colOff>
      <xdr:row>16</xdr:row>
      <xdr:rowOff>0</xdr:rowOff>
    </xdr:from>
    <xdr:to>
      <xdr:col>2</xdr:col>
      <xdr:colOff>254000</xdr:colOff>
      <xdr:row>17</xdr:row>
      <xdr:rowOff>82550</xdr:rowOff>
    </xdr:to>
    <xdr:pic>
      <xdr:nvPicPr>
        <xdr:cNvPr id="458" name="Control 61">
          <a:extLst>
            <a:ext uri="{FF2B5EF4-FFF2-40B4-BE49-F238E27FC236}">
              <a16:creationId xmlns:a16="http://schemas.microsoft.com/office/drawing/2014/main" id="{00000000-0008-0000-0E00-0000C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3352800"/>
          <a:ext cx="254000" cy="273050"/>
        </a:xfrm>
        <a:prstGeom prst="rect">
          <a:avLst/>
        </a:prstGeom>
        <a:noFill/>
        <a:ln w="9525">
          <a:miter lim="800000"/>
          <a:headEnd/>
          <a:tailEnd/>
        </a:ln>
      </xdr:spPr>
    </xdr:pic>
    <xdr:clientData/>
  </xdr:twoCellAnchor>
  <xdr:twoCellAnchor editAs="oneCell">
    <xdr:from>
      <xdr:col>2</xdr:col>
      <xdr:colOff>0</xdr:colOff>
      <xdr:row>16</xdr:row>
      <xdr:rowOff>0</xdr:rowOff>
    </xdr:from>
    <xdr:to>
      <xdr:col>2</xdr:col>
      <xdr:colOff>152400</xdr:colOff>
      <xdr:row>16</xdr:row>
      <xdr:rowOff>152400</xdr:rowOff>
    </xdr:to>
    <xdr:pic>
      <xdr:nvPicPr>
        <xdr:cNvPr id="459" name="Control 62">
          <a:extLst>
            <a:ext uri="{FF2B5EF4-FFF2-40B4-BE49-F238E27FC236}">
              <a16:creationId xmlns:a16="http://schemas.microsoft.com/office/drawing/2014/main" id="{00000000-0008-0000-0E00-0000CB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3352800"/>
          <a:ext cx="152400" cy="152400"/>
        </a:xfrm>
        <a:prstGeom prst="rect">
          <a:avLst/>
        </a:prstGeom>
        <a:noFill/>
        <a:ln w="9525">
          <a:miter lim="800000"/>
          <a:headEnd/>
          <a:tailEnd/>
        </a:ln>
      </xdr:spPr>
    </xdr:pic>
    <xdr:clientData/>
  </xdr:twoCellAnchor>
  <xdr:twoCellAnchor editAs="oneCell">
    <xdr:from>
      <xdr:col>2</xdr:col>
      <xdr:colOff>0</xdr:colOff>
      <xdr:row>16</xdr:row>
      <xdr:rowOff>0</xdr:rowOff>
    </xdr:from>
    <xdr:to>
      <xdr:col>2</xdr:col>
      <xdr:colOff>152400</xdr:colOff>
      <xdr:row>16</xdr:row>
      <xdr:rowOff>152400</xdr:rowOff>
    </xdr:to>
    <xdr:pic>
      <xdr:nvPicPr>
        <xdr:cNvPr id="460" name="Control 63">
          <a:extLst>
            <a:ext uri="{FF2B5EF4-FFF2-40B4-BE49-F238E27FC236}">
              <a16:creationId xmlns:a16="http://schemas.microsoft.com/office/drawing/2014/main" id="{00000000-0008-0000-0E00-0000CC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352800"/>
          <a:ext cx="152400" cy="152400"/>
        </a:xfrm>
        <a:prstGeom prst="rect">
          <a:avLst/>
        </a:prstGeom>
        <a:noFill/>
        <a:ln w="9525">
          <a:miter lim="800000"/>
          <a:headEnd/>
          <a:tailEnd/>
        </a:ln>
      </xdr:spPr>
    </xdr:pic>
    <xdr:clientData/>
  </xdr:twoCellAnchor>
  <xdr:twoCellAnchor editAs="oneCell">
    <xdr:from>
      <xdr:col>0</xdr:col>
      <xdr:colOff>0</xdr:colOff>
      <xdr:row>17</xdr:row>
      <xdr:rowOff>0</xdr:rowOff>
    </xdr:from>
    <xdr:to>
      <xdr:col>0</xdr:col>
      <xdr:colOff>139700</xdr:colOff>
      <xdr:row>17</xdr:row>
      <xdr:rowOff>139700</xdr:rowOff>
    </xdr:to>
    <xdr:pic>
      <xdr:nvPicPr>
        <xdr:cNvPr id="461" name="Control 64">
          <a:extLst>
            <a:ext uri="{FF2B5EF4-FFF2-40B4-BE49-F238E27FC236}">
              <a16:creationId xmlns:a16="http://schemas.microsoft.com/office/drawing/2014/main" id="{00000000-0008-0000-0E00-0000CD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562350"/>
          <a:ext cx="139700" cy="139700"/>
        </a:xfrm>
        <a:prstGeom prst="rect">
          <a:avLst/>
        </a:prstGeom>
        <a:noFill/>
        <a:ln w="9525">
          <a:miter lim="800000"/>
          <a:headEnd/>
          <a:tailEnd/>
        </a:ln>
      </xdr:spPr>
    </xdr:pic>
    <xdr:clientData/>
  </xdr:twoCellAnchor>
  <xdr:twoCellAnchor editAs="oneCell">
    <xdr:from>
      <xdr:col>2</xdr:col>
      <xdr:colOff>0</xdr:colOff>
      <xdr:row>17</xdr:row>
      <xdr:rowOff>0</xdr:rowOff>
    </xdr:from>
    <xdr:to>
      <xdr:col>2</xdr:col>
      <xdr:colOff>254000</xdr:colOff>
      <xdr:row>18</xdr:row>
      <xdr:rowOff>82550</xdr:rowOff>
    </xdr:to>
    <xdr:pic>
      <xdr:nvPicPr>
        <xdr:cNvPr id="462" name="Control 65">
          <a:extLst>
            <a:ext uri="{FF2B5EF4-FFF2-40B4-BE49-F238E27FC236}">
              <a16:creationId xmlns:a16="http://schemas.microsoft.com/office/drawing/2014/main" id="{00000000-0008-0000-0E00-0000C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3562350"/>
          <a:ext cx="254000" cy="273050"/>
        </a:xfrm>
        <a:prstGeom prst="rect">
          <a:avLst/>
        </a:prstGeom>
        <a:noFill/>
        <a:ln w="9525">
          <a:miter lim="800000"/>
          <a:headEnd/>
          <a:tailEnd/>
        </a:ln>
      </xdr:spPr>
    </xdr:pic>
    <xdr:clientData/>
  </xdr:twoCellAnchor>
  <xdr:twoCellAnchor editAs="oneCell">
    <xdr:from>
      <xdr:col>2</xdr:col>
      <xdr:colOff>0</xdr:colOff>
      <xdr:row>17</xdr:row>
      <xdr:rowOff>0</xdr:rowOff>
    </xdr:from>
    <xdr:to>
      <xdr:col>2</xdr:col>
      <xdr:colOff>152400</xdr:colOff>
      <xdr:row>17</xdr:row>
      <xdr:rowOff>152400</xdr:rowOff>
    </xdr:to>
    <xdr:pic>
      <xdr:nvPicPr>
        <xdr:cNvPr id="463" name="Control 66">
          <a:extLst>
            <a:ext uri="{FF2B5EF4-FFF2-40B4-BE49-F238E27FC236}">
              <a16:creationId xmlns:a16="http://schemas.microsoft.com/office/drawing/2014/main" id="{00000000-0008-0000-0E00-0000CF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3562350"/>
          <a:ext cx="152400" cy="152400"/>
        </a:xfrm>
        <a:prstGeom prst="rect">
          <a:avLst/>
        </a:prstGeom>
        <a:noFill/>
        <a:ln w="9525">
          <a:miter lim="800000"/>
          <a:headEnd/>
          <a:tailEnd/>
        </a:ln>
      </xdr:spPr>
    </xdr:pic>
    <xdr:clientData/>
  </xdr:twoCellAnchor>
  <xdr:twoCellAnchor editAs="oneCell">
    <xdr:from>
      <xdr:col>2</xdr:col>
      <xdr:colOff>0</xdr:colOff>
      <xdr:row>17</xdr:row>
      <xdr:rowOff>0</xdr:rowOff>
    </xdr:from>
    <xdr:to>
      <xdr:col>2</xdr:col>
      <xdr:colOff>152400</xdr:colOff>
      <xdr:row>17</xdr:row>
      <xdr:rowOff>152400</xdr:rowOff>
    </xdr:to>
    <xdr:pic>
      <xdr:nvPicPr>
        <xdr:cNvPr id="464" name="Control 67">
          <a:extLst>
            <a:ext uri="{FF2B5EF4-FFF2-40B4-BE49-F238E27FC236}">
              <a16:creationId xmlns:a16="http://schemas.microsoft.com/office/drawing/2014/main" id="{00000000-0008-0000-0E00-0000D0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562350"/>
          <a:ext cx="152400" cy="152400"/>
        </a:xfrm>
        <a:prstGeom prst="rect">
          <a:avLst/>
        </a:prstGeom>
        <a:noFill/>
        <a:ln w="9525">
          <a:miter lim="800000"/>
          <a:headEnd/>
          <a:tailEnd/>
        </a:ln>
      </xdr:spPr>
    </xdr:pic>
    <xdr:clientData/>
  </xdr:twoCellAnchor>
  <xdr:twoCellAnchor editAs="oneCell">
    <xdr:from>
      <xdr:col>0</xdr:col>
      <xdr:colOff>0</xdr:colOff>
      <xdr:row>18</xdr:row>
      <xdr:rowOff>0</xdr:rowOff>
    </xdr:from>
    <xdr:to>
      <xdr:col>0</xdr:col>
      <xdr:colOff>139700</xdr:colOff>
      <xdr:row>18</xdr:row>
      <xdr:rowOff>139700</xdr:rowOff>
    </xdr:to>
    <xdr:pic>
      <xdr:nvPicPr>
        <xdr:cNvPr id="465" name="Control 68">
          <a:extLst>
            <a:ext uri="{FF2B5EF4-FFF2-40B4-BE49-F238E27FC236}">
              <a16:creationId xmlns:a16="http://schemas.microsoft.com/office/drawing/2014/main" id="{00000000-0008-0000-0E00-0000D1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771900"/>
          <a:ext cx="139700" cy="139700"/>
        </a:xfrm>
        <a:prstGeom prst="rect">
          <a:avLst/>
        </a:prstGeom>
        <a:noFill/>
        <a:ln w="9525">
          <a:miter lim="800000"/>
          <a:headEnd/>
          <a:tailEnd/>
        </a:ln>
      </xdr:spPr>
    </xdr:pic>
    <xdr:clientData/>
  </xdr:twoCellAnchor>
  <xdr:twoCellAnchor editAs="oneCell">
    <xdr:from>
      <xdr:col>2</xdr:col>
      <xdr:colOff>0</xdr:colOff>
      <xdr:row>18</xdr:row>
      <xdr:rowOff>0</xdr:rowOff>
    </xdr:from>
    <xdr:to>
      <xdr:col>2</xdr:col>
      <xdr:colOff>254000</xdr:colOff>
      <xdr:row>19</xdr:row>
      <xdr:rowOff>82550</xdr:rowOff>
    </xdr:to>
    <xdr:pic>
      <xdr:nvPicPr>
        <xdr:cNvPr id="466" name="Control 69">
          <a:extLst>
            <a:ext uri="{FF2B5EF4-FFF2-40B4-BE49-F238E27FC236}">
              <a16:creationId xmlns:a16="http://schemas.microsoft.com/office/drawing/2014/main" id="{00000000-0008-0000-0E00-0000D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3771900"/>
          <a:ext cx="254000" cy="273050"/>
        </a:xfrm>
        <a:prstGeom prst="rect">
          <a:avLst/>
        </a:prstGeom>
        <a:noFill/>
        <a:ln w="9525">
          <a:miter lim="800000"/>
          <a:headEnd/>
          <a:tailEnd/>
        </a:ln>
      </xdr:spPr>
    </xdr:pic>
    <xdr:clientData/>
  </xdr:twoCellAnchor>
  <xdr:twoCellAnchor editAs="oneCell">
    <xdr:from>
      <xdr:col>2</xdr:col>
      <xdr:colOff>0</xdr:colOff>
      <xdr:row>18</xdr:row>
      <xdr:rowOff>0</xdr:rowOff>
    </xdr:from>
    <xdr:to>
      <xdr:col>2</xdr:col>
      <xdr:colOff>152400</xdr:colOff>
      <xdr:row>18</xdr:row>
      <xdr:rowOff>152400</xdr:rowOff>
    </xdr:to>
    <xdr:pic>
      <xdr:nvPicPr>
        <xdr:cNvPr id="467" name="Control 70">
          <a:extLst>
            <a:ext uri="{FF2B5EF4-FFF2-40B4-BE49-F238E27FC236}">
              <a16:creationId xmlns:a16="http://schemas.microsoft.com/office/drawing/2014/main" id="{00000000-0008-0000-0E00-0000D3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3771900"/>
          <a:ext cx="152400" cy="152400"/>
        </a:xfrm>
        <a:prstGeom prst="rect">
          <a:avLst/>
        </a:prstGeom>
        <a:noFill/>
        <a:ln w="9525">
          <a:miter lim="800000"/>
          <a:headEnd/>
          <a:tailEnd/>
        </a:ln>
      </xdr:spPr>
    </xdr:pic>
    <xdr:clientData/>
  </xdr:twoCellAnchor>
  <xdr:twoCellAnchor editAs="oneCell">
    <xdr:from>
      <xdr:col>2</xdr:col>
      <xdr:colOff>0</xdr:colOff>
      <xdr:row>18</xdr:row>
      <xdr:rowOff>0</xdr:rowOff>
    </xdr:from>
    <xdr:to>
      <xdr:col>2</xdr:col>
      <xdr:colOff>152400</xdr:colOff>
      <xdr:row>18</xdr:row>
      <xdr:rowOff>152400</xdr:rowOff>
    </xdr:to>
    <xdr:pic>
      <xdr:nvPicPr>
        <xdr:cNvPr id="468" name="Control 71">
          <a:extLst>
            <a:ext uri="{FF2B5EF4-FFF2-40B4-BE49-F238E27FC236}">
              <a16:creationId xmlns:a16="http://schemas.microsoft.com/office/drawing/2014/main" id="{00000000-0008-0000-0E00-0000D4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71900"/>
          <a:ext cx="152400" cy="152400"/>
        </a:xfrm>
        <a:prstGeom prst="rect">
          <a:avLst/>
        </a:prstGeom>
        <a:noFill/>
        <a:ln w="9525">
          <a:miter lim="800000"/>
          <a:headEnd/>
          <a:tailEnd/>
        </a:ln>
      </xdr:spPr>
    </xdr:pic>
    <xdr:clientData/>
  </xdr:twoCellAnchor>
  <xdr:twoCellAnchor editAs="oneCell">
    <xdr:from>
      <xdr:col>0</xdr:col>
      <xdr:colOff>0</xdr:colOff>
      <xdr:row>19</xdr:row>
      <xdr:rowOff>0</xdr:rowOff>
    </xdr:from>
    <xdr:to>
      <xdr:col>0</xdr:col>
      <xdr:colOff>139700</xdr:colOff>
      <xdr:row>19</xdr:row>
      <xdr:rowOff>139700</xdr:rowOff>
    </xdr:to>
    <xdr:pic>
      <xdr:nvPicPr>
        <xdr:cNvPr id="469" name="Control 72">
          <a:extLst>
            <a:ext uri="{FF2B5EF4-FFF2-40B4-BE49-F238E27FC236}">
              <a16:creationId xmlns:a16="http://schemas.microsoft.com/office/drawing/2014/main" id="{00000000-0008-0000-0E00-0000D5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3981450"/>
          <a:ext cx="139700" cy="139700"/>
        </a:xfrm>
        <a:prstGeom prst="rect">
          <a:avLst/>
        </a:prstGeom>
        <a:noFill/>
        <a:ln w="9525">
          <a:miter lim="800000"/>
          <a:headEnd/>
          <a:tailEnd/>
        </a:ln>
      </xdr:spPr>
    </xdr:pic>
    <xdr:clientData/>
  </xdr:twoCellAnchor>
  <xdr:twoCellAnchor editAs="oneCell">
    <xdr:from>
      <xdr:col>2</xdr:col>
      <xdr:colOff>0</xdr:colOff>
      <xdr:row>19</xdr:row>
      <xdr:rowOff>0</xdr:rowOff>
    </xdr:from>
    <xdr:to>
      <xdr:col>2</xdr:col>
      <xdr:colOff>254000</xdr:colOff>
      <xdr:row>20</xdr:row>
      <xdr:rowOff>82550</xdr:rowOff>
    </xdr:to>
    <xdr:pic>
      <xdr:nvPicPr>
        <xdr:cNvPr id="470" name="Control 73">
          <a:extLst>
            <a:ext uri="{FF2B5EF4-FFF2-40B4-BE49-F238E27FC236}">
              <a16:creationId xmlns:a16="http://schemas.microsoft.com/office/drawing/2014/main" id="{00000000-0008-0000-0E00-0000D6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3981450"/>
          <a:ext cx="254000" cy="273050"/>
        </a:xfrm>
        <a:prstGeom prst="rect">
          <a:avLst/>
        </a:prstGeom>
        <a:noFill/>
        <a:ln w="9525">
          <a:miter lim="800000"/>
          <a:headEnd/>
          <a:tailEnd/>
        </a:ln>
      </xdr:spPr>
    </xdr:pic>
    <xdr:clientData/>
  </xdr:twoCellAnchor>
  <xdr:twoCellAnchor editAs="oneCell">
    <xdr:from>
      <xdr:col>2</xdr:col>
      <xdr:colOff>0</xdr:colOff>
      <xdr:row>19</xdr:row>
      <xdr:rowOff>0</xdr:rowOff>
    </xdr:from>
    <xdr:to>
      <xdr:col>2</xdr:col>
      <xdr:colOff>152400</xdr:colOff>
      <xdr:row>19</xdr:row>
      <xdr:rowOff>152400</xdr:rowOff>
    </xdr:to>
    <xdr:pic>
      <xdr:nvPicPr>
        <xdr:cNvPr id="471" name="Control 74">
          <a:extLst>
            <a:ext uri="{FF2B5EF4-FFF2-40B4-BE49-F238E27FC236}">
              <a16:creationId xmlns:a16="http://schemas.microsoft.com/office/drawing/2014/main" id="{00000000-0008-0000-0E00-0000D7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3981450"/>
          <a:ext cx="152400" cy="152400"/>
        </a:xfrm>
        <a:prstGeom prst="rect">
          <a:avLst/>
        </a:prstGeom>
        <a:noFill/>
        <a:ln w="9525">
          <a:miter lim="800000"/>
          <a:headEnd/>
          <a:tailEnd/>
        </a:ln>
      </xdr:spPr>
    </xdr:pic>
    <xdr:clientData/>
  </xdr:twoCellAnchor>
  <xdr:twoCellAnchor editAs="oneCell">
    <xdr:from>
      <xdr:col>2</xdr:col>
      <xdr:colOff>0</xdr:colOff>
      <xdr:row>19</xdr:row>
      <xdr:rowOff>0</xdr:rowOff>
    </xdr:from>
    <xdr:to>
      <xdr:col>2</xdr:col>
      <xdr:colOff>152400</xdr:colOff>
      <xdr:row>19</xdr:row>
      <xdr:rowOff>152400</xdr:rowOff>
    </xdr:to>
    <xdr:pic>
      <xdr:nvPicPr>
        <xdr:cNvPr id="472" name="Control 75">
          <a:extLst>
            <a:ext uri="{FF2B5EF4-FFF2-40B4-BE49-F238E27FC236}">
              <a16:creationId xmlns:a16="http://schemas.microsoft.com/office/drawing/2014/main" id="{00000000-0008-0000-0E00-0000D8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981450"/>
          <a:ext cx="152400" cy="152400"/>
        </a:xfrm>
        <a:prstGeom prst="rect">
          <a:avLst/>
        </a:prstGeom>
        <a:noFill/>
        <a:ln w="9525">
          <a:miter lim="800000"/>
          <a:headEnd/>
          <a:tailEnd/>
        </a:ln>
      </xdr:spPr>
    </xdr:pic>
    <xdr:clientData/>
  </xdr:twoCellAnchor>
  <xdr:twoCellAnchor editAs="oneCell">
    <xdr:from>
      <xdr:col>0</xdr:col>
      <xdr:colOff>0</xdr:colOff>
      <xdr:row>20</xdr:row>
      <xdr:rowOff>0</xdr:rowOff>
    </xdr:from>
    <xdr:to>
      <xdr:col>0</xdr:col>
      <xdr:colOff>139700</xdr:colOff>
      <xdr:row>20</xdr:row>
      <xdr:rowOff>139700</xdr:rowOff>
    </xdr:to>
    <xdr:pic>
      <xdr:nvPicPr>
        <xdr:cNvPr id="473" name="Control 76">
          <a:extLst>
            <a:ext uri="{FF2B5EF4-FFF2-40B4-BE49-F238E27FC236}">
              <a16:creationId xmlns:a16="http://schemas.microsoft.com/office/drawing/2014/main" id="{00000000-0008-0000-0E00-0000D9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191000"/>
          <a:ext cx="139700" cy="139700"/>
        </a:xfrm>
        <a:prstGeom prst="rect">
          <a:avLst/>
        </a:prstGeom>
        <a:noFill/>
        <a:ln w="9525">
          <a:miter lim="800000"/>
          <a:headEnd/>
          <a:tailEnd/>
        </a:ln>
      </xdr:spPr>
    </xdr:pic>
    <xdr:clientData/>
  </xdr:twoCellAnchor>
  <xdr:twoCellAnchor editAs="oneCell">
    <xdr:from>
      <xdr:col>2</xdr:col>
      <xdr:colOff>0</xdr:colOff>
      <xdr:row>20</xdr:row>
      <xdr:rowOff>0</xdr:rowOff>
    </xdr:from>
    <xdr:to>
      <xdr:col>2</xdr:col>
      <xdr:colOff>254000</xdr:colOff>
      <xdr:row>21</xdr:row>
      <xdr:rowOff>82550</xdr:rowOff>
    </xdr:to>
    <xdr:pic>
      <xdr:nvPicPr>
        <xdr:cNvPr id="474" name="Control 77">
          <a:extLst>
            <a:ext uri="{FF2B5EF4-FFF2-40B4-BE49-F238E27FC236}">
              <a16:creationId xmlns:a16="http://schemas.microsoft.com/office/drawing/2014/main" id="{00000000-0008-0000-0E00-0000DA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4191000"/>
          <a:ext cx="254000" cy="273050"/>
        </a:xfrm>
        <a:prstGeom prst="rect">
          <a:avLst/>
        </a:prstGeom>
        <a:noFill/>
        <a:ln w="9525">
          <a:miter lim="800000"/>
          <a:headEnd/>
          <a:tailEnd/>
        </a:ln>
      </xdr:spPr>
    </xdr:pic>
    <xdr:clientData/>
  </xdr:twoCellAnchor>
  <xdr:twoCellAnchor editAs="oneCell">
    <xdr:from>
      <xdr:col>2</xdr:col>
      <xdr:colOff>0</xdr:colOff>
      <xdr:row>20</xdr:row>
      <xdr:rowOff>0</xdr:rowOff>
    </xdr:from>
    <xdr:to>
      <xdr:col>2</xdr:col>
      <xdr:colOff>152400</xdr:colOff>
      <xdr:row>20</xdr:row>
      <xdr:rowOff>152400</xdr:rowOff>
    </xdr:to>
    <xdr:pic>
      <xdr:nvPicPr>
        <xdr:cNvPr id="475" name="Control 78">
          <a:extLst>
            <a:ext uri="{FF2B5EF4-FFF2-40B4-BE49-F238E27FC236}">
              <a16:creationId xmlns:a16="http://schemas.microsoft.com/office/drawing/2014/main" id="{00000000-0008-0000-0E00-0000DB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4191000"/>
          <a:ext cx="152400" cy="152400"/>
        </a:xfrm>
        <a:prstGeom prst="rect">
          <a:avLst/>
        </a:prstGeom>
        <a:noFill/>
        <a:ln w="9525">
          <a:miter lim="800000"/>
          <a:headEnd/>
          <a:tailEnd/>
        </a:ln>
      </xdr:spPr>
    </xdr:pic>
    <xdr:clientData/>
  </xdr:twoCellAnchor>
  <xdr:twoCellAnchor editAs="oneCell">
    <xdr:from>
      <xdr:col>2</xdr:col>
      <xdr:colOff>0</xdr:colOff>
      <xdr:row>20</xdr:row>
      <xdr:rowOff>0</xdr:rowOff>
    </xdr:from>
    <xdr:to>
      <xdr:col>2</xdr:col>
      <xdr:colOff>152400</xdr:colOff>
      <xdr:row>20</xdr:row>
      <xdr:rowOff>152400</xdr:rowOff>
    </xdr:to>
    <xdr:pic>
      <xdr:nvPicPr>
        <xdr:cNvPr id="476" name="Control 79">
          <a:extLst>
            <a:ext uri="{FF2B5EF4-FFF2-40B4-BE49-F238E27FC236}">
              <a16:creationId xmlns:a16="http://schemas.microsoft.com/office/drawing/2014/main" id="{00000000-0008-0000-0E00-0000DC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4191000"/>
          <a:ext cx="152400" cy="152400"/>
        </a:xfrm>
        <a:prstGeom prst="rect">
          <a:avLst/>
        </a:prstGeom>
        <a:noFill/>
        <a:ln w="9525">
          <a:miter lim="800000"/>
          <a:headEnd/>
          <a:tailEnd/>
        </a:ln>
      </xdr:spPr>
    </xdr:pic>
    <xdr:clientData/>
  </xdr:twoCellAnchor>
  <xdr:twoCellAnchor editAs="oneCell">
    <xdr:from>
      <xdr:col>2</xdr:col>
      <xdr:colOff>0</xdr:colOff>
      <xdr:row>21</xdr:row>
      <xdr:rowOff>0</xdr:rowOff>
    </xdr:from>
    <xdr:to>
      <xdr:col>2</xdr:col>
      <xdr:colOff>254000</xdr:colOff>
      <xdr:row>22</xdr:row>
      <xdr:rowOff>82550</xdr:rowOff>
    </xdr:to>
    <xdr:pic>
      <xdr:nvPicPr>
        <xdr:cNvPr id="477" name="Control 80">
          <a:extLst>
            <a:ext uri="{FF2B5EF4-FFF2-40B4-BE49-F238E27FC236}">
              <a16:creationId xmlns:a16="http://schemas.microsoft.com/office/drawing/2014/main" id="{00000000-0008-0000-0E00-0000DD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4400550"/>
          <a:ext cx="254000" cy="273050"/>
        </a:xfrm>
        <a:prstGeom prst="rect">
          <a:avLst/>
        </a:prstGeom>
        <a:noFill/>
        <a:ln w="9525">
          <a:miter lim="800000"/>
          <a:headEnd/>
          <a:tailEnd/>
        </a:ln>
      </xdr:spPr>
    </xdr:pic>
    <xdr:clientData/>
  </xdr:twoCellAnchor>
  <xdr:twoCellAnchor editAs="oneCell">
    <xdr:from>
      <xdr:col>2</xdr:col>
      <xdr:colOff>0</xdr:colOff>
      <xdr:row>21</xdr:row>
      <xdr:rowOff>0</xdr:rowOff>
    </xdr:from>
    <xdr:to>
      <xdr:col>2</xdr:col>
      <xdr:colOff>152400</xdr:colOff>
      <xdr:row>21</xdr:row>
      <xdr:rowOff>152400</xdr:rowOff>
    </xdr:to>
    <xdr:pic>
      <xdr:nvPicPr>
        <xdr:cNvPr id="478" name="Control 81">
          <a:extLst>
            <a:ext uri="{FF2B5EF4-FFF2-40B4-BE49-F238E27FC236}">
              <a16:creationId xmlns:a16="http://schemas.microsoft.com/office/drawing/2014/main" id="{00000000-0008-0000-0E00-0000DE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4400550"/>
          <a:ext cx="152400" cy="152400"/>
        </a:xfrm>
        <a:prstGeom prst="rect">
          <a:avLst/>
        </a:prstGeom>
        <a:noFill/>
        <a:ln w="9525">
          <a:miter lim="800000"/>
          <a:headEnd/>
          <a:tailEnd/>
        </a:ln>
      </xdr:spPr>
    </xdr:pic>
    <xdr:clientData/>
  </xdr:twoCellAnchor>
  <xdr:twoCellAnchor editAs="oneCell">
    <xdr:from>
      <xdr:col>2</xdr:col>
      <xdr:colOff>0</xdr:colOff>
      <xdr:row>21</xdr:row>
      <xdr:rowOff>0</xdr:rowOff>
    </xdr:from>
    <xdr:to>
      <xdr:col>2</xdr:col>
      <xdr:colOff>152400</xdr:colOff>
      <xdr:row>21</xdr:row>
      <xdr:rowOff>152400</xdr:rowOff>
    </xdr:to>
    <xdr:pic>
      <xdr:nvPicPr>
        <xdr:cNvPr id="479" name="Control 82">
          <a:extLst>
            <a:ext uri="{FF2B5EF4-FFF2-40B4-BE49-F238E27FC236}">
              <a16:creationId xmlns:a16="http://schemas.microsoft.com/office/drawing/2014/main" id="{00000000-0008-0000-0E00-0000DF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4400550"/>
          <a:ext cx="152400" cy="152400"/>
        </a:xfrm>
        <a:prstGeom prst="rect">
          <a:avLst/>
        </a:prstGeom>
        <a:noFill/>
        <a:ln w="9525">
          <a:miter lim="800000"/>
          <a:headEnd/>
          <a:tailEnd/>
        </a:ln>
      </xdr:spPr>
    </xdr:pic>
    <xdr:clientData/>
  </xdr:twoCellAnchor>
  <xdr:twoCellAnchor editAs="oneCell">
    <xdr:from>
      <xdr:col>0</xdr:col>
      <xdr:colOff>0</xdr:colOff>
      <xdr:row>22</xdr:row>
      <xdr:rowOff>0</xdr:rowOff>
    </xdr:from>
    <xdr:to>
      <xdr:col>0</xdr:col>
      <xdr:colOff>139700</xdr:colOff>
      <xdr:row>22</xdr:row>
      <xdr:rowOff>139700</xdr:rowOff>
    </xdr:to>
    <xdr:pic>
      <xdr:nvPicPr>
        <xdr:cNvPr id="480" name="Control 83">
          <a:extLst>
            <a:ext uri="{FF2B5EF4-FFF2-40B4-BE49-F238E27FC236}">
              <a16:creationId xmlns:a16="http://schemas.microsoft.com/office/drawing/2014/main" id="{00000000-0008-0000-0E00-0000E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610100"/>
          <a:ext cx="139700" cy="139700"/>
        </a:xfrm>
        <a:prstGeom prst="rect">
          <a:avLst/>
        </a:prstGeom>
        <a:noFill/>
        <a:ln w="9525">
          <a:miter lim="800000"/>
          <a:headEnd/>
          <a:tailEnd/>
        </a:ln>
      </xdr:spPr>
    </xdr:pic>
    <xdr:clientData/>
  </xdr:twoCellAnchor>
  <xdr:twoCellAnchor editAs="oneCell">
    <xdr:from>
      <xdr:col>2</xdr:col>
      <xdr:colOff>0</xdr:colOff>
      <xdr:row>22</xdr:row>
      <xdr:rowOff>0</xdr:rowOff>
    </xdr:from>
    <xdr:to>
      <xdr:col>2</xdr:col>
      <xdr:colOff>254000</xdr:colOff>
      <xdr:row>23</xdr:row>
      <xdr:rowOff>82550</xdr:rowOff>
    </xdr:to>
    <xdr:pic>
      <xdr:nvPicPr>
        <xdr:cNvPr id="481" name="Control 84">
          <a:extLst>
            <a:ext uri="{FF2B5EF4-FFF2-40B4-BE49-F238E27FC236}">
              <a16:creationId xmlns:a16="http://schemas.microsoft.com/office/drawing/2014/main" id="{00000000-0008-0000-0E00-0000E1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4610100"/>
          <a:ext cx="254000" cy="273050"/>
        </a:xfrm>
        <a:prstGeom prst="rect">
          <a:avLst/>
        </a:prstGeom>
        <a:noFill/>
        <a:ln w="9525">
          <a:miter lim="800000"/>
          <a:headEnd/>
          <a:tailEnd/>
        </a:ln>
      </xdr:spPr>
    </xdr:pic>
    <xdr:clientData/>
  </xdr:twoCellAnchor>
  <xdr:twoCellAnchor editAs="oneCell">
    <xdr:from>
      <xdr:col>2</xdr:col>
      <xdr:colOff>0</xdr:colOff>
      <xdr:row>22</xdr:row>
      <xdr:rowOff>0</xdr:rowOff>
    </xdr:from>
    <xdr:to>
      <xdr:col>2</xdr:col>
      <xdr:colOff>152400</xdr:colOff>
      <xdr:row>22</xdr:row>
      <xdr:rowOff>152400</xdr:rowOff>
    </xdr:to>
    <xdr:pic>
      <xdr:nvPicPr>
        <xdr:cNvPr id="482" name="Control 85">
          <a:extLst>
            <a:ext uri="{FF2B5EF4-FFF2-40B4-BE49-F238E27FC236}">
              <a16:creationId xmlns:a16="http://schemas.microsoft.com/office/drawing/2014/main" id="{00000000-0008-0000-0E00-0000E2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4610100"/>
          <a:ext cx="152400" cy="152400"/>
        </a:xfrm>
        <a:prstGeom prst="rect">
          <a:avLst/>
        </a:prstGeom>
        <a:noFill/>
        <a:ln w="9525">
          <a:miter lim="800000"/>
          <a:headEnd/>
          <a:tailEnd/>
        </a:ln>
      </xdr:spPr>
    </xdr:pic>
    <xdr:clientData/>
  </xdr:twoCellAnchor>
  <xdr:twoCellAnchor editAs="oneCell">
    <xdr:from>
      <xdr:col>2</xdr:col>
      <xdr:colOff>0</xdr:colOff>
      <xdr:row>22</xdr:row>
      <xdr:rowOff>0</xdr:rowOff>
    </xdr:from>
    <xdr:to>
      <xdr:col>2</xdr:col>
      <xdr:colOff>152400</xdr:colOff>
      <xdr:row>22</xdr:row>
      <xdr:rowOff>152400</xdr:rowOff>
    </xdr:to>
    <xdr:pic>
      <xdr:nvPicPr>
        <xdr:cNvPr id="483" name="Control 86">
          <a:extLst>
            <a:ext uri="{FF2B5EF4-FFF2-40B4-BE49-F238E27FC236}">
              <a16:creationId xmlns:a16="http://schemas.microsoft.com/office/drawing/2014/main" id="{00000000-0008-0000-0E00-0000E3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4610100"/>
          <a:ext cx="152400" cy="152400"/>
        </a:xfrm>
        <a:prstGeom prst="rect">
          <a:avLst/>
        </a:prstGeom>
        <a:noFill/>
        <a:ln w="9525">
          <a:miter lim="800000"/>
          <a:headEnd/>
          <a:tailEnd/>
        </a:ln>
      </xdr:spPr>
    </xdr:pic>
    <xdr:clientData/>
  </xdr:twoCellAnchor>
  <xdr:twoCellAnchor editAs="oneCell">
    <xdr:from>
      <xdr:col>0</xdr:col>
      <xdr:colOff>0</xdr:colOff>
      <xdr:row>23</xdr:row>
      <xdr:rowOff>0</xdr:rowOff>
    </xdr:from>
    <xdr:to>
      <xdr:col>0</xdr:col>
      <xdr:colOff>139700</xdr:colOff>
      <xdr:row>23</xdr:row>
      <xdr:rowOff>139700</xdr:rowOff>
    </xdr:to>
    <xdr:pic>
      <xdr:nvPicPr>
        <xdr:cNvPr id="484" name="Control 87">
          <a:extLst>
            <a:ext uri="{FF2B5EF4-FFF2-40B4-BE49-F238E27FC236}">
              <a16:creationId xmlns:a16="http://schemas.microsoft.com/office/drawing/2014/main" id="{00000000-0008-0000-0E00-0000E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4819650"/>
          <a:ext cx="139700" cy="139700"/>
        </a:xfrm>
        <a:prstGeom prst="rect">
          <a:avLst/>
        </a:prstGeom>
        <a:noFill/>
        <a:ln w="9525">
          <a:miter lim="800000"/>
          <a:headEnd/>
          <a:tailEnd/>
        </a:ln>
      </xdr:spPr>
    </xdr:pic>
    <xdr:clientData/>
  </xdr:twoCellAnchor>
  <xdr:twoCellAnchor editAs="oneCell">
    <xdr:from>
      <xdr:col>2</xdr:col>
      <xdr:colOff>0</xdr:colOff>
      <xdr:row>23</xdr:row>
      <xdr:rowOff>0</xdr:rowOff>
    </xdr:from>
    <xdr:to>
      <xdr:col>2</xdr:col>
      <xdr:colOff>254000</xdr:colOff>
      <xdr:row>24</xdr:row>
      <xdr:rowOff>82550</xdr:rowOff>
    </xdr:to>
    <xdr:pic>
      <xdr:nvPicPr>
        <xdr:cNvPr id="485" name="Control 88">
          <a:extLst>
            <a:ext uri="{FF2B5EF4-FFF2-40B4-BE49-F238E27FC236}">
              <a16:creationId xmlns:a16="http://schemas.microsoft.com/office/drawing/2014/main" id="{00000000-0008-0000-0E00-0000E5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4819650"/>
          <a:ext cx="254000" cy="273050"/>
        </a:xfrm>
        <a:prstGeom prst="rect">
          <a:avLst/>
        </a:prstGeom>
        <a:noFill/>
        <a:ln w="9525">
          <a:miter lim="800000"/>
          <a:headEnd/>
          <a:tailEnd/>
        </a:ln>
      </xdr:spPr>
    </xdr:pic>
    <xdr:clientData/>
  </xdr:twoCellAnchor>
  <xdr:twoCellAnchor editAs="oneCell">
    <xdr:from>
      <xdr:col>2</xdr:col>
      <xdr:colOff>0</xdr:colOff>
      <xdr:row>23</xdr:row>
      <xdr:rowOff>0</xdr:rowOff>
    </xdr:from>
    <xdr:to>
      <xdr:col>2</xdr:col>
      <xdr:colOff>152400</xdr:colOff>
      <xdr:row>23</xdr:row>
      <xdr:rowOff>152400</xdr:rowOff>
    </xdr:to>
    <xdr:pic>
      <xdr:nvPicPr>
        <xdr:cNvPr id="486" name="Control 89">
          <a:extLst>
            <a:ext uri="{FF2B5EF4-FFF2-40B4-BE49-F238E27FC236}">
              <a16:creationId xmlns:a16="http://schemas.microsoft.com/office/drawing/2014/main" id="{00000000-0008-0000-0E00-0000E6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4819650"/>
          <a:ext cx="152400" cy="152400"/>
        </a:xfrm>
        <a:prstGeom prst="rect">
          <a:avLst/>
        </a:prstGeom>
        <a:noFill/>
        <a:ln w="9525">
          <a:miter lim="800000"/>
          <a:headEnd/>
          <a:tailEnd/>
        </a:ln>
      </xdr:spPr>
    </xdr:pic>
    <xdr:clientData/>
  </xdr:twoCellAnchor>
  <xdr:twoCellAnchor editAs="oneCell">
    <xdr:from>
      <xdr:col>2</xdr:col>
      <xdr:colOff>0</xdr:colOff>
      <xdr:row>23</xdr:row>
      <xdr:rowOff>0</xdr:rowOff>
    </xdr:from>
    <xdr:to>
      <xdr:col>2</xdr:col>
      <xdr:colOff>152400</xdr:colOff>
      <xdr:row>23</xdr:row>
      <xdr:rowOff>152400</xdr:rowOff>
    </xdr:to>
    <xdr:pic>
      <xdr:nvPicPr>
        <xdr:cNvPr id="487" name="Control 90">
          <a:extLst>
            <a:ext uri="{FF2B5EF4-FFF2-40B4-BE49-F238E27FC236}">
              <a16:creationId xmlns:a16="http://schemas.microsoft.com/office/drawing/2014/main" id="{00000000-0008-0000-0E00-0000E7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4819650"/>
          <a:ext cx="152400" cy="152400"/>
        </a:xfrm>
        <a:prstGeom prst="rect">
          <a:avLst/>
        </a:prstGeom>
        <a:noFill/>
        <a:ln w="9525">
          <a:miter lim="800000"/>
          <a:headEnd/>
          <a:tailEnd/>
        </a:ln>
      </xdr:spPr>
    </xdr:pic>
    <xdr:clientData/>
  </xdr:twoCellAnchor>
  <xdr:twoCellAnchor editAs="oneCell">
    <xdr:from>
      <xdr:col>0</xdr:col>
      <xdr:colOff>0</xdr:colOff>
      <xdr:row>24</xdr:row>
      <xdr:rowOff>0</xdr:rowOff>
    </xdr:from>
    <xdr:to>
      <xdr:col>0</xdr:col>
      <xdr:colOff>139700</xdr:colOff>
      <xdr:row>24</xdr:row>
      <xdr:rowOff>139700</xdr:rowOff>
    </xdr:to>
    <xdr:pic>
      <xdr:nvPicPr>
        <xdr:cNvPr id="488" name="Control 91">
          <a:extLst>
            <a:ext uri="{FF2B5EF4-FFF2-40B4-BE49-F238E27FC236}">
              <a16:creationId xmlns:a16="http://schemas.microsoft.com/office/drawing/2014/main" id="{00000000-0008-0000-0E00-0000E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5029200"/>
          <a:ext cx="139700" cy="139700"/>
        </a:xfrm>
        <a:prstGeom prst="rect">
          <a:avLst/>
        </a:prstGeom>
        <a:noFill/>
        <a:ln w="9525">
          <a:miter lim="800000"/>
          <a:headEnd/>
          <a:tailEnd/>
        </a:ln>
      </xdr:spPr>
    </xdr:pic>
    <xdr:clientData/>
  </xdr:twoCellAnchor>
  <xdr:twoCellAnchor editAs="oneCell">
    <xdr:from>
      <xdr:col>2</xdr:col>
      <xdr:colOff>0</xdr:colOff>
      <xdr:row>24</xdr:row>
      <xdr:rowOff>0</xdr:rowOff>
    </xdr:from>
    <xdr:to>
      <xdr:col>2</xdr:col>
      <xdr:colOff>254000</xdr:colOff>
      <xdr:row>25</xdr:row>
      <xdr:rowOff>82550</xdr:rowOff>
    </xdr:to>
    <xdr:pic>
      <xdr:nvPicPr>
        <xdr:cNvPr id="489" name="Control 92">
          <a:extLst>
            <a:ext uri="{FF2B5EF4-FFF2-40B4-BE49-F238E27FC236}">
              <a16:creationId xmlns:a16="http://schemas.microsoft.com/office/drawing/2014/main" id="{00000000-0008-0000-0E00-0000E9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5029200"/>
          <a:ext cx="254000" cy="273050"/>
        </a:xfrm>
        <a:prstGeom prst="rect">
          <a:avLst/>
        </a:prstGeom>
        <a:noFill/>
        <a:ln w="9525">
          <a:miter lim="800000"/>
          <a:headEnd/>
          <a:tailEnd/>
        </a:ln>
      </xdr:spPr>
    </xdr:pic>
    <xdr:clientData/>
  </xdr:twoCellAnchor>
  <xdr:twoCellAnchor editAs="oneCell">
    <xdr:from>
      <xdr:col>2</xdr:col>
      <xdr:colOff>0</xdr:colOff>
      <xdr:row>24</xdr:row>
      <xdr:rowOff>0</xdr:rowOff>
    </xdr:from>
    <xdr:to>
      <xdr:col>2</xdr:col>
      <xdr:colOff>152400</xdr:colOff>
      <xdr:row>24</xdr:row>
      <xdr:rowOff>152400</xdr:rowOff>
    </xdr:to>
    <xdr:pic>
      <xdr:nvPicPr>
        <xdr:cNvPr id="490" name="Control 93">
          <a:extLst>
            <a:ext uri="{FF2B5EF4-FFF2-40B4-BE49-F238E27FC236}">
              <a16:creationId xmlns:a16="http://schemas.microsoft.com/office/drawing/2014/main" id="{00000000-0008-0000-0E00-0000EA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5029200"/>
          <a:ext cx="152400" cy="152400"/>
        </a:xfrm>
        <a:prstGeom prst="rect">
          <a:avLst/>
        </a:prstGeom>
        <a:noFill/>
        <a:ln w="9525">
          <a:miter lim="800000"/>
          <a:headEnd/>
          <a:tailEnd/>
        </a:ln>
      </xdr:spPr>
    </xdr:pic>
    <xdr:clientData/>
  </xdr:twoCellAnchor>
  <xdr:twoCellAnchor editAs="oneCell">
    <xdr:from>
      <xdr:col>2</xdr:col>
      <xdr:colOff>0</xdr:colOff>
      <xdr:row>24</xdr:row>
      <xdr:rowOff>0</xdr:rowOff>
    </xdr:from>
    <xdr:to>
      <xdr:col>2</xdr:col>
      <xdr:colOff>152400</xdr:colOff>
      <xdr:row>24</xdr:row>
      <xdr:rowOff>152400</xdr:rowOff>
    </xdr:to>
    <xdr:pic>
      <xdr:nvPicPr>
        <xdr:cNvPr id="491" name="Control 94">
          <a:extLst>
            <a:ext uri="{FF2B5EF4-FFF2-40B4-BE49-F238E27FC236}">
              <a16:creationId xmlns:a16="http://schemas.microsoft.com/office/drawing/2014/main" id="{00000000-0008-0000-0E00-0000EB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5029200"/>
          <a:ext cx="152400" cy="152400"/>
        </a:xfrm>
        <a:prstGeom prst="rect">
          <a:avLst/>
        </a:prstGeom>
        <a:noFill/>
        <a:ln w="9525">
          <a:miter lim="800000"/>
          <a:headEnd/>
          <a:tailEnd/>
        </a:ln>
      </xdr:spPr>
    </xdr:pic>
    <xdr:clientData/>
  </xdr:twoCellAnchor>
  <xdr:twoCellAnchor editAs="oneCell">
    <xdr:from>
      <xdr:col>0</xdr:col>
      <xdr:colOff>0</xdr:colOff>
      <xdr:row>25</xdr:row>
      <xdr:rowOff>0</xdr:rowOff>
    </xdr:from>
    <xdr:to>
      <xdr:col>0</xdr:col>
      <xdr:colOff>139700</xdr:colOff>
      <xdr:row>25</xdr:row>
      <xdr:rowOff>139700</xdr:rowOff>
    </xdr:to>
    <xdr:pic>
      <xdr:nvPicPr>
        <xdr:cNvPr id="492" name="Control 95">
          <a:extLst>
            <a:ext uri="{FF2B5EF4-FFF2-40B4-BE49-F238E27FC236}">
              <a16:creationId xmlns:a16="http://schemas.microsoft.com/office/drawing/2014/main" id="{00000000-0008-0000-0E00-0000E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5238750"/>
          <a:ext cx="139700" cy="139700"/>
        </a:xfrm>
        <a:prstGeom prst="rect">
          <a:avLst/>
        </a:prstGeom>
        <a:noFill/>
        <a:ln w="9525">
          <a:miter lim="800000"/>
          <a:headEnd/>
          <a:tailEnd/>
        </a:ln>
      </xdr:spPr>
    </xdr:pic>
    <xdr:clientData/>
  </xdr:twoCellAnchor>
  <xdr:twoCellAnchor editAs="oneCell">
    <xdr:from>
      <xdr:col>2</xdr:col>
      <xdr:colOff>0</xdr:colOff>
      <xdr:row>25</xdr:row>
      <xdr:rowOff>0</xdr:rowOff>
    </xdr:from>
    <xdr:to>
      <xdr:col>2</xdr:col>
      <xdr:colOff>254000</xdr:colOff>
      <xdr:row>26</xdr:row>
      <xdr:rowOff>82550</xdr:rowOff>
    </xdr:to>
    <xdr:pic>
      <xdr:nvPicPr>
        <xdr:cNvPr id="493" name="Control 96">
          <a:extLst>
            <a:ext uri="{FF2B5EF4-FFF2-40B4-BE49-F238E27FC236}">
              <a16:creationId xmlns:a16="http://schemas.microsoft.com/office/drawing/2014/main" id="{00000000-0008-0000-0E00-0000ED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5238750"/>
          <a:ext cx="254000" cy="273050"/>
        </a:xfrm>
        <a:prstGeom prst="rect">
          <a:avLst/>
        </a:prstGeom>
        <a:noFill/>
        <a:ln w="9525">
          <a:miter lim="800000"/>
          <a:headEnd/>
          <a:tailEnd/>
        </a:ln>
      </xdr:spPr>
    </xdr:pic>
    <xdr:clientData/>
  </xdr:twoCellAnchor>
  <xdr:twoCellAnchor editAs="oneCell">
    <xdr:from>
      <xdr:col>2</xdr:col>
      <xdr:colOff>0</xdr:colOff>
      <xdr:row>25</xdr:row>
      <xdr:rowOff>0</xdr:rowOff>
    </xdr:from>
    <xdr:to>
      <xdr:col>2</xdr:col>
      <xdr:colOff>152400</xdr:colOff>
      <xdr:row>25</xdr:row>
      <xdr:rowOff>152400</xdr:rowOff>
    </xdr:to>
    <xdr:pic>
      <xdr:nvPicPr>
        <xdr:cNvPr id="494" name="Control 97">
          <a:extLst>
            <a:ext uri="{FF2B5EF4-FFF2-40B4-BE49-F238E27FC236}">
              <a16:creationId xmlns:a16="http://schemas.microsoft.com/office/drawing/2014/main" id="{00000000-0008-0000-0E00-0000EE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5238750"/>
          <a:ext cx="152400" cy="152400"/>
        </a:xfrm>
        <a:prstGeom prst="rect">
          <a:avLst/>
        </a:prstGeom>
        <a:noFill/>
        <a:ln w="9525">
          <a:miter lim="800000"/>
          <a:headEnd/>
          <a:tailEnd/>
        </a:ln>
      </xdr:spPr>
    </xdr:pic>
    <xdr:clientData/>
  </xdr:twoCellAnchor>
  <xdr:twoCellAnchor editAs="oneCell">
    <xdr:from>
      <xdr:col>2</xdr:col>
      <xdr:colOff>0</xdr:colOff>
      <xdr:row>25</xdr:row>
      <xdr:rowOff>0</xdr:rowOff>
    </xdr:from>
    <xdr:to>
      <xdr:col>2</xdr:col>
      <xdr:colOff>152400</xdr:colOff>
      <xdr:row>25</xdr:row>
      <xdr:rowOff>152400</xdr:rowOff>
    </xdr:to>
    <xdr:pic>
      <xdr:nvPicPr>
        <xdr:cNvPr id="495" name="Control 98">
          <a:extLst>
            <a:ext uri="{FF2B5EF4-FFF2-40B4-BE49-F238E27FC236}">
              <a16:creationId xmlns:a16="http://schemas.microsoft.com/office/drawing/2014/main" id="{00000000-0008-0000-0E00-0000EF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5238750"/>
          <a:ext cx="152400" cy="152400"/>
        </a:xfrm>
        <a:prstGeom prst="rect">
          <a:avLst/>
        </a:prstGeom>
        <a:noFill/>
        <a:ln w="9525">
          <a:miter lim="800000"/>
          <a:headEnd/>
          <a:tailEnd/>
        </a:ln>
      </xdr:spPr>
    </xdr:pic>
    <xdr:clientData/>
  </xdr:twoCellAnchor>
  <xdr:twoCellAnchor editAs="oneCell">
    <xdr:from>
      <xdr:col>0</xdr:col>
      <xdr:colOff>0</xdr:colOff>
      <xdr:row>26</xdr:row>
      <xdr:rowOff>0</xdr:rowOff>
    </xdr:from>
    <xdr:to>
      <xdr:col>0</xdr:col>
      <xdr:colOff>139700</xdr:colOff>
      <xdr:row>26</xdr:row>
      <xdr:rowOff>139700</xdr:rowOff>
    </xdr:to>
    <xdr:pic>
      <xdr:nvPicPr>
        <xdr:cNvPr id="496" name="Control 99">
          <a:extLst>
            <a:ext uri="{FF2B5EF4-FFF2-40B4-BE49-F238E27FC236}">
              <a16:creationId xmlns:a16="http://schemas.microsoft.com/office/drawing/2014/main" id="{00000000-0008-0000-0E00-0000F0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5448300"/>
          <a:ext cx="139700" cy="139700"/>
        </a:xfrm>
        <a:prstGeom prst="rect">
          <a:avLst/>
        </a:prstGeom>
        <a:noFill/>
        <a:ln w="9525">
          <a:miter lim="800000"/>
          <a:headEnd/>
          <a:tailEnd/>
        </a:ln>
      </xdr:spPr>
    </xdr:pic>
    <xdr:clientData/>
  </xdr:twoCellAnchor>
  <xdr:twoCellAnchor editAs="oneCell">
    <xdr:from>
      <xdr:col>2</xdr:col>
      <xdr:colOff>0</xdr:colOff>
      <xdr:row>26</xdr:row>
      <xdr:rowOff>0</xdr:rowOff>
    </xdr:from>
    <xdr:to>
      <xdr:col>2</xdr:col>
      <xdr:colOff>254000</xdr:colOff>
      <xdr:row>27</xdr:row>
      <xdr:rowOff>82550</xdr:rowOff>
    </xdr:to>
    <xdr:pic>
      <xdr:nvPicPr>
        <xdr:cNvPr id="497" name="Control 100">
          <a:extLst>
            <a:ext uri="{FF2B5EF4-FFF2-40B4-BE49-F238E27FC236}">
              <a16:creationId xmlns:a16="http://schemas.microsoft.com/office/drawing/2014/main" id="{00000000-0008-0000-0E00-0000F1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5448300"/>
          <a:ext cx="254000" cy="273050"/>
        </a:xfrm>
        <a:prstGeom prst="rect">
          <a:avLst/>
        </a:prstGeom>
        <a:noFill/>
        <a:ln w="9525">
          <a:miter lim="800000"/>
          <a:headEnd/>
          <a:tailEnd/>
        </a:ln>
      </xdr:spPr>
    </xdr:pic>
    <xdr:clientData/>
  </xdr:twoCellAnchor>
  <xdr:twoCellAnchor editAs="oneCell">
    <xdr:from>
      <xdr:col>2</xdr:col>
      <xdr:colOff>0</xdr:colOff>
      <xdr:row>26</xdr:row>
      <xdr:rowOff>0</xdr:rowOff>
    </xdr:from>
    <xdr:to>
      <xdr:col>2</xdr:col>
      <xdr:colOff>152400</xdr:colOff>
      <xdr:row>26</xdr:row>
      <xdr:rowOff>152400</xdr:rowOff>
    </xdr:to>
    <xdr:pic>
      <xdr:nvPicPr>
        <xdr:cNvPr id="498" name="Control 101">
          <a:extLst>
            <a:ext uri="{FF2B5EF4-FFF2-40B4-BE49-F238E27FC236}">
              <a16:creationId xmlns:a16="http://schemas.microsoft.com/office/drawing/2014/main" id="{00000000-0008-0000-0E00-0000F2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5448300"/>
          <a:ext cx="152400" cy="152400"/>
        </a:xfrm>
        <a:prstGeom prst="rect">
          <a:avLst/>
        </a:prstGeom>
        <a:noFill/>
        <a:ln w="9525">
          <a:miter lim="800000"/>
          <a:headEnd/>
          <a:tailEnd/>
        </a:ln>
      </xdr:spPr>
    </xdr:pic>
    <xdr:clientData/>
  </xdr:twoCellAnchor>
  <xdr:twoCellAnchor editAs="oneCell">
    <xdr:from>
      <xdr:col>2</xdr:col>
      <xdr:colOff>0</xdr:colOff>
      <xdr:row>26</xdr:row>
      <xdr:rowOff>0</xdr:rowOff>
    </xdr:from>
    <xdr:to>
      <xdr:col>2</xdr:col>
      <xdr:colOff>152400</xdr:colOff>
      <xdr:row>26</xdr:row>
      <xdr:rowOff>152400</xdr:rowOff>
    </xdr:to>
    <xdr:pic>
      <xdr:nvPicPr>
        <xdr:cNvPr id="499" name="Control 102">
          <a:extLst>
            <a:ext uri="{FF2B5EF4-FFF2-40B4-BE49-F238E27FC236}">
              <a16:creationId xmlns:a16="http://schemas.microsoft.com/office/drawing/2014/main" id="{00000000-0008-0000-0E00-0000F3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5448300"/>
          <a:ext cx="152400" cy="152400"/>
        </a:xfrm>
        <a:prstGeom prst="rect">
          <a:avLst/>
        </a:prstGeom>
        <a:noFill/>
        <a:ln w="9525">
          <a:miter lim="800000"/>
          <a:headEnd/>
          <a:tailEnd/>
        </a:ln>
      </xdr:spPr>
    </xdr:pic>
    <xdr:clientData/>
  </xdr:twoCellAnchor>
  <xdr:twoCellAnchor editAs="oneCell">
    <xdr:from>
      <xdr:col>0</xdr:col>
      <xdr:colOff>0</xdr:colOff>
      <xdr:row>27</xdr:row>
      <xdr:rowOff>0</xdr:rowOff>
    </xdr:from>
    <xdr:to>
      <xdr:col>0</xdr:col>
      <xdr:colOff>139700</xdr:colOff>
      <xdr:row>27</xdr:row>
      <xdr:rowOff>139700</xdr:rowOff>
    </xdr:to>
    <xdr:pic>
      <xdr:nvPicPr>
        <xdr:cNvPr id="500" name="Control 103">
          <a:extLst>
            <a:ext uri="{FF2B5EF4-FFF2-40B4-BE49-F238E27FC236}">
              <a16:creationId xmlns:a16="http://schemas.microsoft.com/office/drawing/2014/main" id="{00000000-0008-0000-0E00-0000F4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5657850"/>
          <a:ext cx="139700" cy="139700"/>
        </a:xfrm>
        <a:prstGeom prst="rect">
          <a:avLst/>
        </a:prstGeom>
        <a:noFill/>
        <a:ln w="9525">
          <a:miter lim="800000"/>
          <a:headEnd/>
          <a:tailEnd/>
        </a:ln>
      </xdr:spPr>
    </xdr:pic>
    <xdr:clientData/>
  </xdr:twoCellAnchor>
  <xdr:twoCellAnchor editAs="oneCell">
    <xdr:from>
      <xdr:col>2</xdr:col>
      <xdr:colOff>0</xdr:colOff>
      <xdr:row>27</xdr:row>
      <xdr:rowOff>0</xdr:rowOff>
    </xdr:from>
    <xdr:to>
      <xdr:col>2</xdr:col>
      <xdr:colOff>254000</xdr:colOff>
      <xdr:row>28</xdr:row>
      <xdr:rowOff>82550</xdr:rowOff>
    </xdr:to>
    <xdr:pic>
      <xdr:nvPicPr>
        <xdr:cNvPr id="501" name="Control 104">
          <a:extLst>
            <a:ext uri="{FF2B5EF4-FFF2-40B4-BE49-F238E27FC236}">
              <a16:creationId xmlns:a16="http://schemas.microsoft.com/office/drawing/2014/main" id="{00000000-0008-0000-0E00-0000F5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5657850"/>
          <a:ext cx="254000" cy="273050"/>
        </a:xfrm>
        <a:prstGeom prst="rect">
          <a:avLst/>
        </a:prstGeom>
        <a:noFill/>
        <a:ln w="9525">
          <a:miter lim="800000"/>
          <a:headEnd/>
          <a:tailEnd/>
        </a:ln>
      </xdr:spPr>
    </xdr:pic>
    <xdr:clientData/>
  </xdr:twoCellAnchor>
  <xdr:twoCellAnchor editAs="oneCell">
    <xdr:from>
      <xdr:col>2</xdr:col>
      <xdr:colOff>0</xdr:colOff>
      <xdr:row>27</xdr:row>
      <xdr:rowOff>0</xdr:rowOff>
    </xdr:from>
    <xdr:to>
      <xdr:col>2</xdr:col>
      <xdr:colOff>152400</xdr:colOff>
      <xdr:row>27</xdr:row>
      <xdr:rowOff>152400</xdr:rowOff>
    </xdr:to>
    <xdr:pic>
      <xdr:nvPicPr>
        <xdr:cNvPr id="502" name="Control 105">
          <a:extLst>
            <a:ext uri="{FF2B5EF4-FFF2-40B4-BE49-F238E27FC236}">
              <a16:creationId xmlns:a16="http://schemas.microsoft.com/office/drawing/2014/main" id="{00000000-0008-0000-0E00-0000F6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5657850"/>
          <a:ext cx="152400" cy="152400"/>
        </a:xfrm>
        <a:prstGeom prst="rect">
          <a:avLst/>
        </a:prstGeom>
        <a:noFill/>
        <a:ln w="9525">
          <a:miter lim="800000"/>
          <a:headEnd/>
          <a:tailEnd/>
        </a:ln>
      </xdr:spPr>
    </xdr:pic>
    <xdr:clientData/>
  </xdr:twoCellAnchor>
  <xdr:twoCellAnchor editAs="oneCell">
    <xdr:from>
      <xdr:col>2</xdr:col>
      <xdr:colOff>0</xdr:colOff>
      <xdr:row>27</xdr:row>
      <xdr:rowOff>0</xdr:rowOff>
    </xdr:from>
    <xdr:to>
      <xdr:col>2</xdr:col>
      <xdr:colOff>152400</xdr:colOff>
      <xdr:row>27</xdr:row>
      <xdr:rowOff>152400</xdr:rowOff>
    </xdr:to>
    <xdr:pic>
      <xdr:nvPicPr>
        <xdr:cNvPr id="503" name="Control 106">
          <a:extLst>
            <a:ext uri="{FF2B5EF4-FFF2-40B4-BE49-F238E27FC236}">
              <a16:creationId xmlns:a16="http://schemas.microsoft.com/office/drawing/2014/main" id="{00000000-0008-0000-0E00-0000F7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5657850"/>
          <a:ext cx="152400" cy="152400"/>
        </a:xfrm>
        <a:prstGeom prst="rect">
          <a:avLst/>
        </a:prstGeom>
        <a:noFill/>
        <a:ln w="9525">
          <a:miter lim="800000"/>
          <a:headEnd/>
          <a:tailEnd/>
        </a:ln>
      </xdr:spPr>
    </xdr:pic>
    <xdr:clientData/>
  </xdr:twoCellAnchor>
  <xdr:twoCellAnchor editAs="oneCell">
    <xdr:from>
      <xdr:col>0</xdr:col>
      <xdr:colOff>0</xdr:colOff>
      <xdr:row>28</xdr:row>
      <xdr:rowOff>0</xdr:rowOff>
    </xdr:from>
    <xdr:to>
      <xdr:col>0</xdr:col>
      <xdr:colOff>139700</xdr:colOff>
      <xdr:row>28</xdr:row>
      <xdr:rowOff>139700</xdr:rowOff>
    </xdr:to>
    <xdr:pic>
      <xdr:nvPicPr>
        <xdr:cNvPr id="504" name="Control 107">
          <a:extLst>
            <a:ext uri="{FF2B5EF4-FFF2-40B4-BE49-F238E27FC236}">
              <a16:creationId xmlns:a16="http://schemas.microsoft.com/office/drawing/2014/main" id="{00000000-0008-0000-0E00-0000F8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5867400"/>
          <a:ext cx="139700" cy="139700"/>
        </a:xfrm>
        <a:prstGeom prst="rect">
          <a:avLst/>
        </a:prstGeom>
        <a:noFill/>
        <a:ln w="9525">
          <a:miter lim="800000"/>
          <a:headEnd/>
          <a:tailEnd/>
        </a:ln>
      </xdr:spPr>
    </xdr:pic>
    <xdr:clientData/>
  </xdr:twoCellAnchor>
  <xdr:twoCellAnchor editAs="oneCell">
    <xdr:from>
      <xdr:col>2</xdr:col>
      <xdr:colOff>0</xdr:colOff>
      <xdr:row>28</xdr:row>
      <xdr:rowOff>0</xdr:rowOff>
    </xdr:from>
    <xdr:to>
      <xdr:col>2</xdr:col>
      <xdr:colOff>254000</xdr:colOff>
      <xdr:row>29</xdr:row>
      <xdr:rowOff>82550</xdr:rowOff>
    </xdr:to>
    <xdr:pic>
      <xdr:nvPicPr>
        <xdr:cNvPr id="505" name="Control 108">
          <a:extLst>
            <a:ext uri="{FF2B5EF4-FFF2-40B4-BE49-F238E27FC236}">
              <a16:creationId xmlns:a16="http://schemas.microsoft.com/office/drawing/2014/main" id="{00000000-0008-0000-0E00-0000F9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5867400"/>
          <a:ext cx="254000" cy="273050"/>
        </a:xfrm>
        <a:prstGeom prst="rect">
          <a:avLst/>
        </a:prstGeom>
        <a:noFill/>
        <a:ln w="9525">
          <a:miter lim="800000"/>
          <a:headEnd/>
          <a:tailEnd/>
        </a:ln>
      </xdr:spPr>
    </xdr:pic>
    <xdr:clientData/>
  </xdr:twoCellAnchor>
  <xdr:twoCellAnchor editAs="oneCell">
    <xdr:from>
      <xdr:col>2</xdr:col>
      <xdr:colOff>0</xdr:colOff>
      <xdr:row>28</xdr:row>
      <xdr:rowOff>0</xdr:rowOff>
    </xdr:from>
    <xdr:to>
      <xdr:col>2</xdr:col>
      <xdr:colOff>152400</xdr:colOff>
      <xdr:row>28</xdr:row>
      <xdr:rowOff>152400</xdr:rowOff>
    </xdr:to>
    <xdr:pic>
      <xdr:nvPicPr>
        <xdr:cNvPr id="506" name="Control 109">
          <a:extLst>
            <a:ext uri="{FF2B5EF4-FFF2-40B4-BE49-F238E27FC236}">
              <a16:creationId xmlns:a16="http://schemas.microsoft.com/office/drawing/2014/main" id="{00000000-0008-0000-0E00-0000FA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5867400"/>
          <a:ext cx="152400" cy="152400"/>
        </a:xfrm>
        <a:prstGeom prst="rect">
          <a:avLst/>
        </a:prstGeom>
        <a:noFill/>
        <a:ln w="9525">
          <a:miter lim="800000"/>
          <a:headEnd/>
          <a:tailEnd/>
        </a:ln>
      </xdr:spPr>
    </xdr:pic>
    <xdr:clientData/>
  </xdr:twoCellAnchor>
  <xdr:twoCellAnchor editAs="oneCell">
    <xdr:from>
      <xdr:col>2</xdr:col>
      <xdr:colOff>0</xdr:colOff>
      <xdr:row>28</xdr:row>
      <xdr:rowOff>0</xdr:rowOff>
    </xdr:from>
    <xdr:to>
      <xdr:col>2</xdr:col>
      <xdr:colOff>152400</xdr:colOff>
      <xdr:row>28</xdr:row>
      <xdr:rowOff>152400</xdr:rowOff>
    </xdr:to>
    <xdr:pic>
      <xdr:nvPicPr>
        <xdr:cNvPr id="507" name="Control 110">
          <a:extLst>
            <a:ext uri="{FF2B5EF4-FFF2-40B4-BE49-F238E27FC236}">
              <a16:creationId xmlns:a16="http://schemas.microsoft.com/office/drawing/2014/main" id="{00000000-0008-0000-0E00-0000FB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5867400"/>
          <a:ext cx="152400" cy="152400"/>
        </a:xfrm>
        <a:prstGeom prst="rect">
          <a:avLst/>
        </a:prstGeom>
        <a:noFill/>
        <a:ln w="9525">
          <a:miter lim="800000"/>
          <a:headEnd/>
          <a:tailEnd/>
        </a:ln>
      </xdr:spPr>
    </xdr:pic>
    <xdr:clientData/>
  </xdr:twoCellAnchor>
  <xdr:twoCellAnchor editAs="oneCell">
    <xdr:from>
      <xdr:col>0</xdr:col>
      <xdr:colOff>0</xdr:colOff>
      <xdr:row>29</xdr:row>
      <xdr:rowOff>0</xdr:rowOff>
    </xdr:from>
    <xdr:to>
      <xdr:col>0</xdr:col>
      <xdr:colOff>139700</xdr:colOff>
      <xdr:row>29</xdr:row>
      <xdr:rowOff>139700</xdr:rowOff>
    </xdr:to>
    <xdr:pic>
      <xdr:nvPicPr>
        <xdr:cNvPr id="508" name="Control 111">
          <a:extLst>
            <a:ext uri="{FF2B5EF4-FFF2-40B4-BE49-F238E27FC236}">
              <a16:creationId xmlns:a16="http://schemas.microsoft.com/office/drawing/2014/main" id="{00000000-0008-0000-0E00-0000FC01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076950"/>
          <a:ext cx="139700" cy="139700"/>
        </a:xfrm>
        <a:prstGeom prst="rect">
          <a:avLst/>
        </a:prstGeom>
        <a:noFill/>
        <a:ln w="9525">
          <a:miter lim="800000"/>
          <a:headEnd/>
          <a:tailEnd/>
        </a:ln>
      </xdr:spPr>
    </xdr:pic>
    <xdr:clientData/>
  </xdr:twoCellAnchor>
  <xdr:twoCellAnchor editAs="oneCell">
    <xdr:from>
      <xdr:col>2</xdr:col>
      <xdr:colOff>0</xdr:colOff>
      <xdr:row>29</xdr:row>
      <xdr:rowOff>0</xdr:rowOff>
    </xdr:from>
    <xdr:to>
      <xdr:col>2</xdr:col>
      <xdr:colOff>254000</xdr:colOff>
      <xdr:row>30</xdr:row>
      <xdr:rowOff>82550</xdr:rowOff>
    </xdr:to>
    <xdr:pic>
      <xdr:nvPicPr>
        <xdr:cNvPr id="509" name="Control 112">
          <a:extLst>
            <a:ext uri="{FF2B5EF4-FFF2-40B4-BE49-F238E27FC236}">
              <a16:creationId xmlns:a16="http://schemas.microsoft.com/office/drawing/2014/main" id="{00000000-0008-0000-0E00-0000FD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6076950"/>
          <a:ext cx="254000" cy="273050"/>
        </a:xfrm>
        <a:prstGeom prst="rect">
          <a:avLst/>
        </a:prstGeom>
        <a:noFill/>
        <a:ln w="9525">
          <a:miter lim="800000"/>
          <a:headEnd/>
          <a:tailEnd/>
        </a:ln>
      </xdr:spPr>
    </xdr:pic>
    <xdr:clientData/>
  </xdr:twoCellAnchor>
  <xdr:twoCellAnchor editAs="oneCell">
    <xdr:from>
      <xdr:col>2</xdr:col>
      <xdr:colOff>0</xdr:colOff>
      <xdr:row>29</xdr:row>
      <xdr:rowOff>0</xdr:rowOff>
    </xdr:from>
    <xdr:to>
      <xdr:col>2</xdr:col>
      <xdr:colOff>152400</xdr:colOff>
      <xdr:row>29</xdr:row>
      <xdr:rowOff>152400</xdr:rowOff>
    </xdr:to>
    <xdr:pic>
      <xdr:nvPicPr>
        <xdr:cNvPr id="510" name="Control 113">
          <a:extLst>
            <a:ext uri="{FF2B5EF4-FFF2-40B4-BE49-F238E27FC236}">
              <a16:creationId xmlns:a16="http://schemas.microsoft.com/office/drawing/2014/main" id="{00000000-0008-0000-0E00-0000FE01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6076950"/>
          <a:ext cx="152400" cy="152400"/>
        </a:xfrm>
        <a:prstGeom prst="rect">
          <a:avLst/>
        </a:prstGeom>
        <a:noFill/>
        <a:ln w="9525">
          <a:miter lim="800000"/>
          <a:headEnd/>
          <a:tailEnd/>
        </a:ln>
      </xdr:spPr>
    </xdr:pic>
    <xdr:clientData/>
  </xdr:twoCellAnchor>
  <xdr:twoCellAnchor editAs="oneCell">
    <xdr:from>
      <xdr:col>2</xdr:col>
      <xdr:colOff>0</xdr:colOff>
      <xdr:row>29</xdr:row>
      <xdr:rowOff>0</xdr:rowOff>
    </xdr:from>
    <xdr:to>
      <xdr:col>2</xdr:col>
      <xdr:colOff>152400</xdr:colOff>
      <xdr:row>29</xdr:row>
      <xdr:rowOff>152400</xdr:rowOff>
    </xdr:to>
    <xdr:pic>
      <xdr:nvPicPr>
        <xdr:cNvPr id="511" name="Control 114">
          <a:extLst>
            <a:ext uri="{FF2B5EF4-FFF2-40B4-BE49-F238E27FC236}">
              <a16:creationId xmlns:a16="http://schemas.microsoft.com/office/drawing/2014/main" id="{00000000-0008-0000-0E00-0000FF01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6076950"/>
          <a:ext cx="152400" cy="152400"/>
        </a:xfrm>
        <a:prstGeom prst="rect">
          <a:avLst/>
        </a:prstGeom>
        <a:noFill/>
        <a:ln w="9525">
          <a:miter lim="800000"/>
          <a:headEnd/>
          <a:tailEnd/>
        </a:ln>
      </xdr:spPr>
    </xdr:pic>
    <xdr:clientData/>
  </xdr:twoCellAnchor>
  <xdr:twoCellAnchor editAs="oneCell">
    <xdr:from>
      <xdr:col>0</xdr:col>
      <xdr:colOff>0</xdr:colOff>
      <xdr:row>30</xdr:row>
      <xdr:rowOff>0</xdr:rowOff>
    </xdr:from>
    <xdr:to>
      <xdr:col>0</xdr:col>
      <xdr:colOff>139700</xdr:colOff>
      <xdr:row>30</xdr:row>
      <xdr:rowOff>139700</xdr:rowOff>
    </xdr:to>
    <xdr:pic>
      <xdr:nvPicPr>
        <xdr:cNvPr id="512" name="Control 115">
          <a:extLst>
            <a:ext uri="{FF2B5EF4-FFF2-40B4-BE49-F238E27FC236}">
              <a16:creationId xmlns:a16="http://schemas.microsoft.com/office/drawing/2014/main" id="{00000000-0008-0000-0E00-000000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286500"/>
          <a:ext cx="139700" cy="139700"/>
        </a:xfrm>
        <a:prstGeom prst="rect">
          <a:avLst/>
        </a:prstGeom>
        <a:noFill/>
        <a:ln w="9525">
          <a:miter lim="800000"/>
          <a:headEnd/>
          <a:tailEnd/>
        </a:ln>
      </xdr:spPr>
    </xdr:pic>
    <xdr:clientData/>
  </xdr:twoCellAnchor>
  <xdr:twoCellAnchor editAs="oneCell">
    <xdr:from>
      <xdr:col>2</xdr:col>
      <xdr:colOff>0</xdr:colOff>
      <xdr:row>30</xdr:row>
      <xdr:rowOff>0</xdr:rowOff>
    </xdr:from>
    <xdr:to>
      <xdr:col>2</xdr:col>
      <xdr:colOff>254000</xdr:colOff>
      <xdr:row>31</xdr:row>
      <xdr:rowOff>82550</xdr:rowOff>
    </xdr:to>
    <xdr:pic>
      <xdr:nvPicPr>
        <xdr:cNvPr id="513" name="Control 116">
          <a:extLst>
            <a:ext uri="{FF2B5EF4-FFF2-40B4-BE49-F238E27FC236}">
              <a16:creationId xmlns:a16="http://schemas.microsoft.com/office/drawing/2014/main" id="{00000000-0008-0000-0E00-000001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6286500"/>
          <a:ext cx="254000" cy="273050"/>
        </a:xfrm>
        <a:prstGeom prst="rect">
          <a:avLst/>
        </a:prstGeom>
        <a:noFill/>
        <a:ln w="9525">
          <a:miter lim="800000"/>
          <a:headEnd/>
          <a:tailEnd/>
        </a:ln>
      </xdr:spPr>
    </xdr:pic>
    <xdr:clientData/>
  </xdr:twoCellAnchor>
  <xdr:twoCellAnchor editAs="oneCell">
    <xdr:from>
      <xdr:col>2</xdr:col>
      <xdr:colOff>0</xdr:colOff>
      <xdr:row>30</xdr:row>
      <xdr:rowOff>0</xdr:rowOff>
    </xdr:from>
    <xdr:to>
      <xdr:col>2</xdr:col>
      <xdr:colOff>152400</xdr:colOff>
      <xdr:row>30</xdr:row>
      <xdr:rowOff>152400</xdr:rowOff>
    </xdr:to>
    <xdr:pic>
      <xdr:nvPicPr>
        <xdr:cNvPr id="514" name="Control 117">
          <a:extLst>
            <a:ext uri="{FF2B5EF4-FFF2-40B4-BE49-F238E27FC236}">
              <a16:creationId xmlns:a16="http://schemas.microsoft.com/office/drawing/2014/main" id="{00000000-0008-0000-0E00-000002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6286500"/>
          <a:ext cx="152400" cy="152400"/>
        </a:xfrm>
        <a:prstGeom prst="rect">
          <a:avLst/>
        </a:prstGeom>
        <a:noFill/>
        <a:ln w="9525">
          <a:miter lim="800000"/>
          <a:headEnd/>
          <a:tailEnd/>
        </a:ln>
      </xdr:spPr>
    </xdr:pic>
    <xdr:clientData/>
  </xdr:twoCellAnchor>
  <xdr:twoCellAnchor editAs="oneCell">
    <xdr:from>
      <xdr:col>2</xdr:col>
      <xdr:colOff>0</xdr:colOff>
      <xdr:row>30</xdr:row>
      <xdr:rowOff>0</xdr:rowOff>
    </xdr:from>
    <xdr:to>
      <xdr:col>2</xdr:col>
      <xdr:colOff>152400</xdr:colOff>
      <xdr:row>30</xdr:row>
      <xdr:rowOff>152400</xdr:rowOff>
    </xdr:to>
    <xdr:pic>
      <xdr:nvPicPr>
        <xdr:cNvPr id="515" name="Control 118">
          <a:extLst>
            <a:ext uri="{FF2B5EF4-FFF2-40B4-BE49-F238E27FC236}">
              <a16:creationId xmlns:a16="http://schemas.microsoft.com/office/drawing/2014/main" id="{00000000-0008-0000-0E00-000003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6286500"/>
          <a:ext cx="152400" cy="152400"/>
        </a:xfrm>
        <a:prstGeom prst="rect">
          <a:avLst/>
        </a:prstGeom>
        <a:noFill/>
        <a:ln w="9525">
          <a:miter lim="800000"/>
          <a:headEnd/>
          <a:tailEnd/>
        </a:ln>
      </xdr:spPr>
    </xdr:pic>
    <xdr:clientData/>
  </xdr:twoCellAnchor>
  <xdr:twoCellAnchor editAs="oneCell">
    <xdr:from>
      <xdr:col>0</xdr:col>
      <xdr:colOff>0</xdr:colOff>
      <xdr:row>31</xdr:row>
      <xdr:rowOff>0</xdr:rowOff>
    </xdr:from>
    <xdr:to>
      <xdr:col>0</xdr:col>
      <xdr:colOff>139700</xdr:colOff>
      <xdr:row>31</xdr:row>
      <xdr:rowOff>139700</xdr:rowOff>
    </xdr:to>
    <xdr:pic>
      <xdr:nvPicPr>
        <xdr:cNvPr id="516" name="Control 119">
          <a:extLst>
            <a:ext uri="{FF2B5EF4-FFF2-40B4-BE49-F238E27FC236}">
              <a16:creationId xmlns:a16="http://schemas.microsoft.com/office/drawing/2014/main" id="{00000000-0008-0000-0E00-000004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496050"/>
          <a:ext cx="139700" cy="139700"/>
        </a:xfrm>
        <a:prstGeom prst="rect">
          <a:avLst/>
        </a:prstGeom>
        <a:noFill/>
        <a:ln w="9525">
          <a:miter lim="800000"/>
          <a:headEnd/>
          <a:tailEnd/>
        </a:ln>
      </xdr:spPr>
    </xdr:pic>
    <xdr:clientData/>
  </xdr:twoCellAnchor>
  <xdr:twoCellAnchor editAs="oneCell">
    <xdr:from>
      <xdr:col>2</xdr:col>
      <xdr:colOff>0</xdr:colOff>
      <xdr:row>31</xdr:row>
      <xdr:rowOff>0</xdr:rowOff>
    </xdr:from>
    <xdr:to>
      <xdr:col>2</xdr:col>
      <xdr:colOff>254000</xdr:colOff>
      <xdr:row>32</xdr:row>
      <xdr:rowOff>82550</xdr:rowOff>
    </xdr:to>
    <xdr:pic>
      <xdr:nvPicPr>
        <xdr:cNvPr id="517" name="Control 120">
          <a:extLst>
            <a:ext uri="{FF2B5EF4-FFF2-40B4-BE49-F238E27FC236}">
              <a16:creationId xmlns:a16="http://schemas.microsoft.com/office/drawing/2014/main" id="{00000000-0008-0000-0E00-000005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6496050"/>
          <a:ext cx="254000" cy="273050"/>
        </a:xfrm>
        <a:prstGeom prst="rect">
          <a:avLst/>
        </a:prstGeom>
        <a:noFill/>
        <a:ln w="9525">
          <a:miter lim="800000"/>
          <a:headEnd/>
          <a:tailEnd/>
        </a:ln>
      </xdr:spPr>
    </xdr:pic>
    <xdr:clientData/>
  </xdr:twoCellAnchor>
  <xdr:twoCellAnchor editAs="oneCell">
    <xdr:from>
      <xdr:col>2</xdr:col>
      <xdr:colOff>0</xdr:colOff>
      <xdr:row>31</xdr:row>
      <xdr:rowOff>0</xdr:rowOff>
    </xdr:from>
    <xdr:to>
      <xdr:col>2</xdr:col>
      <xdr:colOff>152400</xdr:colOff>
      <xdr:row>31</xdr:row>
      <xdr:rowOff>152400</xdr:rowOff>
    </xdr:to>
    <xdr:pic>
      <xdr:nvPicPr>
        <xdr:cNvPr id="518" name="Control 121">
          <a:extLst>
            <a:ext uri="{FF2B5EF4-FFF2-40B4-BE49-F238E27FC236}">
              <a16:creationId xmlns:a16="http://schemas.microsoft.com/office/drawing/2014/main" id="{00000000-0008-0000-0E00-000006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6496050"/>
          <a:ext cx="152400" cy="152400"/>
        </a:xfrm>
        <a:prstGeom prst="rect">
          <a:avLst/>
        </a:prstGeom>
        <a:noFill/>
        <a:ln w="9525">
          <a:miter lim="800000"/>
          <a:headEnd/>
          <a:tailEnd/>
        </a:ln>
      </xdr:spPr>
    </xdr:pic>
    <xdr:clientData/>
  </xdr:twoCellAnchor>
  <xdr:twoCellAnchor editAs="oneCell">
    <xdr:from>
      <xdr:col>2</xdr:col>
      <xdr:colOff>0</xdr:colOff>
      <xdr:row>31</xdr:row>
      <xdr:rowOff>0</xdr:rowOff>
    </xdr:from>
    <xdr:to>
      <xdr:col>2</xdr:col>
      <xdr:colOff>152400</xdr:colOff>
      <xdr:row>31</xdr:row>
      <xdr:rowOff>152400</xdr:rowOff>
    </xdr:to>
    <xdr:pic>
      <xdr:nvPicPr>
        <xdr:cNvPr id="519" name="Control 122">
          <a:extLst>
            <a:ext uri="{FF2B5EF4-FFF2-40B4-BE49-F238E27FC236}">
              <a16:creationId xmlns:a16="http://schemas.microsoft.com/office/drawing/2014/main" id="{00000000-0008-0000-0E00-000007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6496050"/>
          <a:ext cx="152400" cy="152400"/>
        </a:xfrm>
        <a:prstGeom prst="rect">
          <a:avLst/>
        </a:prstGeom>
        <a:noFill/>
        <a:ln w="9525">
          <a:miter lim="800000"/>
          <a:headEnd/>
          <a:tailEnd/>
        </a:ln>
      </xdr:spPr>
    </xdr:pic>
    <xdr:clientData/>
  </xdr:twoCellAnchor>
  <xdr:twoCellAnchor editAs="oneCell">
    <xdr:from>
      <xdr:col>0</xdr:col>
      <xdr:colOff>0</xdr:colOff>
      <xdr:row>32</xdr:row>
      <xdr:rowOff>0</xdr:rowOff>
    </xdr:from>
    <xdr:to>
      <xdr:col>0</xdr:col>
      <xdr:colOff>139700</xdr:colOff>
      <xdr:row>32</xdr:row>
      <xdr:rowOff>139700</xdr:rowOff>
    </xdr:to>
    <xdr:pic>
      <xdr:nvPicPr>
        <xdr:cNvPr id="520" name="Control 123">
          <a:extLst>
            <a:ext uri="{FF2B5EF4-FFF2-40B4-BE49-F238E27FC236}">
              <a16:creationId xmlns:a16="http://schemas.microsoft.com/office/drawing/2014/main" id="{00000000-0008-0000-0E00-000008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705600"/>
          <a:ext cx="139700" cy="139700"/>
        </a:xfrm>
        <a:prstGeom prst="rect">
          <a:avLst/>
        </a:prstGeom>
        <a:noFill/>
        <a:ln w="9525">
          <a:miter lim="800000"/>
          <a:headEnd/>
          <a:tailEnd/>
        </a:ln>
      </xdr:spPr>
    </xdr:pic>
    <xdr:clientData/>
  </xdr:twoCellAnchor>
  <xdr:twoCellAnchor editAs="oneCell">
    <xdr:from>
      <xdr:col>2</xdr:col>
      <xdr:colOff>0</xdr:colOff>
      <xdr:row>32</xdr:row>
      <xdr:rowOff>0</xdr:rowOff>
    </xdr:from>
    <xdr:to>
      <xdr:col>2</xdr:col>
      <xdr:colOff>254000</xdr:colOff>
      <xdr:row>33</xdr:row>
      <xdr:rowOff>82550</xdr:rowOff>
    </xdr:to>
    <xdr:pic>
      <xdr:nvPicPr>
        <xdr:cNvPr id="521" name="Control 124">
          <a:extLst>
            <a:ext uri="{FF2B5EF4-FFF2-40B4-BE49-F238E27FC236}">
              <a16:creationId xmlns:a16="http://schemas.microsoft.com/office/drawing/2014/main" id="{00000000-0008-0000-0E00-000009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6705600"/>
          <a:ext cx="254000" cy="273050"/>
        </a:xfrm>
        <a:prstGeom prst="rect">
          <a:avLst/>
        </a:prstGeom>
        <a:noFill/>
        <a:ln w="9525">
          <a:miter lim="800000"/>
          <a:headEnd/>
          <a:tailEnd/>
        </a:ln>
      </xdr:spPr>
    </xdr:pic>
    <xdr:clientData/>
  </xdr:twoCellAnchor>
  <xdr:twoCellAnchor editAs="oneCell">
    <xdr:from>
      <xdr:col>2</xdr:col>
      <xdr:colOff>0</xdr:colOff>
      <xdr:row>32</xdr:row>
      <xdr:rowOff>0</xdr:rowOff>
    </xdr:from>
    <xdr:to>
      <xdr:col>2</xdr:col>
      <xdr:colOff>152400</xdr:colOff>
      <xdr:row>32</xdr:row>
      <xdr:rowOff>152400</xdr:rowOff>
    </xdr:to>
    <xdr:pic>
      <xdr:nvPicPr>
        <xdr:cNvPr id="522" name="Control 125">
          <a:extLst>
            <a:ext uri="{FF2B5EF4-FFF2-40B4-BE49-F238E27FC236}">
              <a16:creationId xmlns:a16="http://schemas.microsoft.com/office/drawing/2014/main" id="{00000000-0008-0000-0E00-00000A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6705600"/>
          <a:ext cx="152400" cy="152400"/>
        </a:xfrm>
        <a:prstGeom prst="rect">
          <a:avLst/>
        </a:prstGeom>
        <a:noFill/>
        <a:ln w="9525">
          <a:miter lim="800000"/>
          <a:headEnd/>
          <a:tailEnd/>
        </a:ln>
      </xdr:spPr>
    </xdr:pic>
    <xdr:clientData/>
  </xdr:twoCellAnchor>
  <xdr:twoCellAnchor editAs="oneCell">
    <xdr:from>
      <xdr:col>2</xdr:col>
      <xdr:colOff>0</xdr:colOff>
      <xdr:row>32</xdr:row>
      <xdr:rowOff>0</xdr:rowOff>
    </xdr:from>
    <xdr:to>
      <xdr:col>2</xdr:col>
      <xdr:colOff>152400</xdr:colOff>
      <xdr:row>32</xdr:row>
      <xdr:rowOff>152400</xdr:rowOff>
    </xdr:to>
    <xdr:pic>
      <xdr:nvPicPr>
        <xdr:cNvPr id="523" name="Control 126">
          <a:extLst>
            <a:ext uri="{FF2B5EF4-FFF2-40B4-BE49-F238E27FC236}">
              <a16:creationId xmlns:a16="http://schemas.microsoft.com/office/drawing/2014/main" id="{00000000-0008-0000-0E00-00000B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6705600"/>
          <a:ext cx="152400" cy="152400"/>
        </a:xfrm>
        <a:prstGeom prst="rect">
          <a:avLst/>
        </a:prstGeom>
        <a:noFill/>
        <a:ln w="9525">
          <a:miter lim="800000"/>
          <a:headEnd/>
          <a:tailEnd/>
        </a:ln>
      </xdr:spPr>
    </xdr:pic>
    <xdr:clientData/>
  </xdr:twoCellAnchor>
  <xdr:twoCellAnchor editAs="oneCell">
    <xdr:from>
      <xdr:col>0</xdr:col>
      <xdr:colOff>0</xdr:colOff>
      <xdr:row>33</xdr:row>
      <xdr:rowOff>0</xdr:rowOff>
    </xdr:from>
    <xdr:to>
      <xdr:col>0</xdr:col>
      <xdr:colOff>139700</xdr:colOff>
      <xdr:row>33</xdr:row>
      <xdr:rowOff>139700</xdr:rowOff>
    </xdr:to>
    <xdr:pic>
      <xdr:nvPicPr>
        <xdr:cNvPr id="524" name="Control 127">
          <a:extLst>
            <a:ext uri="{FF2B5EF4-FFF2-40B4-BE49-F238E27FC236}">
              <a16:creationId xmlns:a16="http://schemas.microsoft.com/office/drawing/2014/main" id="{00000000-0008-0000-0E00-00000C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6915150"/>
          <a:ext cx="139700" cy="139700"/>
        </a:xfrm>
        <a:prstGeom prst="rect">
          <a:avLst/>
        </a:prstGeom>
        <a:noFill/>
        <a:ln w="9525">
          <a:miter lim="800000"/>
          <a:headEnd/>
          <a:tailEnd/>
        </a:ln>
      </xdr:spPr>
    </xdr:pic>
    <xdr:clientData/>
  </xdr:twoCellAnchor>
  <xdr:twoCellAnchor editAs="oneCell">
    <xdr:from>
      <xdr:col>2</xdr:col>
      <xdr:colOff>0</xdr:colOff>
      <xdr:row>33</xdr:row>
      <xdr:rowOff>0</xdr:rowOff>
    </xdr:from>
    <xdr:to>
      <xdr:col>2</xdr:col>
      <xdr:colOff>254000</xdr:colOff>
      <xdr:row>34</xdr:row>
      <xdr:rowOff>82550</xdr:rowOff>
    </xdr:to>
    <xdr:pic>
      <xdr:nvPicPr>
        <xdr:cNvPr id="525" name="Control 128">
          <a:extLst>
            <a:ext uri="{FF2B5EF4-FFF2-40B4-BE49-F238E27FC236}">
              <a16:creationId xmlns:a16="http://schemas.microsoft.com/office/drawing/2014/main" id="{00000000-0008-0000-0E00-00000D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6915150"/>
          <a:ext cx="254000" cy="273050"/>
        </a:xfrm>
        <a:prstGeom prst="rect">
          <a:avLst/>
        </a:prstGeom>
        <a:noFill/>
        <a:ln w="9525">
          <a:miter lim="800000"/>
          <a:headEnd/>
          <a:tailEnd/>
        </a:ln>
      </xdr:spPr>
    </xdr:pic>
    <xdr:clientData/>
  </xdr:twoCellAnchor>
  <xdr:twoCellAnchor editAs="oneCell">
    <xdr:from>
      <xdr:col>2</xdr:col>
      <xdr:colOff>0</xdr:colOff>
      <xdr:row>33</xdr:row>
      <xdr:rowOff>0</xdr:rowOff>
    </xdr:from>
    <xdr:to>
      <xdr:col>2</xdr:col>
      <xdr:colOff>152400</xdr:colOff>
      <xdr:row>33</xdr:row>
      <xdr:rowOff>152400</xdr:rowOff>
    </xdr:to>
    <xdr:pic>
      <xdr:nvPicPr>
        <xdr:cNvPr id="526" name="Control 129">
          <a:extLst>
            <a:ext uri="{FF2B5EF4-FFF2-40B4-BE49-F238E27FC236}">
              <a16:creationId xmlns:a16="http://schemas.microsoft.com/office/drawing/2014/main" id="{00000000-0008-0000-0E00-00000E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6915150"/>
          <a:ext cx="152400" cy="152400"/>
        </a:xfrm>
        <a:prstGeom prst="rect">
          <a:avLst/>
        </a:prstGeom>
        <a:noFill/>
        <a:ln w="9525">
          <a:miter lim="800000"/>
          <a:headEnd/>
          <a:tailEnd/>
        </a:ln>
      </xdr:spPr>
    </xdr:pic>
    <xdr:clientData/>
  </xdr:twoCellAnchor>
  <xdr:twoCellAnchor editAs="oneCell">
    <xdr:from>
      <xdr:col>2</xdr:col>
      <xdr:colOff>0</xdr:colOff>
      <xdr:row>33</xdr:row>
      <xdr:rowOff>0</xdr:rowOff>
    </xdr:from>
    <xdr:to>
      <xdr:col>2</xdr:col>
      <xdr:colOff>152400</xdr:colOff>
      <xdr:row>33</xdr:row>
      <xdr:rowOff>152400</xdr:rowOff>
    </xdr:to>
    <xdr:pic>
      <xdr:nvPicPr>
        <xdr:cNvPr id="527" name="Control 130">
          <a:extLst>
            <a:ext uri="{FF2B5EF4-FFF2-40B4-BE49-F238E27FC236}">
              <a16:creationId xmlns:a16="http://schemas.microsoft.com/office/drawing/2014/main" id="{00000000-0008-0000-0E00-00000F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6915150"/>
          <a:ext cx="152400" cy="152400"/>
        </a:xfrm>
        <a:prstGeom prst="rect">
          <a:avLst/>
        </a:prstGeom>
        <a:noFill/>
        <a:ln w="9525">
          <a:miter lim="800000"/>
          <a:headEnd/>
          <a:tailEnd/>
        </a:ln>
      </xdr:spPr>
    </xdr:pic>
    <xdr:clientData/>
  </xdr:twoCellAnchor>
  <xdr:twoCellAnchor editAs="oneCell">
    <xdr:from>
      <xdr:col>0</xdr:col>
      <xdr:colOff>0</xdr:colOff>
      <xdr:row>34</xdr:row>
      <xdr:rowOff>0</xdr:rowOff>
    </xdr:from>
    <xdr:to>
      <xdr:col>0</xdr:col>
      <xdr:colOff>139700</xdr:colOff>
      <xdr:row>34</xdr:row>
      <xdr:rowOff>139700</xdr:rowOff>
    </xdr:to>
    <xdr:pic>
      <xdr:nvPicPr>
        <xdr:cNvPr id="528" name="Control 131">
          <a:extLst>
            <a:ext uri="{FF2B5EF4-FFF2-40B4-BE49-F238E27FC236}">
              <a16:creationId xmlns:a16="http://schemas.microsoft.com/office/drawing/2014/main" id="{00000000-0008-0000-0E00-000010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7124700"/>
          <a:ext cx="139700" cy="139700"/>
        </a:xfrm>
        <a:prstGeom prst="rect">
          <a:avLst/>
        </a:prstGeom>
        <a:noFill/>
        <a:ln w="9525">
          <a:miter lim="800000"/>
          <a:headEnd/>
          <a:tailEnd/>
        </a:ln>
      </xdr:spPr>
    </xdr:pic>
    <xdr:clientData/>
  </xdr:twoCellAnchor>
  <xdr:twoCellAnchor editAs="oneCell">
    <xdr:from>
      <xdr:col>2</xdr:col>
      <xdr:colOff>0</xdr:colOff>
      <xdr:row>34</xdr:row>
      <xdr:rowOff>0</xdr:rowOff>
    </xdr:from>
    <xdr:to>
      <xdr:col>2</xdr:col>
      <xdr:colOff>254000</xdr:colOff>
      <xdr:row>35</xdr:row>
      <xdr:rowOff>82550</xdr:rowOff>
    </xdr:to>
    <xdr:pic>
      <xdr:nvPicPr>
        <xdr:cNvPr id="529" name="Control 132">
          <a:extLst>
            <a:ext uri="{FF2B5EF4-FFF2-40B4-BE49-F238E27FC236}">
              <a16:creationId xmlns:a16="http://schemas.microsoft.com/office/drawing/2014/main" id="{00000000-0008-0000-0E00-000011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7124700"/>
          <a:ext cx="254000" cy="273050"/>
        </a:xfrm>
        <a:prstGeom prst="rect">
          <a:avLst/>
        </a:prstGeom>
        <a:noFill/>
        <a:ln w="9525">
          <a:miter lim="800000"/>
          <a:headEnd/>
          <a:tailEnd/>
        </a:ln>
      </xdr:spPr>
    </xdr:pic>
    <xdr:clientData/>
  </xdr:twoCellAnchor>
  <xdr:twoCellAnchor editAs="oneCell">
    <xdr:from>
      <xdr:col>2</xdr:col>
      <xdr:colOff>0</xdr:colOff>
      <xdr:row>34</xdr:row>
      <xdr:rowOff>0</xdr:rowOff>
    </xdr:from>
    <xdr:to>
      <xdr:col>2</xdr:col>
      <xdr:colOff>152400</xdr:colOff>
      <xdr:row>34</xdr:row>
      <xdr:rowOff>152400</xdr:rowOff>
    </xdr:to>
    <xdr:pic>
      <xdr:nvPicPr>
        <xdr:cNvPr id="530" name="Control 133">
          <a:extLst>
            <a:ext uri="{FF2B5EF4-FFF2-40B4-BE49-F238E27FC236}">
              <a16:creationId xmlns:a16="http://schemas.microsoft.com/office/drawing/2014/main" id="{00000000-0008-0000-0E00-000012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7124700"/>
          <a:ext cx="152400" cy="152400"/>
        </a:xfrm>
        <a:prstGeom prst="rect">
          <a:avLst/>
        </a:prstGeom>
        <a:noFill/>
        <a:ln w="9525">
          <a:miter lim="800000"/>
          <a:headEnd/>
          <a:tailEnd/>
        </a:ln>
      </xdr:spPr>
    </xdr:pic>
    <xdr:clientData/>
  </xdr:twoCellAnchor>
  <xdr:twoCellAnchor editAs="oneCell">
    <xdr:from>
      <xdr:col>2</xdr:col>
      <xdr:colOff>0</xdr:colOff>
      <xdr:row>34</xdr:row>
      <xdr:rowOff>0</xdr:rowOff>
    </xdr:from>
    <xdr:to>
      <xdr:col>2</xdr:col>
      <xdr:colOff>152400</xdr:colOff>
      <xdr:row>34</xdr:row>
      <xdr:rowOff>152400</xdr:rowOff>
    </xdr:to>
    <xdr:pic>
      <xdr:nvPicPr>
        <xdr:cNvPr id="531" name="Control 134">
          <a:extLst>
            <a:ext uri="{FF2B5EF4-FFF2-40B4-BE49-F238E27FC236}">
              <a16:creationId xmlns:a16="http://schemas.microsoft.com/office/drawing/2014/main" id="{00000000-0008-0000-0E00-000013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7124700"/>
          <a:ext cx="152400" cy="152400"/>
        </a:xfrm>
        <a:prstGeom prst="rect">
          <a:avLst/>
        </a:prstGeom>
        <a:noFill/>
        <a:ln w="9525">
          <a:miter lim="800000"/>
          <a:headEnd/>
          <a:tailEnd/>
        </a:ln>
      </xdr:spPr>
    </xdr:pic>
    <xdr:clientData/>
  </xdr:twoCellAnchor>
  <xdr:twoCellAnchor editAs="oneCell">
    <xdr:from>
      <xdr:col>0</xdr:col>
      <xdr:colOff>0</xdr:colOff>
      <xdr:row>35</xdr:row>
      <xdr:rowOff>0</xdr:rowOff>
    </xdr:from>
    <xdr:to>
      <xdr:col>0</xdr:col>
      <xdr:colOff>139700</xdr:colOff>
      <xdr:row>35</xdr:row>
      <xdr:rowOff>139700</xdr:rowOff>
    </xdr:to>
    <xdr:pic>
      <xdr:nvPicPr>
        <xdr:cNvPr id="532" name="Control 135">
          <a:extLst>
            <a:ext uri="{FF2B5EF4-FFF2-40B4-BE49-F238E27FC236}">
              <a16:creationId xmlns:a16="http://schemas.microsoft.com/office/drawing/2014/main" id="{00000000-0008-0000-0E00-000014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7334250"/>
          <a:ext cx="139700" cy="139700"/>
        </a:xfrm>
        <a:prstGeom prst="rect">
          <a:avLst/>
        </a:prstGeom>
        <a:noFill/>
        <a:ln w="9525">
          <a:miter lim="800000"/>
          <a:headEnd/>
          <a:tailEnd/>
        </a:ln>
      </xdr:spPr>
    </xdr:pic>
    <xdr:clientData/>
  </xdr:twoCellAnchor>
  <xdr:twoCellAnchor editAs="oneCell">
    <xdr:from>
      <xdr:col>2</xdr:col>
      <xdr:colOff>0</xdr:colOff>
      <xdr:row>35</xdr:row>
      <xdr:rowOff>0</xdr:rowOff>
    </xdr:from>
    <xdr:to>
      <xdr:col>2</xdr:col>
      <xdr:colOff>254000</xdr:colOff>
      <xdr:row>36</xdr:row>
      <xdr:rowOff>82550</xdr:rowOff>
    </xdr:to>
    <xdr:pic>
      <xdr:nvPicPr>
        <xdr:cNvPr id="533" name="Control 136">
          <a:extLst>
            <a:ext uri="{FF2B5EF4-FFF2-40B4-BE49-F238E27FC236}">
              <a16:creationId xmlns:a16="http://schemas.microsoft.com/office/drawing/2014/main" id="{00000000-0008-0000-0E00-000015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7334250"/>
          <a:ext cx="254000" cy="273050"/>
        </a:xfrm>
        <a:prstGeom prst="rect">
          <a:avLst/>
        </a:prstGeom>
        <a:noFill/>
        <a:ln w="9525">
          <a:miter lim="800000"/>
          <a:headEnd/>
          <a:tailEnd/>
        </a:ln>
      </xdr:spPr>
    </xdr:pic>
    <xdr:clientData/>
  </xdr:twoCellAnchor>
  <xdr:twoCellAnchor editAs="oneCell">
    <xdr:from>
      <xdr:col>2</xdr:col>
      <xdr:colOff>0</xdr:colOff>
      <xdr:row>35</xdr:row>
      <xdr:rowOff>0</xdr:rowOff>
    </xdr:from>
    <xdr:to>
      <xdr:col>2</xdr:col>
      <xdr:colOff>152400</xdr:colOff>
      <xdr:row>35</xdr:row>
      <xdr:rowOff>152400</xdr:rowOff>
    </xdr:to>
    <xdr:pic>
      <xdr:nvPicPr>
        <xdr:cNvPr id="534" name="Control 137">
          <a:extLst>
            <a:ext uri="{FF2B5EF4-FFF2-40B4-BE49-F238E27FC236}">
              <a16:creationId xmlns:a16="http://schemas.microsoft.com/office/drawing/2014/main" id="{00000000-0008-0000-0E00-000016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7334250"/>
          <a:ext cx="152400" cy="152400"/>
        </a:xfrm>
        <a:prstGeom prst="rect">
          <a:avLst/>
        </a:prstGeom>
        <a:noFill/>
        <a:ln w="9525">
          <a:miter lim="800000"/>
          <a:headEnd/>
          <a:tailEnd/>
        </a:ln>
      </xdr:spPr>
    </xdr:pic>
    <xdr:clientData/>
  </xdr:twoCellAnchor>
  <xdr:twoCellAnchor editAs="oneCell">
    <xdr:from>
      <xdr:col>2</xdr:col>
      <xdr:colOff>0</xdr:colOff>
      <xdr:row>35</xdr:row>
      <xdr:rowOff>0</xdr:rowOff>
    </xdr:from>
    <xdr:to>
      <xdr:col>2</xdr:col>
      <xdr:colOff>152400</xdr:colOff>
      <xdr:row>35</xdr:row>
      <xdr:rowOff>152400</xdr:rowOff>
    </xdr:to>
    <xdr:pic>
      <xdr:nvPicPr>
        <xdr:cNvPr id="535" name="Control 138">
          <a:extLst>
            <a:ext uri="{FF2B5EF4-FFF2-40B4-BE49-F238E27FC236}">
              <a16:creationId xmlns:a16="http://schemas.microsoft.com/office/drawing/2014/main" id="{00000000-0008-0000-0E00-000017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7334250"/>
          <a:ext cx="152400" cy="152400"/>
        </a:xfrm>
        <a:prstGeom prst="rect">
          <a:avLst/>
        </a:prstGeom>
        <a:noFill/>
        <a:ln w="9525">
          <a:miter lim="800000"/>
          <a:headEnd/>
          <a:tailEnd/>
        </a:ln>
      </xdr:spPr>
    </xdr:pic>
    <xdr:clientData/>
  </xdr:twoCellAnchor>
  <xdr:twoCellAnchor editAs="oneCell">
    <xdr:from>
      <xdr:col>0</xdr:col>
      <xdr:colOff>0</xdr:colOff>
      <xdr:row>36</xdr:row>
      <xdr:rowOff>0</xdr:rowOff>
    </xdr:from>
    <xdr:to>
      <xdr:col>0</xdr:col>
      <xdr:colOff>139700</xdr:colOff>
      <xdr:row>36</xdr:row>
      <xdr:rowOff>139700</xdr:rowOff>
    </xdr:to>
    <xdr:pic>
      <xdr:nvPicPr>
        <xdr:cNvPr id="536" name="Control 139">
          <a:extLst>
            <a:ext uri="{FF2B5EF4-FFF2-40B4-BE49-F238E27FC236}">
              <a16:creationId xmlns:a16="http://schemas.microsoft.com/office/drawing/2014/main" id="{00000000-0008-0000-0E00-000018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7543800"/>
          <a:ext cx="139700" cy="139700"/>
        </a:xfrm>
        <a:prstGeom prst="rect">
          <a:avLst/>
        </a:prstGeom>
        <a:noFill/>
        <a:ln w="9525">
          <a:miter lim="800000"/>
          <a:headEnd/>
          <a:tailEnd/>
        </a:ln>
      </xdr:spPr>
    </xdr:pic>
    <xdr:clientData/>
  </xdr:twoCellAnchor>
  <xdr:twoCellAnchor editAs="oneCell">
    <xdr:from>
      <xdr:col>2</xdr:col>
      <xdr:colOff>0</xdr:colOff>
      <xdr:row>36</xdr:row>
      <xdr:rowOff>0</xdr:rowOff>
    </xdr:from>
    <xdr:to>
      <xdr:col>2</xdr:col>
      <xdr:colOff>254000</xdr:colOff>
      <xdr:row>37</xdr:row>
      <xdr:rowOff>82550</xdr:rowOff>
    </xdr:to>
    <xdr:pic>
      <xdr:nvPicPr>
        <xdr:cNvPr id="537" name="Control 140">
          <a:extLst>
            <a:ext uri="{FF2B5EF4-FFF2-40B4-BE49-F238E27FC236}">
              <a16:creationId xmlns:a16="http://schemas.microsoft.com/office/drawing/2014/main" id="{00000000-0008-0000-0E00-000019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7543800"/>
          <a:ext cx="254000" cy="273050"/>
        </a:xfrm>
        <a:prstGeom prst="rect">
          <a:avLst/>
        </a:prstGeom>
        <a:noFill/>
        <a:ln w="9525">
          <a:miter lim="800000"/>
          <a:headEnd/>
          <a:tailEnd/>
        </a:ln>
      </xdr:spPr>
    </xdr:pic>
    <xdr:clientData/>
  </xdr:twoCellAnchor>
  <xdr:twoCellAnchor editAs="oneCell">
    <xdr:from>
      <xdr:col>2</xdr:col>
      <xdr:colOff>0</xdr:colOff>
      <xdr:row>36</xdr:row>
      <xdr:rowOff>0</xdr:rowOff>
    </xdr:from>
    <xdr:to>
      <xdr:col>2</xdr:col>
      <xdr:colOff>152400</xdr:colOff>
      <xdr:row>36</xdr:row>
      <xdr:rowOff>152400</xdr:rowOff>
    </xdr:to>
    <xdr:pic>
      <xdr:nvPicPr>
        <xdr:cNvPr id="538" name="Control 141">
          <a:extLst>
            <a:ext uri="{FF2B5EF4-FFF2-40B4-BE49-F238E27FC236}">
              <a16:creationId xmlns:a16="http://schemas.microsoft.com/office/drawing/2014/main" id="{00000000-0008-0000-0E00-00001A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7543800"/>
          <a:ext cx="152400" cy="152400"/>
        </a:xfrm>
        <a:prstGeom prst="rect">
          <a:avLst/>
        </a:prstGeom>
        <a:noFill/>
        <a:ln w="9525">
          <a:miter lim="800000"/>
          <a:headEnd/>
          <a:tailEnd/>
        </a:ln>
      </xdr:spPr>
    </xdr:pic>
    <xdr:clientData/>
  </xdr:twoCellAnchor>
  <xdr:twoCellAnchor editAs="oneCell">
    <xdr:from>
      <xdr:col>2</xdr:col>
      <xdr:colOff>0</xdr:colOff>
      <xdr:row>36</xdr:row>
      <xdr:rowOff>0</xdr:rowOff>
    </xdr:from>
    <xdr:to>
      <xdr:col>2</xdr:col>
      <xdr:colOff>152400</xdr:colOff>
      <xdr:row>36</xdr:row>
      <xdr:rowOff>152400</xdr:rowOff>
    </xdr:to>
    <xdr:pic>
      <xdr:nvPicPr>
        <xdr:cNvPr id="539" name="Control 142">
          <a:extLst>
            <a:ext uri="{FF2B5EF4-FFF2-40B4-BE49-F238E27FC236}">
              <a16:creationId xmlns:a16="http://schemas.microsoft.com/office/drawing/2014/main" id="{00000000-0008-0000-0E00-00001B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7543800"/>
          <a:ext cx="152400" cy="152400"/>
        </a:xfrm>
        <a:prstGeom prst="rect">
          <a:avLst/>
        </a:prstGeom>
        <a:noFill/>
        <a:ln w="9525">
          <a:miter lim="800000"/>
          <a:headEnd/>
          <a:tailEnd/>
        </a:ln>
      </xdr:spPr>
    </xdr:pic>
    <xdr:clientData/>
  </xdr:twoCellAnchor>
  <xdr:twoCellAnchor editAs="oneCell">
    <xdr:from>
      <xdr:col>0</xdr:col>
      <xdr:colOff>0</xdr:colOff>
      <xdr:row>37</xdr:row>
      <xdr:rowOff>0</xdr:rowOff>
    </xdr:from>
    <xdr:to>
      <xdr:col>0</xdr:col>
      <xdr:colOff>139700</xdr:colOff>
      <xdr:row>37</xdr:row>
      <xdr:rowOff>139700</xdr:rowOff>
    </xdr:to>
    <xdr:pic>
      <xdr:nvPicPr>
        <xdr:cNvPr id="540" name="Control 143">
          <a:extLst>
            <a:ext uri="{FF2B5EF4-FFF2-40B4-BE49-F238E27FC236}">
              <a16:creationId xmlns:a16="http://schemas.microsoft.com/office/drawing/2014/main" id="{00000000-0008-0000-0E00-00001C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7753350"/>
          <a:ext cx="139700" cy="139700"/>
        </a:xfrm>
        <a:prstGeom prst="rect">
          <a:avLst/>
        </a:prstGeom>
        <a:noFill/>
        <a:ln w="9525">
          <a:miter lim="800000"/>
          <a:headEnd/>
          <a:tailEnd/>
        </a:ln>
      </xdr:spPr>
    </xdr:pic>
    <xdr:clientData/>
  </xdr:twoCellAnchor>
  <xdr:twoCellAnchor editAs="oneCell">
    <xdr:from>
      <xdr:col>2</xdr:col>
      <xdr:colOff>0</xdr:colOff>
      <xdr:row>37</xdr:row>
      <xdr:rowOff>0</xdr:rowOff>
    </xdr:from>
    <xdr:to>
      <xdr:col>2</xdr:col>
      <xdr:colOff>254000</xdr:colOff>
      <xdr:row>38</xdr:row>
      <xdr:rowOff>82550</xdr:rowOff>
    </xdr:to>
    <xdr:pic>
      <xdr:nvPicPr>
        <xdr:cNvPr id="541" name="Control 144">
          <a:extLst>
            <a:ext uri="{FF2B5EF4-FFF2-40B4-BE49-F238E27FC236}">
              <a16:creationId xmlns:a16="http://schemas.microsoft.com/office/drawing/2014/main" id="{00000000-0008-0000-0E00-00001D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7753350"/>
          <a:ext cx="254000" cy="273050"/>
        </a:xfrm>
        <a:prstGeom prst="rect">
          <a:avLst/>
        </a:prstGeom>
        <a:noFill/>
        <a:ln w="9525">
          <a:miter lim="800000"/>
          <a:headEnd/>
          <a:tailEnd/>
        </a:ln>
      </xdr:spPr>
    </xdr:pic>
    <xdr:clientData/>
  </xdr:twoCellAnchor>
  <xdr:twoCellAnchor editAs="oneCell">
    <xdr:from>
      <xdr:col>2</xdr:col>
      <xdr:colOff>0</xdr:colOff>
      <xdr:row>37</xdr:row>
      <xdr:rowOff>0</xdr:rowOff>
    </xdr:from>
    <xdr:to>
      <xdr:col>2</xdr:col>
      <xdr:colOff>152400</xdr:colOff>
      <xdr:row>37</xdr:row>
      <xdr:rowOff>152400</xdr:rowOff>
    </xdr:to>
    <xdr:pic>
      <xdr:nvPicPr>
        <xdr:cNvPr id="542" name="Control 145">
          <a:extLst>
            <a:ext uri="{FF2B5EF4-FFF2-40B4-BE49-F238E27FC236}">
              <a16:creationId xmlns:a16="http://schemas.microsoft.com/office/drawing/2014/main" id="{00000000-0008-0000-0E00-00001E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7753350"/>
          <a:ext cx="152400" cy="152400"/>
        </a:xfrm>
        <a:prstGeom prst="rect">
          <a:avLst/>
        </a:prstGeom>
        <a:noFill/>
        <a:ln w="9525">
          <a:miter lim="800000"/>
          <a:headEnd/>
          <a:tailEnd/>
        </a:ln>
      </xdr:spPr>
    </xdr:pic>
    <xdr:clientData/>
  </xdr:twoCellAnchor>
  <xdr:twoCellAnchor editAs="oneCell">
    <xdr:from>
      <xdr:col>2</xdr:col>
      <xdr:colOff>0</xdr:colOff>
      <xdr:row>37</xdr:row>
      <xdr:rowOff>0</xdr:rowOff>
    </xdr:from>
    <xdr:to>
      <xdr:col>2</xdr:col>
      <xdr:colOff>152400</xdr:colOff>
      <xdr:row>37</xdr:row>
      <xdr:rowOff>152400</xdr:rowOff>
    </xdr:to>
    <xdr:pic>
      <xdr:nvPicPr>
        <xdr:cNvPr id="543" name="Control 146">
          <a:extLst>
            <a:ext uri="{FF2B5EF4-FFF2-40B4-BE49-F238E27FC236}">
              <a16:creationId xmlns:a16="http://schemas.microsoft.com/office/drawing/2014/main" id="{00000000-0008-0000-0E00-00001F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7753350"/>
          <a:ext cx="152400" cy="152400"/>
        </a:xfrm>
        <a:prstGeom prst="rect">
          <a:avLst/>
        </a:prstGeom>
        <a:noFill/>
        <a:ln w="9525">
          <a:miter lim="800000"/>
          <a:headEnd/>
          <a:tailEnd/>
        </a:ln>
      </xdr:spPr>
    </xdr:pic>
    <xdr:clientData/>
  </xdr:twoCellAnchor>
  <xdr:twoCellAnchor editAs="oneCell">
    <xdr:from>
      <xdr:col>0</xdr:col>
      <xdr:colOff>0</xdr:colOff>
      <xdr:row>38</xdr:row>
      <xdr:rowOff>0</xdr:rowOff>
    </xdr:from>
    <xdr:to>
      <xdr:col>0</xdr:col>
      <xdr:colOff>139700</xdr:colOff>
      <xdr:row>38</xdr:row>
      <xdr:rowOff>139700</xdr:rowOff>
    </xdr:to>
    <xdr:pic>
      <xdr:nvPicPr>
        <xdr:cNvPr id="544" name="Control 147">
          <a:extLst>
            <a:ext uri="{FF2B5EF4-FFF2-40B4-BE49-F238E27FC236}">
              <a16:creationId xmlns:a16="http://schemas.microsoft.com/office/drawing/2014/main" id="{00000000-0008-0000-0E00-000020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7962900"/>
          <a:ext cx="139700" cy="139700"/>
        </a:xfrm>
        <a:prstGeom prst="rect">
          <a:avLst/>
        </a:prstGeom>
        <a:noFill/>
        <a:ln w="9525">
          <a:miter lim="800000"/>
          <a:headEnd/>
          <a:tailEnd/>
        </a:ln>
      </xdr:spPr>
    </xdr:pic>
    <xdr:clientData/>
  </xdr:twoCellAnchor>
  <xdr:twoCellAnchor editAs="oneCell">
    <xdr:from>
      <xdr:col>2</xdr:col>
      <xdr:colOff>0</xdr:colOff>
      <xdr:row>38</xdr:row>
      <xdr:rowOff>0</xdr:rowOff>
    </xdr:from>
    <xdr:to>
      <xdr:col>2</xdr:col>
      <xdr:colOff>254000</xdr:colOff>
      <xdr:row>39</xdr:row>
      <xdr:rowOff>82550</xdr:rowOff>
    </xdr:to>
    <xdr:pic>
      <xdr:nvPicPr>
        <xdr:cNvPr id="545" name="Control 148">
          <a:extLst>
            <a:ext uri="{FF2B5EF4-FFF2-40B4-BE49-F238E27FC236}">
              <a16:creationId xmlns:a16="http://schemas.microsoft.com/office/drawing/2014/main" id="{00000000-0008-0000-0E00-000021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7962900"/>
          <a:ext cx="254000" cy="273050"/>
        </a:xfrm>
        <a:prstGeom prst="rect">
          <a:avLst/>
        </a:prstGeom>
        <a:noFill/>
        <a:ln w="9525">
          <a:miter lim="800000"/>
          <a:headEnd/>
          <a:tailEnd/>
        </a:ln>
      </xdr:spPr>
    </xdr:pic>
    <xdr:clientData/>
  </xdr:twoCellAnchor>
  <xdr:twoCellAnchor editAs="oneCell">
    <xdr:from>
      <xdr:col>2</xdr:col>
      <xdr:colOff>0</xdr:colOff>
      <xdr:row>38</xdr:row>
      <xdr:rowOff>0</xdr:rowOff>
    </xdr:from>
    <xdr:to>
      <xdr:col>2</xdr:col>
      <xdr:colOff>152400</xdr:colOff>
      <xdr:row>38</xdr:row>
      <xdr:rowOff>152400</xdr:rowOff>
    </xdr:to>
    <xdr:pic>
      <xdr:nvPicPr>
        <xdr:cNvPr id="546" name="Control 149">
          <a:extLst>
            <a:ext uri="{FF2B5EF4-FFF2-40B4-BE49-F238E27FC236}">
              <a16:creationId xmlns:a16="http://schemas.microsoft.com/office/drawing/2014/main" id="{00000000-0008-0000-0E00-000022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7962900"/>
          <a:ext cx="152400" cy="152400"/>
        </a:xfrm>
        <a:prstGeom prst="rect">
          <a:avLst/>
        </a:prstGeom>
        <a:noFill/>
        <a:ln w="9525">
          <a:miter lim="800000"/>
          <a:headEnd/>
          <a:tailEnd/>
        </a:ln>
      </xdr:spPr>
    </xdr:pic>
    <xdr:clientData/>
  </xdr:twoCellAnchor>
  <xdr:twoCellAnchor editAs="oneCell">
    <xdr:from>
      <xdr:col>2</xdr:col>
      <xdr:colOff>0</xdr:colOff>
      <xdr:row>38</xdr:row>
      <xdr:rowOff>0</xdr:rowOff>
    </xdr:from>
    <xdr:to>
      <xdr:col>2</xdr:col>
      <xdr:colOff>152400</xdr:colOff>
      <xdr:row>38</xdr:row>
      <xdr:rowOff>152400</xdr:rowOff>
    </xdr:to>
    <xdr:pic>
      <xdr:nvPicPr>
        <xdr:cNvPr id="547" name="Control 150">
          <a:extLst>
            <a:ext uri="{FF2B5EF4-FFF2-40B4-BE49-F238E27FC236}">
              <a16:creationId xmlns:a16="http://schemas.microsoft.com/office/drawing/2014/main" id="{00000000-0008-0000-0E00-000023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7962900"/>
          <a:ext cx="152400" cy="152400"/>
        </a:xfrm>
        <a:prstGeom prst="rect">
          <a:avLst/>
        </a:prstGeom>
        <a:noFill/>
        <a:ln w="9525">
          <a:miter lim="800000"/>
          <a:headEnd/>
          <a:tailEnd/>
        </a:ln>
      </xdr:spPr>
    </xdr:pic>
    <xdr:clientData/>
  </xdr:twoCellAnchor>
  <xdr:twoCellAnchor editAs="oneCell">
    <xdr:from>
      <xdr:col>0</xdr:col>
      <xdr:colOff>0</xdr:colOff>
      <xdr:row>39</xdr:row>
      <xdr:rowOff>0</xdr:rowOff>
    </xdr:from>
    <xdr:to>
      <xdr:col>0</xdr:col>
      <xdr:colOff>139700</xdr:colOff>
      <xdr:row>39</xdr:row>
      <xdr:rowOff>139700</xdr:rowOff>
    </xdr:to>
    <xdr:pic>
      <xdr:nvPicPr>
        <xdr:cNvPr id="548" name="Control 151">
          <a:extLst>
            <a:ext uri="{FF2B5EF4-FFF2-40B4-BE49-F238E27FC236}">
              <a16:creationId xmlns:a16="http://schemas.microsoft.com/office/drawing/2014/main" id="{00000000-0008-0000-0E00-000024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172450"/>
          <a:ext cx="139700" cy="139700"/>
        </a:xfrm>
        <a:prstGeom prst="rect">
          <a:avLst/>
        </a:prstGeom>
        <a:noFill/>
        <a:ln w="9525">
          <a:miter lim="800000"/>
          <a:headEnd/>
          <a:tailEnd/>
        </a:ln>
      </xdr:spPr>
    </xdr:pic>
    <xdr:clientData/>
  </xdr:twoCellAnchor>
  <xdr:twoCellAnchor editAs="oneCell">
    <xdr:from>
      <xdr:col>2</xdr:col>
      <xdr:colOff>0</xdr:colOff>
      <xdr:row>39</xdr:row>
      <xdr:rowOff>0</xdr:rowOff>
    </xdr:from>
    <xdr:to>
      <xdr:col>2</xdr:col>
      <xdr:colOff>254000</xdr:colOff>
      <xdr:row>40</xdr:row>
      <xdr:rowOff>82550</xdr:rowOff>
    </xdr:to>
    <xdr:pic>
      <xdr:nvPicPr>
        <xdr:cNvPr id="549" name="Control 152">
          <a:extLst>
            <a:ext uri="{FF2B5EF4-FFF2-40B4-BE49-F238E27FC236}">
              <a16:creationId xmlns:a16="http://schemas.microsoft.com/office/drawing/2014/main" id="{00000000-0008-0000-0E00-000025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8172450"/>
          <a:ext cx="254000" cy="273050"/>
        </a:xfrm>
        <a:prstGeom prst="rect">
          <a:avLst/>
        </a:prstGeom>
        <a:noFill/>
        <a:ln w="9525">
          <a:miter lim="800000"/>
          <a:headEnd/>
          <a:tailEnd/>
        </a:ln>
      </xdr:spPr>
    </xdr:pic>
    <xdr:clientData/>
  </xdr:twoCellAnchor>
  <xdr:twoCellAnchor editAs="oneCell">
    <xdr:from>
      <xdr:col>2</xdr:col>
      <xdr:colOff>0</xdr:colOff>
      <xdr:row>39</xdr:row>
      <xdr:rowOff>0</xdr:rowOff>
    </xdr:from>
    <xdr:to>
      <xdr:col>2</xdr:col>
      <xdr:colOff>152400</xdr:colOff>
      <xdr:row>39</xdr:row>
      <xdr:rowOff>152400</xdr:rowOff>
    </xdr:to>
    <xdr:pic>
      <xdr:nvPicPr>
        <xdr:cNvPr id="550" name="Control 153">
          <a:extLst>
            <a:ext uri="{FF2B5EF4-FFF2-40B4-BE49-F238E27FC236}">
              <a16:creationId xmlns:a16="http://schemas.microsoft.com/office/drawing/2014/main" id="{00000000-0008-0000-0E00-000026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8172450"/>
          <a:ext cx="152400" cy="152400"/>
        </a:xfrm>
        <a:prstGeom prst="rect">
          <a:avLst/>
        </a:prstGeom>
        <a:noFill/>
        <a:ln w="9525">
          <a:miter lim="800000"/>
          <a:headEnd/>
          <a:tailEnd/>
        </a:ln>
      </xdr:spPr>
    </xdr:pic>
    <xdr:clientData/>
  </xdr:twoCellAnchor>
  <xdr:twoCellAnchor editAs="oneCell">
    <xdr:from>
      <xdr:col>2</xdr:col>
      <xdr:colOff>0</xdr:colOff>
      <xdr:row>39</xdr:row>
      <xdr:rowOff>0</xdr:rowOff>
    </xdr:from>
    <xdr:to>
      <xdr:col>2</xdr:col>
      <xdr:colOff>152400</xdr:colOff>
      <xdr:row>39</xdr:row>
      <xdr:rowOff>152400</xdr:rowOff>
    </xdr:to>
    <xdr:pic>
      <xdr:nvPicPr>
        <xdr:cNvPr id="551" name="Control 154">
          <a:extLst>
            <a:ext uri="{FF2B5EF4-FFF2-40B4-BE49-F238E27FC236}">
              <a16:creationId xmlns:a16="http://schemas.microsoft.com/office/drawing/2014/main" id="{00000000-0008-0000-0E00-000027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8172450"/>
          <a:ext cx="152400" cy="152400"/>
        </a:xfrm>
        <a:prstGeom prst="rect">
          <a:avLst/>
        </a:prstGeom>
        <a:noFill/>
        <a:ln w="9525">
          <a:miter lim="800000"/>
          <a:headEnd/>
          <a:tailEnd/>
        </a:ln>
      </xdr:spPr>
    </xdr:pic>
    <xdr:clientData/>
  </xdr:twoCellAnchor>
  <xdr:twoCellAnchor editAs="oneCell">
    <xdr:from>
      <xdr:col>0</xdr:col>
      <xdr:colOff>0</xdr:colOff>
      <xdr:row>40</xdr:row>
      <xdr:rowOff>0</xdr:rowOff>
    </xdr:from>
    <xdr:to>
      <xdr:col>0</xdr:col>
      <xdr:colOff>139700</xdr:colOff>
      <xdr:row>40</xdr:row>
      <xdr:rowOff>139700</xdr:rowOff>
    </xdr:to>
    <xdr:pic>
      <xdr:nvPicPr>
        <xdr:cNvPr id="552" name="Control 155">
          <a:extLst>
            <a:ext uri="{FF2B5EF4-FFF2-40B4-BE49-F238E27FC236}">
              <a16:creationId xmlns:a16="http://schemas.microsoft.com/office/drawing/2014/main" id="{00000000-0008-0000-0E00-000028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382000"/>
          <a:ext cx="139700" cy="139700"/>
        </a:xfrm>
        <a:prstGeom prst="rect">
          <a:avLst/>
        </a:prstGeom>
        <a:noFill/>
        <a:ln w="9525">
          <a:miter lim="800000"/>
          <a:headEnd/>
          <a:tailEnd/>
        </a:ln>
      </xdr:spPr>
    </xdr:pic>
    <xdr:clientData/>
  </xdr:twoCellAnchor>
  <xdr:twoCellAnchor editAs="oneCell">
    <xdr:from>
      <xdr:col>2</xdr:col>
      <xdr:colOff>0</xdr:colOff>
      <xdr:row>40</xdr:row>
      <xdr:rowOff>0</xdr:rowOff>
    </xdr:from>
    <xdr:to>
      <xdr:col>2</xdr:col>
      <xdr:colOff>254000</xdr:colOff>
      <xdr:row>41</xdr:row>
      <xdr:rowOff>82550</xdr:rowOff>
    </xdr:to>
    <xdr:pic>
      <xdr:nvPicPr>
        <xdr:cNvPr id="553" name="Control 156">
          <a:extLst>
            <a:ext uri="{FF2B5EF4-FFF2-40B4-BE49-F238E27FC236}">
              <a16:creationId xmlns:a16="http://schemas.microsoft.com/office/drawing/2014/main" id="{00000000-0008-0000-0E00-000029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8382000"/>
          <a:ext cx="254000" cy="273050"/>
        </a:xfrm>
        <a:prstGeom prst="rect">
          <a:avLst/>
        </a:prstGeom>
        <a:noFill/>
        <a:ln w="9525">
          <a:miter lim="800000"/>
          <a:headEnd/>
          <a:tailEnd/>
        </a:ln>
      </xdr:spPr>
    </xdr:pic>
    <xdr:clientData/>
  </xdr:twoCellAnchor>
  <xdr:twoCellAnchor editAs="oneCell">
    <xdr:from>
      <xdr:col>2</xdr:col>
      <xdr:colOff>0</xdr:colOff>
      <xdr:row>40</xdr:row>
      <xdr:rowOff>0</xdr:rowOff>
    </xdr:from>
    <xdr:to>
      <xdr:col>2</xdr:col>
      <xdr:colOff>152400</xdr:colOff>
      <xdr:row>40</xdr:row>
      <xdr:rowOff>152400</xdr:rowOff>
    </xdr:to>
    <xdr:pic>
      <xdr:nvPicPr>
        <xdr:cNvPr id="554" name="Control 157">
          <a:extLst>
            <a:ext uri="{FF2B5EF4-FFF2-40B4-BE49-F238E27FC236}">
              <a16:creationId xmlns:a16="http://schemas.microsoft.com/office/drawing/2014/main" id="{00000000-0008-0000-0E00-00002A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8382000"/>
          <a:ext cx="152400" cy="152400"/>
        </a:xfrm>
        <a:prstGeom prst="rect">
          <a:avLst/>
        </a:prstGeom>
        <a:noFill/>
        <a:ln w="9525">
          <a:miter lim="800000"/>
          <a:headEnd/>
          <a:tailEnd/>
        </a:ln>
      </xdr:spPr>
    </xdr:pic>
    <xdr:clientData/>
  </xdr:twoCellAnchor>
  <xdr:twoCellAnchor editAs="oneCell">
    <xdr:from>
      <xdr:col>2</xdr:col>
      <xdr:colOff>0</xdr:colOff>
      <xdr:row>41</xdr:row>
      <xdr:rowOff>0</xdr:rowOff>
    </xdr:from>
    <xdr:to>
      <xdr:col>2</xdr:col>
      <xdr:colOff>254000</xdr:colOff>
      <xdr:row>42</xdr:row>
      <xdr:rowOff>82550</xdr:rowOff>
    </xdr:to>
    <xdr:pic>
      <xdr:nvPicPr>
        <xdr:cNvPr id="555" name="Control 158">
          <a:extLst>
            <a:ext uri="{FF2B5EF4-FFF2-40B4-BE49-F238E27FC236}">
              <a16:creationId xmlns:a16="http://schemas.microsoft.com/office/drawing/2014/main" id="{00000000-0008-0000-0E00-00002B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8591550"/>
          <a:ext cx="254000" cy="273050"/>
        </a:xfrm>
        <a:prstGeom prst="rect">
          <a:avLst/>
        </a:prstGeom>
        <a:noFill/>
        <a:ln w="9525">
          <a:miter lim="800000"/>
          <a:headEnd/>
          <a:tailEnd/>
        </a:ln>
      </xdr:spPr>
    </xdr:pic>
    <xdr:clientData/>
  </xdr:twoCellAnchor>
  <xdr:twoCellAnchor editAs="oneCell">
    <xdr:from>
      <xdr:col>2</xdr:col>
      <xdr:colOff>0</xdr:colOff>
      <xdr:row>41</xdr:row>
      <xdr:rowOff>0</xdr:rowOff>
    </xdr:from>
    <xdr:to>
      <xdr:col>2</xdr:col>
      <xdr:colOff>152400</xdr:colOff>
      <xdr:row>41</xdr:row>
      <xdr:rowOff>152400</xdr:rowOff>
    </xdr:to>
    <xdr:pic>
      <xdr:nvPicPr>
        <xdr:cNvPr id="556" name="Control 159">
          <a:extLst>
            <a:ext uri="{FF2B5EF4-FFF2-40B4-BE49-F238E27FC236}">
              <a16:creationId xmlns:a16="http://schemas.microsoft.com/office/drawing/2014/main" id="{00000000-0008-0000-0E00-00002C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8591550"/>
          <a:ext cx="152400" cy="152400"/>
        </a:xfrm>
        <a:prstGeom prst="rect">
          <a:avLst/>
        </a:prstGeom>
        <a:noFill/>
        <a:ln w="9525">
          <a:miter lim="800000"/>
          <a:headEnd/>
          <a:tailEnd/>
        </a:ln>
      </xdr:spPr>
    </xdr:pic>
    <xdr:clientData/>
  </xdr:twoCellAnchor>
  <xdr:twoCellAnchor editAs="oneCell">
    <xdr:from>
      <xdr:col>2</xdr:col>
      <xdr:colOff>0</xdr:colOff>
      <xdr:row>41</xdr:row>
      <xdr:rowOff>0</xdr:rowOff>
    </xdr:from>
    <xdr:to>
      <xdr:col>2</xdr:col>
      <xdr:colOff>152400</xdr:colOff>
      <xdr:row>41</xdr:row>
      <xdr:rowOff>152400</xdr:rowOff>
    </xdr:to>
    <xdr:pic>
      <xdr:nvPicPr>
        <xdr:cNvPr id="557" name="Control 160">
          <a:extLst>
            <a:ext uri="{FF2B5EF4-FFF2-40B4-BE49-F238E27FC236}">
              <a16:creationId xmlns:a16="http://schemas.microsoft.com/office/drawing/2014/main" id="{00000000-0008-0000-0E00-00002D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8591550"/>
          <a:ext cx="152400" cy="152400"/>
        </a:xfrm>
        <a:prstGeom prst="rect">
          <a:avLst/>
        </a:prstGeom>
        <a:noFill/>
        <a:ln w="9525">
          <a:miter lim="800000"/>
          <a:headEnd/>
          <a:tailEnd/>
        </a:ln>
      </xdr:spPr>
    </xdr:pic>
    <xdr:clientData/>
  </xdr:twoCellAnchor>
  <xdr:twoCellAnchor editAs="oneCell">
    <xdr:from>
      <xdr:col>0</xdr:col>
      <xdr:colOff>0</xdr:colOff>
      <xdr:row>42</xdr:row>
      <xdr:rowOff>0</xdr:rowOff>
    </xdr:from>
    <xdr:to>
      <xdr:col>0</xdr:col>
      <xdr:colOff>139700</xdr:colOff>
      <xdr:row>42</xdr:row>
      <xdr:rowOff>139700</xdr:rowOff>
    </xdr:to>
    <xdr:pic>
      <xdr:nvPicPr>
        <xdr:cNvPr id="558" name="Control 161">
          <a:extLst>
            <a:ext uri="{FF2B5EF4-FFF2-40B4-BE49-F238E27FC236}">
              <a16:creationId xmlns:a16="http://schemas.microsoft.com/office/drawing/2014/main" id="{00000000-0008-0000-0E00-00002E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801100"/>
          <a:ext cx="139700" cy="139700"/>
        </a:xfrm>
        <a:prstGeom prst="rect">
          <a:avLst/>
        </a:prstGeom>
        <a:noFill/>
        <a:ln w="9525">
          <a:miter lim="800000"/>
          <a:headEnd/>
          <a:tailEnd/>
        </a:ln>
      </xdr:spPr>
    </xdr:pic>
    <xdr:clientData/>
  </xdr:twoCellAnchor>
  <xdr:twoCellAnchor editAs="oneCell">
    <xdr:from>
      <xdr:col>2</xdr:col>
      <xdr:colOff>0</xdr:colOff>
      <xdr:row>42</xdr:row>
      <xdr:rowOff>0</xdr:rowOff>
    </xdr:from>
    <xdr:to>
      <xdr:col>2</xdr:col>
      <xdr:colOff>254000</xdr:colOff>
      <xdr:row>43</xdr:row>
      <xdr:rowOff>82550</xdr:rowOff>
    </xdr:to>
    <xdr:pic>
      <xdr:nvPicPr>
        <xdr:cNvPr id="559" name="Control 162">
          <a:extLst>
            <a:ext uri="{FF2B5EF4-FFF2-40B4-BE49-F238E27FC236}">
              <a16:creationId xmlns:a16="http://schemas.microsoft.com/office/drawing/2014/main" id="{00000000-0008-0000-0E00-00002F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8801100"/>
          <a:ext cx="254000" cy="273050"/>
        </a:xfrm>
        <a:prstGeom prst="rect">
          <a:avLst/>
        </a:prstGeom>
        <a:noFill/>
        <a:ln w="9525">
          <a:miter lim="800000"/>
          <a:headEnd/>
          <a:tailEnd/>
        </a:ln>
      </xdr:spPr>
    </xdr:pic>
    <xdr:clientData/>
  </xdr:twoCellAnchor>
  <xdr:twoCellAnchor editAs="oneCell">
    <xdr:from>
      <xdr:col>2</xdr:col>
      <xdr:colOff>0</xdr:colOff>
      <xdr:row>42</xdr:row>
      <xdr:rowOff>0</xdr:rowOff>
    </xdr:from>
    <xdr:to>
      <xdr:col>2</xdr:col>
      <xdr:colOff>152400</xdr:colOff>
      <xdr:row>42</xdr:row>
      <xdr:rowOff>152400</xdr:rowOff>
    </xdr:to>
    <xdr:pic>
      <xdr:nvPicPr>
        <xdr:cNvPr id="560" name="Control 163">
          <a:extLst>
            <a:ext uri="{FF2B5EF4-FFF2-40B4-BE49-F238E27FC236}">
              <a16:creationId xmlns:a16="http://schemas.microsoft.com/office/drawing/2014/main" id="{00000000-0008-0000-0E00-000030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8801100"/>
          <a:ext cx="152400" cy="152400"/>
        </a:xfrm>
        <a:prstGeom prst="rect">
          <a:avLst/>
        </a:prstGeom>
        <a:noFill/>
        <a:ln w="9525">
          <a:miter lim="800000"/>
          <a:headEnd/>
          <a:tailEnd/>
        </a:ln>
      </xdr:spPr>
    </xdr:pic>
    <xdr:clientData/>
  </xdr:twoCellAnchor>
  <xdr:twoCellAnchor editAs="oneCell">
    <xdr:from>
      <xdr:col>2</xdr:col>
      <xdr:colOff>0</xdr:colOff>
      <xdr:row>42</xdr:row>
      <xdr:rowOff>0</xdr:rowOff>
    </xdr:from>
    <xdr:to>
      <xdr:col>2</xdr:col>
      <xdr:colOff>152400</xdr:colOff>
      <xdr:row>42</xdr:row>
      <xdr:rowOff>152400</xdr:rowOff>
    </xdr:to>
    <xdr:pic>
      <xdr:nvPicPr>
        <xdr:cNvPr id="561" name="Control 164">
          <a:extLst>
            <a:ext uri="{FF2B5EF4-FFF2-40B4-BE49-F238E27FC236}">
              <a16:creationId xmlns:a16="http://schemas.microsoft.com/office/drawing/2014/main" id="{00000000-0008-0000-0E00-000031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8801100"/>
          <a:ext cx="152400" cy="152400"/>
        </a:xfrm>
        <a:prstGeom prst="rect">
          <a:avLst/>
        </a:prstGeom>
        <a:noFill/>
        <a:ln w="9525">
          <a:miter lim="800000"/>
          <a:headEnd/>
          <a:tailEnd/>
        </a:ln>
      </xdr:spPr>
    </xdr:pic>
    <xdr:clientData/>
  </xdr:twoCellAnchor>
  <xdr:twoCellAnchor editAs="oneCell">
    <xdr:from>
      <xdr:col>0</xdr:col>
      <xdr:colOff>0</xdr:colOff>
      <xdr:row>43</xdr:row>
      <xdr:rowOff>0</xdr:rowOff>
    </xdr:from>
    <xdr:to>
      <xdr:col>0</xdr:col>
      <xdr:colOff>139700</xdr:colOff>
      <xdr:row>43</xdr:row>
      <xdr:rowOff>139700</xdr:rowOff>
    </xdr:to>
    <xdr:pic>
      <xdr:nvPicPr>
        <xdr:cNvPr id="562" name="Control 165">
          <a:extLst>
            <a:ext uri="{FF2B5EF4-FFF2-40B4-BE49-F238E27FC236}">
              <a16:creationId xmlns:a16="http://schemas.microsoft.com/office/drawing/2014/main" id="{00000000-0008-0000-0E00-000032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010650"/>
          <a:ext cx="139700" cy="139700"/>
        </a:xfrm>
        <a:prstGeom prst="rect">
          <a:avLst/>
        </a:prstGeom>
        <a:noFill/>
        <a:ln w="9525">
          <a:miter lim="800000"/>
          <a:headEnd/>
          <a:tailEnd/>
        </a:ln>
      </xdr:spPr>
    </xdr:pic>
    <xdr:clientData/>
  </xdr:twoCellAnchor>
  <xdr:twoCellAnchor editAs="oneCell">
    <xdr:from>
      <xdr:col>2</xdr:col>
      <xdr:colOff>0</xdr:colOff>
      <xdr:row>43</xdr:row>
      <xdr:rowOff>0</xdr:rowOff>
    </xdr:from>
    <xdr:to>
      <xdr:col>2</xdr:col>
      <xdr:colOff>254000</xdr:colOff>
      <xdr:row>44</xdr:row>
      <xdr:rowOff>82550</xdr:rowOff>
    </xdr:to>
    <xdr:pic>
      <xdr:nvPicPr>
        <xdr:cNvPr id="563" name="Control 166">
          <a:extLst>
            <a:ext uri="{FF2B5EF4-FFF2-40B4-BE49-F238E27FC236}">
              <a16:creationId xmlns:a16="http://schemas.microsoft.com/office/drawing/2014/main" id="{00000000-0008-0000-0E00-000033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9010650"/>
          <a:ext cx="254000" cy="273050"/>
        </a:xfrm>
        <a:prstGeom prst="rect">
          <a:avLst/>
        </a:prstGeom>
        <a:noFill/>
        <a:ln w="9525">
          <a:miter lim="800000"/>
          <a:headEnd/>
          <a:tailEnd/>
        </a:ln>
      </xdr:spPr>
    </xdr:pic>
    <xdr:clientData/>
  </xdr:twoCellAnchor>
  <xdr:twoCellAnchor editAs="oneCell">
    <xdr:from>
      <xdr:col>2</xdr:col>
      <xdr:colOff>0</xdr:colOff>
      <xdr:row>43</xdr:row>
      <xdr:rowOff>0</xdr:rowOff>
    </xdr:from>
    <xdr:to>
      <xdr:col>2</xdr:col>
      <xdr:colOff>152400</xdr:colOff>
      <xdr:row>43</xdr:row>
      <xdr:rowOff>152400</xdr:rowOff>
    </xdr:to>
    <xdr:pic>
      <xdr:nvPicPr>
        <xdr:cNvPr id="564" name="Control 167">
          <a:extLst>
            <a:ext uri="{FF2B5EF4-FFF2-40B4-BE49-F238E27FC236}">
              <a16:creationId xmlns:a16="http://schemas.microsoft.com/office/drawing/2014/main" id="{00000000-0008-0000-0E00-000034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9010650"/>
          <a:ext cx="152400" cy="152400"/>
        </a:xfrm>
        <a:prstGeom prst="rect">
          <a:avLst/>
        </a:prstGeom>
        <a:noFill/>
        <a:ln w="9525">
          <a:miter lim="800000"/>
          <a:headEnd/>
          <a:tailEnd/>
        </a:ln>
      </xdr:spPr>
    </xdr:pic>
    <xdr:clientData/>
  </xdr:twoCellAnchor>
  <xdr:twoCellAnchor editAs="oneCell">
    <xdr:from>
      <xdr:col>2</xdr:col>
      <xdr:colOff>0</xdr:colOff>
      <xdr:row>43</xdr:row>
      <xdr:rowOff>0</xdr:rowOff>
    </xdr:from>
    <xdr:to>
      <xdr:col>2</xdr:col>
      <xdr:colOff>152400</xdr:colOff>
      <xdr:row>43</xdr:row>
      <xdr:rowOff>152400</xdr:rowOff>
    </xdr:to>
    <xdr:pic>
      <xdr:nvPicPr>
        <xdr:cNvPr id="565" name="Control 168">
          <a:extLst>
            <a:ext uri="{FF2B5EF4-FFF2-40B4-BE49-F238E27FC236}">
              <a16:creationId xmlns:a16="http://schemas.microsoft.com/office/drawing/2014/main" id="{00000000-0008-0000-0E00-000035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9010650"/>
          <a:ext cx="152400" cy="152400"/>
        </a:xfrm>
        <a:prstGeom prst="rect">
          <a:avLst/>
        </a:prstGeom>
        <a:noFill/>
        <a:ln w="9525">
          <a:miter lim="800000"/>
          <a:headEnd/>
          <a:tailEnd/>
        </a:ln>
      </xdr:spPr>
    </xdr:pic>
    <xdr:clientData/>
  </xdr:twoCellAnchor>
  <xdr:twoCellAnchor editAs="oneCell">
    <xdr:from>
      <xdr:col>0</xdr:col>
      <xdr:colOff>0</xdr:colOff>
      <xdr:row>44</xdr:row>
      <xdr:rowOff>0</xdr:rowOff>
    </xdr:from>
    <xdr:to>
      <xdr:col>0</xdr:col>
      <xdr:colOff>139700</xdr:colOff>
      <xdr:row>44</xdr:row>
      <xdr:rowOff>139700</xdr:rowOff>
    </xdr:to>
    <xdr:pic>
      <xdr:nvPicPr>
        <xdr:cNvPr id="566" name="Control 169">
          <a:extLst>
            <a:ext uri="{FF2B5EF4-FFF2-40B4-BE49-F238E27FC236}">
              <a16:creationId xmlns:a16="http://schemas.microsoft.com/office/drawing/2014/main" id="{00000000-0008-0000-0E00-000036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220200"/>
          <a:ext cx="139700" cy="139700"/>
        </a:xfrm>
        <a:prstGeom prst="rect">
          <a:avLst/>
        </a:prstGeom>
        <a:noFill/>
        <a:ln w="9525">
          <a:miter lim="800000"/>
          <a:headEnd/>
          <a:tailEnd/>
        </a:ln>
      </xdr:spPr>
    </xdr:pic>
    <xdr:clientData/>
  </xdr:twoCellAnchor>
  <xdr:twoCellAnchor editAs="oneCell">
    <xdr:from>
      <xdr:col>2</xdr:col>
      <xdr:colOff>0</xdr:colOff>
      <xdr:row>44</xdr:row>
      <xdr:rowOff>0</xdr:rowOff>
    </xdr:from>
    <xdr:to>
      <xdr:col>2</xdr:col>
      <xdr:colOff>254000</xdr:colOff>
      <xdr:row>45</xdr:row>
      <xdr:rowOff>82550</xdr:rowOff>
    </xdr:to>
    <xdr:pic>
      <xdr:nvPicPr>
        <xdr:cNvPr id="567" name="Control 170">
          <a:extLst>
            <a:ext uri="{FF2B5EF4-FFF2-40B4-BE49-F238E27FC236}">
              <a16:creationId xmlns:a16="http://schemas.microsoft.com/office/drawing/2014/main" id="{00000000-0008-0000-0E00-000037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9220200"/>
          <a:ext cx="254000" cy="273050"/>
        </a:xfrm>
        <a:prstGeom prst="rect">
          <a:avLst/>
        </a:prstGeom>
        <a:noFill/>
        <a:ln w="9525">
          <a:miter lim="800000"/>
          <a:headEnd/>
          <a:tailEnd/>
        </a:ln>
      </xdr:spPr>
    </xdr:pic>
    <xdr:clientData/>
  </xdr:twoCellAnchor>
  <xdr:twoCellAnchor editAs="oneCell">
    <xdr:from>
      <xdr:col>2</xdr:col>
      <xdr:colOff>0</xdr:colOff>
      <xdr:row>44</xdr:row>
      <xdr:rowOff>0</xdr:rowOff>
    </xdr:from>
    <xdr:to>
      <xdr:col>2</xdr:col>
      <xdr:colOff>152400</xdr:colOff>
      <xdr:row>44</xdr:row>
      <xdr:rowOff>152400</xdr:rowOff>
    </xdr:to>
    <xdr:pic>
      <xdr:nvPicPr>
        <xdr:cNvPr id="568" name="Control 171">
          <a:extLst>
            <a:ext uri="{FF2B5EF4-FFF2-40B4-BE49-F238E27FC236}">
              <a16:creationId xmlns:a16="http://schemas.microsoft.com/office/drawing/2014/main" id="{00000000-0008-0000-0E00-000038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9220200"/>
          <a:ext cx="152400" cy="152400"/>
        </a:xfrm>
        <a:prstGeom prst="rect">
          <a:avLst/>
        </a:prstGeom>
        <a:noFill/>
        <a:ln w="9525">
          <a:miter lim="800000"/>
          <a:headEnd/>
          <a:tailEnd/>
        </a:ln>
      </xdr:spPr>
    </xdr:pic>
    <xdr:clientData/>
  </xdr:twoCellAnchor>
  <xdr:twoCellAnchor editAs="oneCell">
    <xdr:from>
      <xdr:col>2</xdr:col>
      <xdr:colOff>0</xdr:colOff>
      <xdr:row>44</xdr:row>
      <xdr:rowOff>0</xdr:rowOff>
    </xdr:from>
    <xdr:to>
      <xdr:col>2</xdr:col>
      <xdr:colOff>152400</xdr:colOff>
      <xdr:row>44</xdr:row>
      <xdr:rowOff>152400</xdr:rowOff>
    </xdr:to>
    <xdr:pic>
      <xdr:nvPicPr>
        <xdr:cNvPr id="569" name="Control 172">
          <a:extLst>
            <a:ext uri="{FF2B5EF4-FFF2-40B4-BE49-F238E27FC236}">
              <a16:creationId xmlns:a16="http://schemas.microsoft.com/office/drawing/2014/main" id="{00000000-0008-0000-0E00-000039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9220200"/>
          <a:ext cx="152400" cy="152400"/>
        </a:xfrm>
        <a:prstGeom prst="rect">
          <a:avLst/>
        </a:prstGeom>
        <a:noFill/>
        <a:ln w="9525">
          <a:miter lim="800000"/>
          <a:headEnd/>
          <a:tailEnd/>
        </a:ln>
      </xdr:spPr>
    </xdr:pic>
    <xdr:clientData/>
  </xdr:twoCellAnchor>
  <xdr:twoCellAnchor editAs="oneCell">
    <xdr:from>
      <xdr:col>0</xdr:col>
      <xdr:colOff>0</xdr:colOff>
      <xdr:row>45</xdr:row>
      <xdr:rowOff>0</xdr:rowOff>
    </xdr:from>
    <xdr:to>
      <xdr:col>0</xdr:col>
      <xdr:colOff>139700</xdr:colOff>
      <xdr:row>45</xdr:row>
      <xdr:rowOff>139700</xdr:rowOff>
    </xdr:to>
    <xdr:pic>
      <xdr:nvPicPr>
        <xdr:cNvPr id="570" name="Control 173">
          <a:extLst>
            <a:ext uri="{FF2B5EF4-FFF2-40B4-BE49-F238E27FC236}">
              <a16:creationId xmlns:a16="http://schemas.microsoft.com/office/drawing/2014/main" id="{00000000-0008-0000-0E00-00003A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429750"/>
          <a:ext cx="139700" cy="139700"/>
        </a:xfrm>
        <a:prstGeom prst="rect">
          <a:avLst/>
        </a:prstGeom>
        <a:noFill/>
        <a:ln w="9525">
          <a:miter lim="800000"/>
          <a:headEnd/>
          <a:tailEnd/>
        </a:ln>
      </xdr:spPr>
    </xdr:pic>
    <xdr:clientData/>
  </xdr:twoCellAnchor>
  <xdr:twoCellAnchor editAs="oneCell">
    <xdr:from>
      <xdr:col>2</xdr:col>
      <xdr:colOff>0</xdr:colOff>
      <xdr:row>45</xdr:row>
      <xdr:rowOff>0</xdr:rowOff>
    </xdr:from>
    <xdr:to>
      <xdr:col>2</xdr:col>
      <xdr:colOff>254000</xdr:colOff>
      <xdr:row>46</xdr:row>
      <xdr:rowOff>82550</xdr:rowOff>
    </xdr:to>
    <xdr:pic>
      <xdr:nvPicPr>
        <xdr:cNvPr id="571" name="Control 174">
          <a:extLst>
            <a:ext uri="{FF2B5EF4-FFF2-40B4-BE49-F238E27FC236}">
              <a16:creationId xmlns:a16="http://schemas.microsoft.com/office/drawing/2014/main" id="{00000000-0008-0000-0E00-00003B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9429750"/>
          <a:ext cx="254000" cy="273050"/>
        </a:xfrm>
        <a:prstGeom prst="rect">
          <a:avLst/>
        </a:prstGeom>
        <a:noFill/>
        <a:ln w="9525">
          <a:miter lim="800000"/>
          <a:headEnd/>
          <a:tailEnd/>
        </a:ln>
      </xdr:spPr>
    </xdr:pic>
    <xdr:clientData/>
  </xdr:twoCellAnchor>
  <xdr:twoCellAnchor editAs="oneCell">
    <xdr:from>
      <xdr:col>2</xdr:col>
      <xdr:colOff>0</xdr:colOff>
      <xdr:row>45</xdr:row>
      <xdr:rowOff>0</xdr:rowOff>
    </xdr:from>
    <xdr:to>
      <xdr:col>2</xdr:col>
      <xdr:colOff>152400</xdr:colOff>
      <xdr:row>45</xdr:row>
      <xdr:rowOff>152400</xdr:rowOff>
    </xdr:to>
    <xdr:pic>
      <xdr:nvPicPr>
        <xdr:cNvPr id="572" name="Control 175">
          <a:extLst>
            <a:ext uri="{FF2B5EF4-FFF2-40B4-BE49-F238E27FC236}">
              <a16:creationId xmlns:a16="http://schemas.microsoft.com/office/drawing/2014/main" id="{00000000-0008-0000-0E00-00003C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9429750"/>
          <a:ext cx="152400" cy="152400"/>
        </a:xfrm>
        <a:prstGeom prst="rect">
          <a:avLst/>
        </a:prstGeom>
        <a:noFill/>
        <a:ln w="9525">
          <a:miter lim="800000"/>
          <a:headEnd/>
          <a:tailEnd/>
        </a:ln>
      </xdr:spPr>
    </xdr:pic>
    <xdr:clientData/>
  </xdr:twoCellAnchor>
  <xdr:twoCellAnchor editAs="oneCell">
    <xdr:from>
      <xdr:col>2</xdr:col>
      <xdr:colOff>0</xdr:colOff>
      <xdr:row>45</xdr:row>
      <xdr:rowOff>0</xdr:rowOff>
    </xdr:from>
    <xdr:to>
      <xdr:col>2</xdr:col>
      <xdr:colOff>152400</xdr:colOff>
      <xdr:row>45</xdr:row>
      <xdr:rowOff>152400</xdr:rowOff>
    </xdr:to>
    <xdr:pic>
      <xdr:nvPicPr>
        <xdr:cNvPr id="573" name="Control 176">
          <a:extLst>
            <a:ext uri="{FF2B5EF4-FFF2-40B4-BE49-F238E27FC236}">
              <a16:creationId xmlns:a16="http://schemas.microsoft.com/office/drawing/2014/main" id="{00000000-0008-0000-0E00-00003D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9429750"/>
          <a:ext cx="152400" cy="152400"/>
        </a:xfrm>
        <a:prstGeom prst="rect">
          <a:avLst/>
        </a:prstGeom>
        <a:noFill/>
        <a:ln w="9525">
          <a:miter lim="800000"/>
          <a:headEnd/>
          <a:tailEnd/>
        </a:ln>
      </xdr:spPr>
    </xdr:pic>
    <xdr:clientData/>
  </xdr:twoCellAnchor>
  <xdr:twoCellAnchor editAs="oneCell">
    <xdr:from>
      <xdr:col>0</xdr:col>
      <xdr:colOff>0</xdr:colOff>
      <xdr:row>46</xdr:row>
      <xdr:rowOff>0</xdr:rowOff>
    </xdr:from>
    <xdr:to>
      <xdr:col>0</xdr:col>
      <xdr:colOff>139700</xdr:colOff>
      <xdr:row>46</xdr:row>
      <xdr:rowOff>139700</xdr:rowOff>
    </xdr:to>
    <xdr:pic>
      <xdr:nvPicPr>
        <xdr:cNvPr id="574" name="Control 177">
          <a:extLst>
            <a:ext uri="{FF2B5EF4-FFF2-40B4-BE49-F238E27FC236}">
              <a16:creationId xmlns:a16="http://schemas.microsoft.com/office/drawing/2014/main" id="{00000000-0008-0000-0E00-00003E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639300"/>
          <a:ext cx="139700" cy="139700"/>
        </a:xfrm>
        <a:prstGeom prst="rect">
          <a:avLst/>
        </a:prstGeom>
        <a:noFill/>
        <a:ln w="9525">
          <a:miter lim="800000"/>
          <a:headEnd/>
          <a:tailEnd/>
        </a:ln>
      </xdr:spPr>
    </xdr:pic>
    <xdr:clientData/>
  </xdr:twoCellAnchor>
  <xdr:twoCellAnchor editAs="oneCell">
    <xdr:from>
      <xdr:col>2</xdr:col>
      <xdr:colOff>0</xdr:colOff>
      <xdr:row>46</xdr:row>
      <xdr:rowOff>0</xdr:rowOff>
    </xdr:from>
    <xdr:to>
      <xdr:col>2</xdr:col>
      <xdr:colOff>254000</xdr:colOff>
      <xdr:row>47</xdr:row>
      <xdr:rowOff>82550</xdr:rowOff>
    </xdr:to>
    <xdr:pic>
      <xdr:nvPicPr>
        <xdr:cNvPr id="575" name="Control 178">
          <a:extLst>
            <a:ext uri="{FF2B5EF4-FFF2-40B4-BE49-F238E27FC236}">
              <a16:creationId xmlns:a16="http://schemas.microsoft.com/office/drawing/2014/main" id="{00000000-0008-0000-0E00-00003F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9639300"/>
          <a:ext cx="254000" cy="273050"/>
        </a:xfrm>
        <a:prstGeom prst="rect">
          <a:avLst/>
        </a:prstGeom>
        <a:noFill/>
        <a:ln w="9525">
          <a:miter lim="800000"/>
          <a:headEnd/>
          <a:tailEnd/>
        </a:ln>
      </xdr:spPr>
    </xdr:pic>
    <xdr:clientData/>
  </xdr:twoCellAnchor>
  <xdr:twoCellAnchor editAs="oneCell">
    <xdr:from>
      <xdr:col>2</xdr:col>
      <xdr:colOff>0</xdr:colOff>
      <xdr:row>46</xdr:row>
      <xdr:rowOff>0</xdr:rowOff>
    </xdr:from>
    <xdr:to>
      <xdr:col>2</xdr:col>
      <xdr:colOff>152400</xdr:colOff>
      <xdr:row>46</xdr:row>
      <xdr:rowOff>152400</xdr:rowOff>
    </xdr:to>
    <xdr:pic>
      <xdr:nvPicPr>
        <xdr:cNvPr id="576" name="Control 179">
          <a:extLst>
            <a:ext uri="{FF2B5EF4-FFF2-40B4-BE49-F238E27FC236}">
              <a16:creationId xmlns:a16="http://schemas.microsoft.com/office/drawing/2014/main" id="{00000000-0008-0000-0E00-000040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9639300"/>
          <a:ext cx="152400" cy="152400"/>
        </a:xfrm>
        <a:prstGeom prst="rect">
          <a:avLst/>
        </a:prstGeom>
        <a:noFill/>
        <a:ln w="9525">
          <a:miter lim="800000"/>
          <a:headEnd/>
          <a:tailEnd/>
        </a:ln>
      </xdr:spPr>
    </xdr:pic>
    <xdr:clientData/>
  </xdr:twoCellAnchor>
  <xdr:twoCellAnchor editAs="oneCell">
    <xdr:from>
      <xdr:col>2</xdr:col>
      <xdr:colOff>0</xdr:colOff>
      <xdr:row>46</xdr:row>
      <xdr:rowOff>0</xdr:rowOff>
    </xdr:from>
    <xdr:to>
      <xdr:col>2</xdr:col>
      <xdr:colOff>152400</xdr:colOff>
      <xdr:row>46</xdr:row>
      <xdr:rowOff>152400</xdr:rowOff>
    </xdr:to>
    <xdr:pic>
      <xdr:nvPicPr>
        <xdr:cNvPr id="577" name="Control 180">
          <a:extLst>
            <a:ext uri="{FF2B5EF4-FFF2-40B4-BE49-F238E27FC236}">
              <a16:creationId xmlns:a16="http://schemas.microsoft.com/office/drawing/2014/main" id="{00000000-0008-0000-0E00-000041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9639300"/>
          <a:ext cx="152400" cy="152400"/>
        </a:xfrm>
        <a:prstGeom prst="rect">
          <a:avLst/>
        </a:prstGeom>
        <a:noFill/>
        <a:ln w="9525">
          <a:miter lim="800000"/>
          <a:headEnd/>
          <a:tailEnd/>
        </a:ln>
      </xdr:spPr>
    </xdr:pic>
    <xdr:clientData/>
  </xdr:twoCellAnchor>
  <xdr:twoCellAnchor editAs="oneCell">
    <xdr:from>
      <xdr:col>0</xdr:col>
      <xdr:colOff>0</xdr:colOff>
      <xdr:row>47</xdr:row>
      <xdr:rowOff>0</xdr:rowOff>
    </xdr:from>
    <xdr:to>
      <xdr:col>0</xdr:col>
      <xdr:colOff>139700</xdr:colOff>
      <xdr:row>47</xdr:row>
      <xdr:rowOff>139700</xdr:rowOff>
    </xdr:to>
    <xdr:pic>
      <xdr:nvPicPr>
        <xdr:cNvPr id="578" name="Control 181">
          <a:extLst>
            <a:ext uri="{FF2B5EF4-FFF2-40B4-BE49-F238E27FC236}">
              <a16:creationId xmlns:a16="http://schemas.microsoft.com/office/drawing/2014/main" id="{00000000-0008-0000-0E00-000042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9848850"/>
          <a:ext cx="139700" cy="139700"/>
        </a:xfrm>
        <a:prstGeom prst="rect">
          <a:avLst/>
        </a:prstGeom>
        <a:noFill/>
        <a:ln w="9525">
          <a:miter lim="800000"/>
          <a:headEnd/>
          <a:tailEnd/>
        </a:ln>
      </xdr:spPr>
    </xdr:pic>
    <xdr:clientData/>
  </xdr:twoCellAnchor>
  <xdr:twoCellAnchor editAs="oneCell">
    <xdr:from>
      <xdr:col>2</xdr:col>
      <xdr:colOff>0</xdr:colOff>
      <xdr:row>47</xdr:row>
      <xdr:rowOff>0</xdr:rowOff>
    </xdr:from>
    <xdr:to>
      <xdr:col>2</xdr:col>
      <xdr:colOff>254000</xdr:colOff>
      <xdr:row>48</xdr:row>
      <xdr:rowOff>82550</xdr:rowOff>
    </xdr:to>
    <xdr:pic>
      <xdr:nvPicPr>
        <xdr:cNvPr id="579" name="Control 182">
          <a:extLst>
            <a:ext uri="{FF2B5EF4-FFF2-40B4-BE49-F238E27FC236}">
              <a16:creationId xmlns:a16="http://schemas.microsoft.com/office/drawing/2014/main" id="{00000000-0008-0000-0E00-000043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9848850"/>
          <a:ext cx="254000" cy="273050"/>
        </a:xfrm>
        <a:prstGeom prst="rect">
          <a:avLst/>
        </a:prstGeom>
        <a:noFill/>
        <a:ln w="9525">
          <a:miter lim="800000"/>
          <a:headEnd/>
          <a:tailEnd/>
        </a:ln>
      </xdr:spPr>
    </xdr:pic>
    <xdr:clientData/>
  </xdr:twoCellAnchor>
  <xdr:twoCellAnchor editAs="oneCell">
    <xdr:from>
      <xdr:col>2</xdr:col>
      <xdr:colOff>0</xdr:colOff>
      <xdr:row>47</xdr:row>
      <xdr:rowOff>0</xdr:rowOff>
    </xdr:from>
    <xdr:to>
      <xdr:col>2</xdr:col>
      <xdr:colOff>152400</xdr:colOff>
      <xdr:row>47</xdr:row>
      <xdr:rowOff>152400</xdr:rowOff>
    </xdr:to>
    <xdr:pic>
      <xdr:nvPicPr>
        <xdr:cNvPr id="580" name="Control 183">
          <a:extLst>
            <a:ext uri="{FF2B5EF4-FFF2-40B4-BE49-F238E27FC236}">
              <a16:creationId xmlns:a16="http://schemas.microsoft.com/office/drawing/2014/main" id="{00000000-0008-0000-0E00-000044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9848850"/>
          <a:ext cx="152400" cy="152400"/>
        </a:xfrm>
        <a:prstGeom prst="rect">
          <a:avLst/>
        </a:prstGeom>
        <a:noFill/>
        <a:ln w="9525">
          <a:miter lim="800000"/>
          <a:headEnd/>
          <a:tailEnd/>
        </a:ln>
      </xdr:spPr>
    </xdr:pic>
    <xdr:clientData/>
  </xdr:twoCellAnchor>
  <xdr:twoCellAnchor editAs="oneCell">
    <xdr:from>
      <xdr:col>2</xdr:col>
      <xdr:colOff>0</xdr:colOff>
      <xdr:row>47</xdr:row>
      <xdr:rowOff>0</xdr:rowOff>
    </xdr:from>
    <xdr:to>
      <xdr:col>2</xdr:col>
      <xdr:colOff>152400</xdr:colOff>
      <xdr:row>47</xdr:row>
      <xdr:rowOff>152400</xdr:rowOff>
    </xdr:to>
    <xdr:pic>
      <xdr:nvPicPr>
        <xdr:cNvPr id="581" name="Control 184">
          <a:extLst>
            <a:ext uri="{FF2B5EF4-FFF2-40B4-BE49-F238E27FC236}">
              <a16:creationId xmlns:a16="http://schemas.microsoft.com/office/drawing/2014/main" id="{00000000-0008-0000-0E00-000045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9848850"/>
          <a:ext cx="152400" cy="152400"/>
        </a:xfrm>
        <a:prstGeom prst="rect">
          <a:avLst/>
        </a:prstGeom>
        <a:noFill/>
        <a:ln w="9525">
          <a:miter lim="800000"/>
          <a:headEnd/>
          <a:tailEnd/>
        </a:ln>
      </xdr:spPr>
    </xdr:pic>
    <xdr:clientData/>
  </xdr:twoCellAnchor>
  <xdr:twoCellAnchor editAs="oneCell">
    <xdr:from>
      <xdr:col>0</xdr:col>
      <xdr:colOff>0</xdr:colOff>
      <xdr:row>48</xdr:row>
      <xdr:rowOff>0</xdr:rowOff>
    </xdr:from>
    <xdr:to>
      <xdr:col>0</xdr:col>
      <xdr:colOff>139700</xdr:colOff>
      <xdr:row>48</xdr:row>
      <xdr:rowOff>139700</xdr:rowOff>
    </xdr:to>
    <xdr:pic>
      <xdr:nvPicPr>
        <xdr:cNvPr id="582" name="Control 185">
          <a:extLst>
            <a:ext uri="{FF2B5EF4-FFF2-40B4-BE49-F238E27FC236}">
              <a16:creationId xmlns:a16="http://schemas.microsoft.com/office/drawing/2014/main" id="{00000000-0008-0000-0E00-000046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0058400"/>
          <a:ext cx="139700" cy="139700"/>
        </a:xfrm>
        <a:prstGeom prst="rect">
          <a:avLst/>
        </a:prstGeom>
        <a:noFill/>
        <a:ln w="9525">
          <a:miter lim="800000"/>
          <a:headEnd/>
          <a:tailEnd/>
        </a:ln>
      </xdr:spPr>
    </xdr:pic>
    <xdr:clientData/>
  </xdr:twoCellAnchor>
  <xdr:twoCellAnchor editAs="oneCell">
    <xdr:from>
      <xdr:col>2</xdr:col>
      <xdr:colOff>0</xdr:colOff>
      <xdr:row>48</xdr:row>
      <xdr:rowOff>0</xdr:rowOff>
    </xdr:from>
    <xdr:to>
      <xdr:col>2</xdr:col>
      <xdr:colOff>254000</xdr:colOff>
      <xdr:row>49</xdr:row>
      <xdr:rowOff>82550</xdr:rowOff>
    </xdr:to>
    <xdr:pic>
      <xdr:nvPicPr>
        <xdr:cNvPr id="583" name="Control 186">
          <a:extLst>
            <a:ext uri="{FF2B5EF4-FFF2-40B4-BE49-F238E27FC236}">
              <a16:creationId xmlns:a16="http://schemas.microsoft.com/office/drawing/2014/main" id="{00000000-0008-0000-0E00-000047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0058400"/>
          <a:ext cx="254000" cy="273050"/>
        </a:xfrm>
        <a:prstGeom prst="rect">
          <a:avLst/>
        </a:prstGeom>
        <a:noFill/>
        <a:ln w="9525">
          <a:miter lim="800000"/>
          <a:headEnd/>
          <a:tailEnd/>
        </a:ln>
      </xdr:spPr>
    </xdr:pic>
    <xdr:clientData/>
  </xdr:twoCellAnchor>
  <xdr:twoCellAnchor editAs="oneCell">
    <xdr:from>
      <xdr:col>2</xdr:col>
      <xdr:colOff>0</xdr:colOff>
      <xdr:row>48</xdr:row>
      <xdr:rowOff>0</xdr:rowOff>
    </xdr:from>
    <xdr:to>
      <xdr:col>2</xdr:col>
      <xdr:colOff>152400</xdr:colOff>
      <xdr:row>48</xdr:row>
      <xdr:rowOff>152400</xdr:rowOff>
    </xdr:to>
    <xdr:pic>
      <xdr:nvPicPr>
        <xdr:cNvPr id="584" name="Control 187">
          <a:extLst>
            <a:ext uri="{FF2B5EF4-FFF2-40B4-BE49-F238E27FC236}">
              <a16:creationId xmlns:a16="http://schemas.microsoft.com/office/drawing/2014/main" id="{00000000-0008-0000-0E00-000048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0058400"/>
          <a:ext cx="152400" cy="152400"/>
        </a:xfrm>
        <a:prstGeom prst="rect">
          <a:avLst/>
        </a:prstGeom>
        <a:noFill/>
        <a:ln w="9525">
          <a:miter lim="800000"/>
          <a:headEnd/>
          <a:tailEnd/>
        </a:ln>
      </xdr:spPr>
    </xdr:pic>
    <xdr:clientData/>
  </xdr:twoCellAnchor>
  <xdr:twoCellAnchor editAs="oneCell">
    <xdr:from>
      <xdr:col>2</xdr:col>
      <xdr:colOff>0</xdr:colOff>
      <xdr:row>48</xdr:row>
      <xdr:rowOff>0</xdr:rowOff>
    </xdr:from>
    <xdr:to>
      <xdr:col>2</xdr:col>
      <xdr:colOff>152400</xdr:colOff>
      <xdr:row>48</xdr:row>
      <xdr:rowOff>152400</xdr:rowOff>
    </xdr:to>
    <xdr:pic>
      <xdr:nvPicPr>
        <xdr:cNvPr id="585" name="Control 188">
          <a:extLst>
            <a:ext uri="{FF2B5EF4-FFF2-40B4-BE49-F238E27FC236}">
              <a16:creationId xmlns:a16="http://schemas.microsoft.com/office/drawing/2014/main" id="{00000000-0008-0000-0E00-000049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0058400"/>
          <a:ext cx="152400" cy="152400"/>
        </a:xfrm>
        <a:prstGeom prst="rect">
          <a:avLst/>
        </a:prstGeom>
        <a:noFill/>
        <a:ln w="9525">
          <a:miter lim="800000"/>
          <a:headEnd/>
          <a:tailEnd/>
        </a:ln>
      </xdr:spPr>
    </xdr:pic>
    <xdr:clientData/>
  </xdr:twoCellAnchor>
  <xdr:twoCellAnchor editAs="oneCell">
    <xdr:from>
      <xdr:col>0</xdr:col>
      <xdr:colOff>0</xdr:colOff>
      <xdr:row>49</xdr:row>
      <xdr:rowOff>0</xdr:rowOff>
    </xdr:from>
    <xdr:to>
      <xdr:col>0</xdr:col>
      <xdr:colOff>139700</xdr:colOff>
      <xdr:row>49</xdr:row>
      <xdr:rowOff>139700</xdr:rowOff>
    </xdr:to>
    <xdr:pic>
      <xdr:nvPicPr>
        <xdr:cNvPr id="586" name="Control 189">
          <a:extLst>
            <a:ext uri="{FF2B5EF4-FFF2-40B4-BE49-F238E27FC236}">
              <a16:creationId xmlns:a16="http://schemas.microsoft.com/office/drawing/2014/main" id="{00000000-0008-0000-0E00-00004A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0267950"/>
          <a:ext cx="139700" cy="139700"/>
        </a:xfrm>
        <a:prstGeom prst="rect">
          <a:avLst/>
        </a:prstGeom>
        <a:noFill/>
        <a:ln w="9525">
          <a:miter lim="800000"/>
          <a:headEnd/>
          <a:tailEnd/>
        </a:ln>
      </xdr:spPr>
    </xdr:pic>
    <xdr:clientData/>
  </xdr:twoCellAnchor>
  <xdr:twoCellAnchor editAs="oneCell">
    <xdr:from>
      <xdr:col>2</xdr:col>
      <xdr:colOff>0</xdr:colOff>
      <xdr:row>49</xdr:row>
      <xdr:rowOff>0</xdr:rowOff>
    </xdr:from>
    <xdr:to>
      <xdr:col>2</xdr:col>
      <xdr:colOff>254000</xdr:colOff>
      <xdr:row>50</xdr:row>
      <xdr:rowOff>82550</xdr:rowOff>
    </xdr:to>
    <xdr:pic>
      <xdr:nvPicPr>
        <xdr:cNvPr id="587" name="Control 190">
          <a:extLst>
            <a:ext uri="{FF2B5EF4-FFF2-40B4-BE49-F238E27FC236}">
              <a16:creationId xmlns:a16="http://schemas.microsoft.com/office/drawing/2014/main" id="{00000000-0008-0000-0E00-00004B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0267950"/>
          <a:ext cx="254000" cy="273050"/>
        </a:xfrm>
        <a:prstGeom prst="rect">
          <a:avLst/>
        </a:prstGeom>
        <a:noFill/>
        <a:ln w="9525">
          <a:miter lim="800000"/>
          <a:headEnd/>
          <a:tailEnd/>
        </a:ln>
      </xdr:spPr>
    </xdr:pic>
    <xdr:clientData/>
  </xdr:twoCellAnchor>
  <xdr:twoCellAnchor editAs="oneCell">
    <xdr:from>
      <xdr:col>2</xdr:col>
      <xdr:colOff>0</xdr:colOff>
      <xdr:row>49</xdr:row>
      <xdr:rowOff>0</xdr:rowOff>
    </xdr:from>
    <xdr:to>
      <xdr:col>2</xdr:col>
      <xdr:colOff>152400</xdr:colOff>
      <xdr:row>49</xdr:row>
      <xdr:rowOff>152400</xdr:rowOff>
    </xdr:to>
    <xdr:pic>
      <xdr:nvPicPr>
        <xdr:cNvPr id="588" name="Control 191">
          <a:extLst>
            <a:ext uri="{FF2B5EF4-FFF2-40B4-BE49-F238E27FC236}">
              <a16:creationId xmlns:a16="http://schemas.microsoft.com/office/drawing/2014/main" id="{00000000-0008-0000-0E00-00004C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0267950"/>
          <a:ext cx="152400" cy="152400"/>
        </a:xfrm>
        <a:prstGeom prst="rect">
          <a:avLst/>
        </a:prstGeom>
        <a:noFill/>
        <a:ln w="9525">
          <a:miter lim="800000"/>
          <a:headEnd/>
          <a:tailEnd/>
        </a:ln>
      </xdr:spPr>
    </xdr:pic>
    <xdr:clientData/>
  </xdr:twoCellAnchor>
  <xdr:twoCellAnchor editAs="oneCell">
    <xdr:from>
      <xdr:col>2</xdr:col>
      <xdr:colOff>0</xdr:colOff>
      <xdr:row>49</xdr:row>
      <xdr:rowOff>0</xdr:rowOff>
    </xdr:from>
    <xdr:to>
      <xdr:col>2</xdr:col>
      <xdr:colOff>152400</xdr:colOff>
      <xdr:row>49</xdr:row>
      <xdr:rowOff>152400</xdr:rowOff>
    </xdr:to>
    <xdr:pic>
      <xdr:nvPicPr>
        <xdr:cNvPr id="589" name="Control 192">
          <a:extLst>
            <a:ext uri="{FF2B5EF4-FFF2-40B4-BE49-F238E27FC236}">
              <a16:creationId xmlns:a16="http://schemas.microsoft.com/office/drawing/2014/main" id="{00000000-0008-0000-0E00-00004D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0267950"/>
          <a:ext cx="152400" cy="152400"/>
        </a:xfrm>
        <a:prstGeom prst="rect">
          <a:avLst/>
        </a:prstGeom>
        <a:noFill/>
        <a:ln w="9525">
          <a:miter lim="800000"/>
          <a:headEnd/>
          <a:tailEnd/>
        </a:ln>
      </xdr:spPr>
    </xdr:pic>
    <xdr:clientData/>
  </xdr:twoCellAnchor>
  <xdr:twoCellAnchor editAs="oneCell">
    <xdr:from>
      <xdr:col>0</xdr:col>
      <xdr:colOff>0</xdr:colOff>
      <xdr:row>50</xdr:row>
      <xdr:rowOff>0</xdr:rowOff>
    </xdr:from>
    <xdr:to>
      <xdr:col>0</xdr:col>
      <xdr:colOff>139700</xdr:colOff>
      <xdr:row>50</xdr:row>
      <xdr:rowOff>139700</xdr:rowOff>
    </xdr:to>
    <xdr:pic>
      <xdr:nvPicPr>
        <xdr:cNvPr id="590" name="Control 193">
          <a:extLst>
            <a:ext uri="{FF2B5EF4-FFF2-40B4-BE49-F238E27FC236}">
              <a16:creationId xmlns:a16="http://schemas.microsoft.com/office/drawing/2014/main" id="{00000000-0008-0000-0E00-00004E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0477500"/>
          <a:ext cx="139700" cy="139700"/>
        </a:xfrm>
        <a:prstGeom prst="rect">
          <a:avLst/>
        </a:prstGeom>
        <a:noFill/>
        <a:ln w="9525">
          <a:miter lim="800000"/>
          <a:headEnd/>
          <a:tailEnd/>
        </a:ln>
      </xdr:spPr>
    </xdr:pic>
    <xdr:clientData/>
  </xdr:twoCellAnchor>
  <xdr:twoCellAnchor editAs="oneCell">
    <xdr:from>
      <xdr:col>2</xdr:col>
      <xdr:colOff>0</xdr:colOff>
      <xdr:row>50</xdr:row>
      <xdr:rowOff>0</xdr:rowOff>
    </xdr:from>
    <xdr:to>
      <xdr:col>2</xdr:col>
      <xdr:colOff>254000</xdr:colOff>
      <xdr:row>51</xdr:row>
      <xdr:rowOff>82550</xdr:rowOff>
    </xdr:to>
    <xdr:pic>
      <xdr:nvPicPr>
        <xdr:cNvPr id="591" name="Control 194">
          <a:extLst>
            <a:ext uri="{FF2B5EF4-FFF2-40B4-BE49-F238E27FC236}">
              <a16:creationId xmlns:a16="http://schemas.microsoft.com/office/drawing/2014/main" id="{00000000-0008-0000-0E00-00004F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0477500"/>
          <a:ext cx="254000" cy="273050"/>
        </a:xfrm>
        <a:prstGeom prst="rect">
          <a:avLst/>
        </a:prstGeom>
        <a:noFill/>
        <a:ln w="9525">
          <a:miter lim="800000"/>
          <a:headEnd/>
          <a:tailEnd/>
        </a:ln>
      </xdr:spPr>
    </xdr:pic>
    <xdr:clientData/>
  </xdr:twoCellAnchor>
  <xdr:twoCellAnchor editAs="oneCell">
    <xdr:from>
      <xdr:col>2</xdr:col>
      <xdr:colOff>0</xdr:colOff>
      <xdr:row>50</xdr:row>
      <xdr:rowOff>0</xdr:rowOff>
    </xdr:from>
    <xdr:to>
      <xdr:col>2</xdr:col>
      <xdr:colOff>152400</xdr:colOff>
      <xdr:row>50</xdr:row>
      <xdr:rowOff>152400</xdr:rowOff>
    </xdr:to>
    <xdr:pic>
      <xdr:nvPicPr>
        <xdr:cNvPr id="592" name="Control 195">
          <a:extLst>
            <a:ext uri="{FF2B5EF4-FFF2-40B4-BE49-F238E27FC236}">
              <a16:creationId xmlns:a16="http://schemas.microsoft.com/office/drawing/2014/main" id="{00000000-0008-0000-0E00-000050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0477500"/>
          <a:ext cx="152400" cy="152400"/>
        </a:xfrm>
        <a:prstGeom prst="rect">
          <a:avLst/>
        </a:prstGeom>
        <a:noFill/>
        <a:ln w="9525">
          <a:miter lim="800000"/>
          <a:headEnd/>
          <a:tailEnd/>
        </a:ln>
      </xdr:spPr>
    </xdr:pic>
    <xdr:clientData/>
  </xdr:twoCellAnchor>
  <xdr:twoCellAnchor editAs="oneCell">
    <xdr:from>
      <xdr:col>2</xdr:col>
      <xdr:colOff>0</xdr:colOff>
      <xdr:row>50</xdr:row>
      <xdr:rowOff>0</xdr:rowOff>
    </xdr:from>
    <xdr:to>
      <xdr:col>2</xdr:col>
      <xdr:colOff>152400</xdr:colOff>
      <xdr:row>50</xdr:row>
      <xdr:rowOff>152400</xdr:rowOff>
    </xdr:to>
    <xdr:pic>
      <xdr:nvPicPr>
        <xdr:cNvPr id="593" name="Control 196">
          <a:extLst>
            <a:ext uri="{FF2B5EF4-FFF2-40B4-BE49-F238E27FC236}">
              <a16:creationId xmlns:a16="http://schemas.microsoft.com/office/drawing/2014/main" id="{00000000-0008-0000-0E00-000051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0477500"/>
          <a:ext cx="152400" cy="152400"/>
        </a:xfrm>
        <a:prstGeom prst="rect">
          <a:avLst/>
        </a:prstGeom>
        <a:noFill/>
        <a:ln w="9525">
          <a:miter lim="800000"/>
          <a:headEnd/>
          <a:tailEnd/>
        </a:ln>
      </xdr:spPr>
    </xdr:pic>
    <xdr:clientData/>
  </xdr:twoCellAnchor>
  <xdr:twoCellAnchor editAs="oneCell">
    <xdr:from>
      <xdr:col>0</xdr:col>
      <xdr:colOff>0</xdr:colOff>
      <xdr:row>51</xdr:row>
      <xdr:rowOff>0</xdr:rowOff>
    </xdr:from>
    <xdr:to>
      <xdr:col>0</xdr:col>
      <xdr:colOff>139700</xdr:colOff>
      <xdr:row>51</xdr:row>
      <xdr:rowOff>139700</xdr:rowOff>
    </xdr:to>
    <xdr:pic>
      <xdr:nvPicPr>
        <xdr:cNvPr id="594" name="Control 197">
          <a:extLst>
            <a:ext uri="{FF2B5EF4-FFF2-40B4-BE49-F238E27FC236}">
              <a16:creationId xmlns:a16="http://schemas.microsoft.com/office/drawing/2014/main" id="{00000000-0008-0000-0E00-000052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0687050"/>
          <a:ext cx="139700" cy="139700"/>
        </a:xfrm>
        <a:prstGeom prst="rect">
          <a:avLst/>
        </a:prstGeom>
        <a:noFill/>
        <a:ln w="9525">
          <a:miter lim="800000"/>
          <a:headEnd/>
          <a:tailEnd/>
        </a:ln>
      </xdr:spPr>
    </xdr:pic>
    <xdr:clientData/>
  </xdr:twoCellAnchor>
  <xdr:twoCellAnchor editAs="oneCell">
    <xdr:from>
      <xdr:col>2</xdr:col>
      <xdr:colOff>0</xdr:colOff>
      <xdr:row>51</xdr:row>
      <xdr:rowOff>0</xdr:rowOff>
    </xdr:from>
    <xdr:to>
      <xdr:col>2</xdr:col>
      <xdr:colOff>254000</xdr:colOff>
      <xdr:row>52</xdr:row>
      <xdr:rowOff>82550</xdr:rowOff>
    </xdr:to>
    <xdr:pic>
      <xdr:nvPicPr>
        <xdr:cNvPr id="595" name="Control 198">
          <a:extLst>
            <a:ext uri="{FF2B5EF4-FFF2-40B4-BE49-F238E27FC236}">
              <a16:creationId xmlns:a16="http://schemas.microsoft.com/office/drawing/2014/main" id="{00000000-0008-0000-0E00-000053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0687050"/>
          <a:ext cx="254000" cy="273050"/>
        </a:xfrm>
        <a:prstGeom prst="rect">
          <a:avLst/>
        </a:prstGeom>
        <a:noFill/>
        <a:ln w="9525">
          <a:miter lim="800000"/>
          <a:headEnd/>
          <a:tailEnd/>
        </a:ln>
      </xdr:spPr>
    </xdr:pic>
    <xdr:clientData/>
  </xdr:twoCellAnchor>
  <xdr:twoCellAnchor editAs="oneCell">
    <xdr:from>
      <xdr:col>2</xdr:col>
      <xdr:colOff>0</xdr:colOff>
      <xdr:row>51</xdr:row>
      <xdr:rowOff>0</xdr:rowOff>
    </xdr:from>
    <xdr:to>
      <xdr:col>2</xdr:col>
      <xdr:colOff>152400</xdr:colOff>
      <xdr:row>51</xdr:row>
      <xdr:rowOff>152400</xdr:rowOff>
    </xdr:to>
    <xdr:pic>
      <xdr:nvPicPr>
        <xdr:cNvPr id="596" name="Control 199">
          <a:extLst>
            <a:ext uri="{FF2B5EF4-FFF2-40B4-BE49-F238E27FC236}">
              <a16:creationId xmlns:a16="http://schemas.microsoft.com/office/drawing/2014/main" id="{00000000-0008-0000-0E00-000054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0687050"/>
          <a:ext cx="152400" cy="152400"/>
        </a:xfrm>
        <a:prstGeom prst="rect">
          <a:avLst/>
        </a:prstGeom>
        <a:noFill/>
        <a:ln w="9525">
          <a:miter lim="800000"/>
          <a:headEnd/>
          <a:tailEnd/>
        </a:ln>
      </xdr:spPr>
    </xdr:pic>
    <xdr:clientData/>
  </xdr:twoCellAnchor>
  <xdr:twoCellAnchor editAs="oneCell">
    <xdr:from>
      <xdr:col>2</xdr:col>
      <xdr:colOff>0</xdr:colOff>
      <xdr:row>51</xdr:row>
      <xdr:rowOff>0</xdr:rowOff>
    </xdr:from>
    <xdr:to>
      <xdr:col>2</xdr:col>
      <xdr:colOff>152400</xdr:colOff>
      <xdr:row>51</xdr:row>
      <xdr:rowOff>152400</xdr:rowOff>
    </xdr:to>
    <xdr:pic>
      <xdr:nvPicPr>
        <xdr:cNvPr id="597" name="Control 200">
          <a:extLst>
            <a:ext uri="{FF2B5EF4-FFF2-40B4-BE49-F238E27FC236}">
              <a16:creationId xmlns:a16="http://schemas.microsoft.com/office/drawing/2014/main" id="{00000000-0008-0000-0E00-000055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0687050"/>
          <a:ext cx="152400" cy="152400"/>
        </a:xfrm>
        <a:prstGeom prst="rect">
          <a:avLst/>
        </a:prstGeom>
        <a:noFill/>
        <a:ln w="9525">
          <a:miter lim="800000"/>
          <a:headEnd/>
          <a:tailEnd/>
        </a:ln>
      </xdr:spPr>
    </xdr:pic>
    <xdr:clientData/>
  </xdr:twoCellAnchor>
  <xdr:twoCellAnchor editAs="oneCell">
    <xdr:from>
      <xdr:col>0</xdr:col>
      <xdr:colOff>0</xdr:colOff>
      <xdr:row>52</xdr:row>
      <xdr:rowOff>0</xdr:rowOff>
    </xdr:from>
    <xdr:to>
      <xdr:col>0</xdr:col>
      <xdr:colOff>139700</xdr:colOff>
      <xdr:row>52</xdr:row>
      <xdr:rowOff>139700</xdr:rowOff>
    </xdr:to>
    <xdr:pic>
      <xdr:nvPicPr>
        <xdr:cNvPr id="598" name="Control 201">
          <a:extLst>
            <a:ext uri="{FF2B5EF4-FFF2-40B4-BE49-F238E27FC236}">
              <a16:creationId xmlns:a16="http://schemas.microsoft.com/office/drawing/2014/main" id="{00000000-0008-0000-0E00-000056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0896600"/>
          <a:ext cx="139700" cy="139700"/>
        </a:xfrm>
        <a:prstGeom prst="rect">
          <a:avLst/>
        </a:prstGeom>
        <a:noFill/>
        <a:ln w="9525">
          <a:miter lim="800000"/>
          <a:headEnd/>
          <a:tailEnd/>
        </a:ln>
      </xdr:spPr>
    </xdr:pic>
    <xdr:clientData/>
  </xdr:twoCellAnchor>
  <xdr:twoCellAnchor editAs="oneCell">
    <xdr:from>
      <xdr:col>2</xdr:col>
      <xdr:colOff>0</xdr:colOff>
      <xdr:row>52</xdr:row>
      <xdr:rowOff>0</xdr:rowOff>
    </xdr:from>
    <xdr:to>
      <xdr:col>2</xdr:col>
      <xdr:colOff>254000</xdr:colOff>
      <xdr:row>53</xdr:row>
      <xdr:rowOff>82550</xdr:rowOff>
    </xdr:to>
    <xdr:pic>
      <xdr:nvPicPr>
        <xdr:cNvPr id="599" name="Control 202">
          <a:extLst>
            <a:ext uri="{FF2B5EF4-FFF2-40B4-BE49-F238E27FC236}">
              <a16:creationId xmlns:a16="http://schemas.microsoft.com/office/drawing/2014/main" id="{00000000-0008-0000-0E00-000057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0896600"/>
          <a:ext cx="254000" cy="273050"/>
        </a:xfrm>
        <a:prstGeom prst="rect">
          <a:avLst/>
        </a:prstGeom>
        <a:noFill/>
        <a:ln w="9525">
          <a:miter lim="800000"/>
          <a:headEnd/>
          <a:tailEnd/>
        </a:ln>
      </xdr:spPr>
    </xdr:pic>
    <xdr:clientData/>
  </xdr:twoCellAnchor>
  <xdr:twoCellAnchor editAs="oneCell">
    <xdr:from>
      <xdr:col>2</xdr:col>
      <xdr:colOff>0</xdr:colOff>
      <xdr:row>52</xdr:row>
      <xdr:rowOff>0</xdr:rowOff>
    </xdr:from>
    <xdr:to>
      <xdr:col>2</xdr:col>
      <xdr:colOff>152400</xdr:colOff>
      <xdr:row>52</xdr:row>
      <xdr:rowOff>152400</xdr:rowOff>
    </xdr:to>
    <xdr:pic>
      <xdr:nvPicPr>
        <xdr:cNvPr id="600" name="Control 203">
          <a:extLst>
            <a:ext uri="{FF2B5EF4-FFF2-40B4-BE49-F238E27FC236}">
              <a16:creationId xmlns:a16="http://schemas.microsoft.com/office/drawing/2014/main" id="{00000000-0008-0000-0E00-000058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0896600"/>
          <a:ext cx="152400" cy="152400"/>
        </a:xfrm>
        <a:prstGeom prst="rect">
          <a:avLst/>
        </a:prstGeom>
        <a:noFill/>
        <a:ln w="9525">
          <a:miter lim="800000"/>
          <a:headEnd/>
          <a:tailEnd/>
        </a:ln>
      </xdr:spPr>
    </xdr:pic>
    <xdr:clientData/>
  </xdr:twoCellAnchor>
  <xdr:twoCellAnchor editAs="oneCell">
    <xdr:from>
      <xdr:col>2</xdr:col>
      <xdr:colOff>0</xdr:colOff>
      <xdr:row>52</xdr:row>
      <xdr:rowOff>0</xdr:rowOff>
    </xdr:from>
    <xdr:to>
      <xdr:col>2</xdr:col>
      <xdr:colOff>152400</xdr:colOff>
      <xdr:row>52</xdr:row>
      <xdr:rowOff>152400</xdr:rowOff>
    </xdr:to>
    <xdr:pic>
      <xdr:nvPicPr>
        <xdr:cNvPr id="601" name="Control 204">
          <a:extLst>
            <a:ext uri="{FF2B5EF4-FFF2-40B4-BE49-F238E27FC236}">
              <a16:creationId xmlns:a16="http://schemas.microsoft.com/office/drawing/2014/main" id="{00000000-0008-0000-0E00-000059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0896600"/>
          <a:ext cx="152400" cy="152400"/>
        </a:xfrm>
        <a:prstGeom prst="rect">
          <a:avLst/>
        </a:prstGeom>
        <a:noFill/>
        <a:ln w="9525">
          <a:miter lim="800000"/>
          <a:headEnd/>
          <a:tailEnd/>
        </a:ln>
      </xdr:spPr>
    </xdr:pic>
    <xdr:clientData/>
  </xdr:twoCellAnchor>
  <xdr:twoCellAnchor editAs="oneCell">
    <xdr:from>
      <xdr:col>0</xdr:col>
      <xdr:colOff>0</xdr:colOff>
      <xdr:row>53</xdr:row>
      <xdr:rowOff>0</xdr:rowOff>
    </xdr:from>
    <xdr:to>
      <xdr:col>0</xdr:col>
      <xdr:colOff>139700</xdr:colOff>
      <xdr:row>53</xdr:row>
      <xdr:rowOff>139700</xdr:rowOff>
    </xdr:to>
    <xdr:pic>
      <xdr:nvPicPr>
        <xdr:cNvPr id="602" name="Control 205">
          <a:extLst>
            <a:ext uri="{FF2B5EF4-FFF2-40B4-BE49-F238E27FC236}">
              <a16:creationId xmlns:a16="http://schemas.microsoft.com/office/drawing/2014/main" id="{00000000-0008-0000-0E00-00005A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1106150"/>
          <a:ext cx="139700" cy="139700"/>
        </a:xfrm>
        <a:prstGeom prst="rect">
          <a:avLst/>
        </a:prstGeom>
        <a:noFill/>
        <a:ln w="9525">
          <a:miter lim="800000"/>
          <a:headEnd/>
          <a:tailEnd/>
        </a:ln>
      </xdr:spPr>
    </xdr:pic>
    <xdr:clientData/>
  </xdr:twoCellAnchor>
  <xdr:twoCellAnchor editAs="oneCell">
    <xdr:from>
      <xdr:col>2</xdr:col>
      <xdr:colOff>0</xdr:colOff>
      <xdr:row>53</xdr:row>
      <xdr:rowOff>0</xdr:rowOff>
    </xdr:from>
    <xdr:to>
      <xdr:col>2</xdr:col>
      <xdr:colOff>254000</xdr:colOff>
      <xdr:row>54</xdr:row>
      <xdr:rowOff>82550</xdr:rowOff>
    </xdr:to>
    <xdr:pic>
      <xdr:nvPicPr>
        <xdr:cNvPr id="603" name="Control 206">
          <a:extLst>
            <a:ext uri="{FF2B5EF4-FFF2-40B4-BE49-F238E27FC236}">
              <a16:creationId xmlns:a16="http://schemas.microsoft.com/office/drawing/2014/main" id="{00000000-0008-0000-0E00-00005B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1106150"/>
          <a:ext cx="254000" cy="273050"/>
        </a:xfrm>
        <a:prstGeom prst="rect">
          <a:avLst/>
        </a:prstGeom>
        <a:noFill/>
        <a:ln w="9525">
          <a:miter lim="800000"/>
          <a:headEnd/>
          <a:tailEnd/>
        </a:ln>
      </xdr:spPr>
    </xdr:pic>
    <xdr:clientData/>
  </xdr:twoCellAnchor>
  <xdr:twoCellAnchor editAs="oneCell">
    <xdr:from>
      <xdr:col>2</xdr:col>
      <xdr:colOff>0</xdr:colOff>
      <xdr:row>53</xdr:row>
      <xdr:rowOff>0</xdr:rowOff>
    </xdr:from>
    <xdr:to>
      <xdr:col>2</xdr:col>
      <xdr:colOff>152400</xdr:colOff>
      <xdr:row>53</xdr:row>
      <xdr:rowOff>152400</xdr:rowOff>
    </xdr:to>
    <xdr:pic>
      <xdr:nvPicPr>
        <xdr:cNvPr id="604" name="Control 207">
          <a:extLst>
            <a:ext uri="{FF2B5EF4-FFF2-40B4-BE49-F238E27FC236}">
              <a16:creationId xmlns:a16="http://schemas.microsoft.com/office/drawing/2014/main" id="{00000000-0008-0000-0E00-00005C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1106150"/>
          <a:ext cx="152400" cy="152400"/>
        </a:xfrm>
        <a:prstGeom prst="rect">
          <a:avLst/>
        </a:prstGeom>
        <a:noFill/>
        <a:ln w="9525">
          <a:miter lim="800000"/>
          <a:headEnd/>
          <a:tailEnd/>
        </a:ln>
      </xdr:spPr>
    </xdr:pic>
    <xdr:clientData/>
  </xdr:twoCellAnchor>
  <xdr:twoCellAnchor editAs="oneCell">
    <xdr:from>
      <xdr:col>2</xdr:col>
      <xdr:colOff>0</xdr:colOff>
      <xdr:row>53</xdr:row>
      <xdr:rowOff>0</xdr:rowOff>
    </xdr:from>
    <xdr:to>
      <xdr:col>2</xdr:col>
      <xdr:colOff>152400</xdr:colOff>
      <xdr:row>53</xdr:row>
      <xdr:rowOff>152400</xdr:rowOff>
    </xdr:to>
    <xdr:pic>
      <xdr:nvPicPr>
        <xdr:cNvPr id="605" name="Control 208">
          <a:extLst>
            <a:ext uri="{FF2B5EF4-FFF2-40B4-BE49-F238E27FC236}">
              <a16:creationId xmlns:a16="http://schemas.microsoft.com/office/drawing/2014/main" id="{00000000-0008-0000-0E00-00005D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1106150"/>
          <a:ext cx="152400" cy="152400"/>
        </a:xfrm>
        <a:prstGeom prst="rect">
          <a:avLst/>
        </a:prstGeom>
        <a:noFill/>
        <a:ln w="9525">
          <a:miter lim="800000"/>
          <a:headEnd/>
          <a:tailEnd/>
        </a:ln>
      </xdr:spPr>
    </xdr:pic>
    <xdr:clientData/>
  </xdr:twoCellAnchor>
  <xdr:twoCellAnchor editAs="oneCell">
    <xdr:from>
      <xdr:col>0</xdr:col>
      <xdr:colOff>0</xdr:colOff>
      <xdr:row>54</xdr:row>
      <xdr:rowOff>0</xdr:rowOff>
    </xdr:from>
    <xdr:to>
      <xdr:col>0</xdr:col>
      <xdr:colOff>139700</xdr:colOff>
      <xdr:row>54</xdr:row>
      <xdr:rowOff>139700</xdr:rowOff>
    </xdr:to>
    <xdr:pic>
      <xdr:nvPicPr>
        <xdr:cNvPr id="606" name="Control 209">
          <a:extLst>
            <a:ext uri="{FF2B5EF4-FFF2-40B4-BE49-F238E27FC236}">
              <a16:creationId xmlns:a16="http://schemas.microsoft.com/office/drawing/2014/main" id="{00000000-0008-0000-0E00-00005E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1315700"/>
          <a:ext cx="139700" cy="139700"/>
        </a:xfrm>
        <a:prstGeom prst="rect">
          <a:avLst/>
        </a:prstGeom>
        <a:noFill/>
        <a:ln w="9525">
          <a:miter lim="800000"/>
          <a:headEnd/>
          <a:tailEnd/>
        </a:ln>
      </xdr:spPr>
    </xdr:pic>
    <xdr:clientData/>
  </xdr:twoCellAnchor>
  <xdr:twoCellAnchor editAs="oneCell">
    <xdr:from>
      <xdr:col>2</xdr:col>
      <xdr:colOff>0</xdr:colOff>
      <xdr:row>54</xdr:row>
      <xdr:rowOff>0</xdr:rowOff>
    </xdr:from>
    <xdr:to>
      <xdr:col>2</xdr:col>
      <xdr:colOff>254000</xdr:colOff>
      <xdr:row>55</xdr:row>
      <xdr:rowOff>82550</xdr:rowOff>
    </xdr:to>
    <xdr:pic>
      <xdr:nvPicPr>
        <xdr:cNvPr id="607" name="Control 210">
          <a:extLst>
            <a:ext uri="{FF2B5EF4-FFF2-40B4-BE49-F238E27FC236}">
              <a16:creationId xmlns:a16="http://schemas.microsoft.com/office/drawing/2014/main" id="{00000000-0008-0000-0E00-00005F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1315700"/>
          <a:ext cx="254000" cy="273050"/>
        </a:xfrm>
        <a:prstGeom prst="rect">
          <a:avLst/>
        </a:prstGeom>
        <a:noFill/>
        <a:ln w="9525">
          <a:miter lim="800000"/>
          <a:headEnd/>
          <a:tailEnd/>
        </a:ln>
      </xdr:spPr>
    </xdr:pic>
    <xdr:clientData/>
  </xdr:twoCellAnchor>
  <xdr:twoCellAnchor editAs="oneCell">
    <xdr:from>
      <xdr:col>2</xdr:col>
      <xdr:colOff>0</xdr:colOff>
      <xdr:row>54</xdr:row>
      <xdr:rowOff>0</xdr:rowOff>
    </xdr:from>
    <xdr:to>
      <xdr:col>2</xdr:col>
      <xdr:colOff>152400</xdr:colOff>
      <xdr:row>54</xdr:row>
      <xdr:rowOff>152400</xdr:rowOff>
    </xdr:to>
    <xdr:pic>
      <xdr:nvPicPr>
        <xdr:cNvPr id="608" name="Control 211">
          <a:extLst>
            <a:ext uri="{FF2B5EF4-FFF2-40B4-BE49-F238E27FC236}">
              <a16:creationId xmlns:a16="http://schemas.microsoft.com/office/drawing/2014/main" id="{00000000-0008-0000-0E00-000060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1315700"/>
          <a:ext cx="152400" cy="152400"/>
        </a:xfrm>
        <a:prstGeom prst="rect">
          <a:avLst/>
        </a:prstGeom>
        <a:noFill/>
        <a:ln w="9525">
          <a:miter lim="800000"/>
          <a:headEnd/>
          <a:tailEnd/>
        </a:ln>
      </xdr:spPr>
    </xdr:pic>
    <xdr:clientData/>
  </xdr:twoCellAnchor>
  <xdr:twoCellAnchor editAs="oneCell">
    <xdr:from>
      <xdr:col>2</xdr:col>
      <xdr:colOff>0</xdr:colOff>
      <xdr:row>54</xdr:row>
      <xdr:rowOff>0</xdr:rowOff>
    </xdr:from>
    <xdr:to>
      <xdr:col>2</xdr:col>
      <xdr:colOff>152400</xdr:colOff>
      <xdr:row>54</xdr:row>
      <xdr:rowOff>152400</xdr:rowOff>
    </xdr:to>
    <xdr:pic>
      <xdr:nvPicPr>
        <xdr:cNvPr id="609" name="Control 212">
          <a:extLst>
            <a:ext uri="{FF2B5EF4-FFF2-40B4-BE49-F238E27FC236}">
              <a16:creationId xmlns:a16="http://schemas.microsoft.com/office/drawing/2014/main" id="{00000000-0008-0000-0E00-000061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1315700"/>
          <a:ext cx="152400" cy="152400"/>
        </a:xfrm>
        <a:prstGeom prst="rect">
          <a:avLst/>
        </a:prstGeom>
        <a:noFill/>
        <a:ln w="9525">
          <a:miter lim="800000"/>
          <a:headEnd/>
          <a:tailEnd/>
        </a:ln>
      </xdr:spPr>
    </xdr:pic>
    <xdr:clientData/>
  </xdr:twoCellAnchor>
  <xdr:twoCellAnchor editAs="oneCell">
    <xdr:from>
      <xdr:col>0</xdr:col>
      <xdr:colOff>0</xdr:colOff>
      <xdr:row>55</xdr:row>
      <xdr:rowOff>0</xdr:rowOff>
    </xdr:from>
    <xdr:to>
      <xdr:col>0</xdr:col>
      <xdr:colOff>139700</xdr:colOff>
      <xdr:row>55</xdr:row>
      <xdr:rowOff>139700</xdr:rowOff>
    </xdr:to>
    <xdr:pic>
      <xdr:nvPicPr>
        <xdr:cNvPr id="610" name="Control 213">
          <a:extLst>
            <a:ext uri="{FF2B5EF4-FFF2-40B4-BE49-F238E27FC236}">
              <a16:creationId xmlns:a16="http://schemas.microsoft.com/office/drawing/2014/main" id="{00000000-0008-0000-0E00-000062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1525250"/>
          <a:ext cx="139700" cy="139700"/>
        </a:xfrm>
        <a:prstGeom prst="rect">
          <a:avLst/>
        </a:prstGeom>
        <a:noFill/>
        <a:ln w="9525">
          <a:miter lim="800000"/>
          <a:headEnd/>
          <a:tailEnd/>
        </a:ln>
      </xdr:spPr>
    </xdr:pic>
    <xdr:clientData/>
  </xdr:twoCellAnchor>
  <xdr:twoCellAnchor editAs="oneCell">
    <xdr:from>
      <xdr:col>2</xdr:col>
      <xdr:colOff>0</xdr:colOff>
      <xdr:row>55</xdr:row>
      <xdr:rowOff>0</xdr:rowOff>
    </xdr:from>
    <xdr:to>
      <xdr:col>2</xdr:col>
      <xdr:colOff>254000</xdr:colOff>
      <xdr:row>56</xdr:row>
      <xdr:rowOff>82550</xdr:rowOff>
    </xdr:to>
    <xdr:pic>
      <xdr:nvPicPr>
        <xdr:cNvPr id="611" name="Control 214">
          <a:extLst>
            <a:ext uri="{FF2B5EF4-FFF2-40B4-BE49-F238E27FC236}">
              <a16:creationId xmlns:a16="http://schemas.microsoft.com/office/drawing/2014/main" id="{00000000-0008-0000-0E00-000063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1525250"/>
          <a:ext cx="254000" cy="273050"/>
        </a:xfrm>
        <a:prstGeom prst="rect">
          <a:avLst/>
        </a:prstGeom>
        <a:noFill/>
        <a:ln w="9525">
          <a:miter lim="800000"/>
          <a:headEnd/>
          <a:tailEnd/>
        </a:ln>
      </xdr:spPr>
    </xdr:pic>
    <xdr:clientData/>
  </xdr:twoCellAnchor>
  <xdr:twoCellAnchor editAs="oneCell">
    <xdr:from>
      <xdr:col>2</xdr:col>
      <xdr:colOff>0</xdr:colOff>
      <xdr:row>55</xdr:row>
      <xdr:rowOff>0</xdr:rowOff>
    </xdr:from>
    <xdr:to>
      <xdr:col>2</xdr:col>
      <xdr:colOff>152400</xdr:colOff>
      <xdr:row>55</xdr:row>
      <xdr:rowOff>152400</xdr:rowOff>
    </xdr:to>
    <xdr:pic>
      <xdr:nvPicPr>
        <xdr:cNvPr id="612" name="Control 215">
          <a:extLst>
            <a:ext uri="{FF2B5EF4-FFF2-40B4-BE49-F238E27FC236}">
              <a16:creationId xmlns:a16="http://schemas.microsoft.com/office/drawing/2014/main" id="{00000000-0008-0000-0E00-000064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1525250"/>
          <a:ext cx="152400" cy="152400"/>
        </a:xfrm>
        <a:prstGeom prst="rect">
          <a:avLst/>
        </a:prstGeom>
        <a:noFill/>
        <a:ln w="9525">
          <a:miter lim="800000"/>
          <a:headEnd/>
          <a:tailEnd/>
        </a:ln>
      </xdr:spPr>
    </xdr:pic>
    <xdr:clientData/>
  </xdr:twoCellAnchor>
  <xdr:twoCellAnchor editAs="oneCell">
    <xdr:from>
      <xdr:col>2</xdr:col>
      <xdr:colOff>0</xdr:colOff>
      <xdr:row>55</xdr:row>
      <xdr:rowOff>0</xdr:rowOff>
    </xdr:from>
    <xdr:to>
      <xdr:col>2</xdr:col>
      <xdr:colOff>152400</xdr:colOff>
      <xdr:row>55</xdr:row>
      <xdr:rowOff>152400</xdr:rowOff>
    </xdr:to>
    <xdr:pic>
      <xdr:nvPicPr>
        <xdr:cNvPr id="613" name="Control 216">
          <a:extLst>
            <a:ext uri="{FF2B5EF4-FFF2-40B4-BE49-F238E27FC236}">
              <a16:creationId xmlns:a16="http://schemas.microsoft.com/office/drawing/2014/main" id="{00000000-0008-0000-0E00-000065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1525250"/>
          <a:ext cx="152400" cy="152400"/>
        </a:xfrm>
        <a:prstGeom prst="rect">
          <a:avLst/>
        </a:prstGeom>
        <a:noFill/>
        <a:ln w="9525">
          <a:miter lim="800000"/>
          <a:headEnd/>
          <a:tailEnd/>
        </a:ln>
      </xdr:spPr>
    </xdr:pic>
    <xdr:clientData/>
  </xdr:twoCellAnchor>
  <xdr:twoCellAnchor editAs="oneCell">
    <xdr:from>
      <xdr:col>0</xdr:col>
      <xdr:colOff>0</xdr:colOff>
      <xdr:row>56</xdr:row>
      <xdr:rowOff>0</xdr:rowOff>
    </xdr:from>
    <xdr:to>
      <xdr:col>0</xdr:col>
      <xdr:colOff>139700</xdr:colOff>
      <xdr:row>56</xdr:row>
      <xdr:rowOff>139700</xdr:rowOff>
    </xdr:to>
    <xdr:pic>
      <xdr:nvPicPr>
        <xdr:cNvPr id="614" name="Control 217">
          <a:extLst>
            <a:ext uri="{FF2B5EF4-FFF2-40B4-BE49-F238E27FC236}">
              <a16:creationId xmlns:a16="http://schemas.microsoft.com/office/drawing/2014/main" id="{00000000-0008-0000-0E00-000066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1734800"/>
          <a:ext cx="139700" cy="139700"/>
        </a:xfrm>
        <a:prstGeom prst="rect">
          <a:avLst/>
        </a:prstGeom>
        <a:noFill/>
        <a:ln w="9525">
          <a:miter lim="800000"/>
          <a:headEnd/>
          <a:tailEnd/>
        </a:ln>
      </xdr:spPr>
    </xdr:pic>
    <xdr:clientData/>
  </xdr:twoCellAnchor>
  <xdr:twoCellAnchor editAs="oneCell">
    <xdr:from>
      <xdr:col>2</xdr:col>
      <xdr:colOff>0</xdr:colOff>
      <xdr:row>56</xdr:row>
      <xdr:rowOff>0</xdr:rowOff>
    </xdr:from>
    <xdr:to>
      <xdr:col>2</xdr:col>
      <xdr:colOff>254000</xdr:colOff>
      <xdr:row>57</xdr:row>
      <xdr:rowOff>82550</xdr:rowOff>
    </xdr:to>
    <xdr:pic>
      <xdr:nvPicPr>
        <xdr:cNvPr id="615" name="Control 218">
          <a:extLst>
            <a:ext uri="{FF2B5EF4-FFF2-40B4-BE49-F238E27FC236}">
              <a16:creationId xmlns:a16="http://schemas.microsoft.com/office/drawing/2014/main" id="{00000000-0008-0000-0E00-000067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1734800"/>
          <a:ext cx="254000" cy="273050"/>
        </a:xfrm>
        <a:prstGeom prst="rect">
          <a:avLst/>
        </a:prstGeom>
        <a:noFill/>
        <a:ln w="9525">
          <a:miter lim="800000"/>
          <a:headEnd/>
          <a:tailEnd/>
        </a:ln>
      </xdr:spPr>
    </xdr:pic>
    <xdr:clientData/>
  </xdr:twoCellAnchor>
  <xdr:twoCellAnchor editAs="oneCell">
    <xdr:from>
      <xdr:col>2</xdr:col>
      <xdr:colOff>0</xdr:colOff>
      <xdr:row>56</xdr:row>
      <xdr:rowOff>0</xdr:rowOff>
    </xdr:from>
    <xdr:to>
      <xdr:col>2</xdr:col>
      <xdr:colOff>152400</xdr:colOff>
      <xdr:row>56</xdr:row>
      <xdr:rowOff>152400</xdr:rowOff>
    </xdr:to>
    <xdr:pic>
      <xdr:nvPicPr>
        <xdr:cNvPr id="616" name="Control 219">
          <a:extLst>
            <a:ext uri="{FF2B5EF4-FFF2-40B4-BE49-F238E27FC236}">
              <a16:creationId xmlns:a16="http://schemas.microsoft.com/office/drawing/2014/main" id="{00000000-0008-0000-0E00-000068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1734800"/>
          <a:ext cx="152400" cy="152400"/>
        </a:xfrm>
        <a:prstGeom prst="rect">
          <a:avLst/>
        </a:prstGeom>
        <a:noFill/>
        <a:ln w="9525">
          <a:miter lim="800000"/>
          <a:headEnd/>
          <a:tailEnd/>
        </a:ln>
      </xdr:spPr>
    </xdr:pic>
    <xdr:clientData/>
  </xdr:twoCellAnchor>
  <xdr:twoCellAnchor editAs="oneCell">
    <xdr:from>
      <xdr:col>2</xdr:col>
      <xdr:colOff>0</xdr:colOff>
      <xdr:row>56</xdr:row>
      <xdr:rowOff>0</xdr:rowOff>
    </xdr:from>
    <xdr:to>
      <xdr:col>2</xdr:col>
      <xdr:colOff>152400</xdr:colOff>
      <xdr:row>56</xdr:row>
      <xdr:rowOff>152400</xdr:rowOff>
    </xdr:to>
    <xdr:pic>
      <xdr:nvPicPr>
        <xdr:cNvPr id="617" name="Control 220">
          <a:extLst>
            <a:ext uri="{FF2B5EF4-FFF2-40B4-BE49-F238E27FC236}">
              <a16:creationId xmlns:a16="http://schemas.microsoft.com/office/drawing/2014/main" id="{00000000-0008-0000-0E00-000069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1734800"/>
          <a:ext cx="152400" cy="152400"/>
        </a:xfrm>
        <a:prstGeom prst="rect">
          <a:avLst/>
        </a:prstGeom>
        <a:noFill/>
        <a:ln w="9525">
          <a:miter lim="800000"/>
          <a:headEnd/>
          <a:tailEnd/>
        </a:ln>
      </xdr:spPr>
    </xdr:pic>
    <xdr:clientData/>
  </xdr:twoCellAnchor>
  <xdr:twoCellAnchor editAs="oneCell">
    <xdr:from>
      <xdr:col>0</xdr:col>
      <xdr:colOff>0</xdr:colOff>
      <xdr:row>57</xdr:row>
      <xdr:rowOff>0</xdr:rowOff>
    </xdr:from>
    <xdr:to>
      <xdr:col>0</xdr:col>
      <xdr:colOff>139700</xdr:colOff>
      <xdr:row>57</xdr:row>
      <xdr:rowOff>139700</xdr:rowOff>
    </xdr:to>
    <xdr:pic>
      <xdr:nvPicPr>
        <xdr:cNvPr id="618" name="Control 221">
          <a:extLst>
            <a:ext uri="{FF2B5EF4-FFF2-40B4-BE49-F238E27FC236}">
              <a16:creationId xmlns:a16="http://schemas.microsoft.com/office/drawing/2014/main" id="{00000000-0008-0000-0E00-00006A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1944350"/>
          <a:ext cx="139700" cy="139700"/>
        </a:xfrm>
        <a:prstGeom prst="rect">
          <a:avLst/>
        </a:prstGeom>
        <a:noFill/>
        <a:ln w="9525">
          <a:miter lim="800000"/>
          <a:headEnd/>
          <a:tailEnd/>
        </a:ln>
      </xdr:spPr>
    </xdr:pic>
    <xdr:clientData/>
  </xdr:twoCellAnchor>
  <xdr:twoCellAnchor editAs="oneCell">
    <xdr:from>
      <xdr:col>2</xdr:col>
      <xdr:colOff>0</xdr:colOff>
      <xdr:row>57</xdr:row>
      <xdr:rowOff>0</xdr:rowOff>
    </xdr:from>
    <xdr:to>
      <xdr:col>2</xdr:col>
      <xdr:colOff>254000</xdr:colOff>
      <xdr:row>58</xdr:row>
      <xdr:rowOff>82550</xdr:rowOff>
    </xdr:to>
    <xdr:pic>
      <xdr:nvPicPr>
        <xdr:cNvPr id="619" name="Control 222">
          <a:extLst>
            <a:ext uri="{FF2B5EF4-FFF2-40B4-BE49-F238E27FC236}">
              <a16:creationId xmlns:a16="http://schemas.microsoft.com/office/drawing/2014/main" id="{00000000-0008-0000-0E00-00006B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1944350"/>
          <a:ext cx="254000" cy="273050"/>
        </a:xfrm>
        <a:prstGeom prst="rect">
          <a:avLst/>
        </a:prstGeom>
        <a:noFill/>
        <a:ln w="9525">
          <a:miter lim="800000"/>
          <a:headEnd/>
          <a:tailEnd/>
        </a:ln>
      </xdr:spPr>
    </xdr:pic>
    <xdr:clientData/>
  </xdr:twoCellAnchor>
  <xdr:twoCellAnchor editAs="oneCell">
    <xdr:from>
      <xdr:col>2</xdr:col>
      <xdr:colOff>0</xdr:colOff>
      <xdr:row>57</xdr:row>
      <xdr:rowOff>0</xdr:rowOff>
    </xdr:from>
    <xdr:to>
      <xdr:col>2</xdr:col>
      <xdr:colOff>152400</xdr:colOff>
      <xdr:row>57</xdr:row>
      <xdr:rowOff>152400</xdr:rowOff>
    </xdr:to>
    <xdr:pic>
      <xdr:nvPicPr>
        <xdr:cNvPr id="620" name="Control 223">
          <a:extLst>
            <a:ext uri="{FF2B5EF4-FFF2-40B4-BE49-F238E27FC236}">
              <a16:creationId xmlns:a16="http://schemas.microsoft.com/office/drawing/2014/main" id="{00000000-0008-0000-0E00-00006C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1944350"/>
          <a:ext cx="152400" cy="152400"/>
        </a:xfrm>
        <a:prstGeom prst="rect">
          <a:avLst/>
        </a:prstGeom>
        <a:noFill/>
        <a:ln w="9525">
          <a:miter lim="800000"/>
          <a:headEnd/>
          <a:tailEnd/>
        </a:ln>
      </xdr:spPr>
    </xdr:pic>
    <xdr:clientData/>
  </xdr:twoCellAnchor>
  <xdr:twoCellAnchor editAs="oneCell">
    <xdr:from>
      <xdr:col>2</xdr:col>
      <xdr:colOff>0</xdr:colOff>
      <xdr:row>57</xdr:row>
      <xdr:rowOff>0</xdr:rowOff>
    </xdr:from>
    <xdr:to>
      <xdr:col>2</xdr:col>
      <xdr:colOff>152400</xdr:colOff>
      <xdr:row>57</xdr:row>
      <xdr:rowOff>152400</xdr:rowOff>
    </xdr:to>
    <xdr:pic>
      <xdr:nvPicPr>
        <xdr:cNvPr id="621" name="Control 224">
          <a:extLst>
            <a:ext uri="{FF2B5EF4-FFF2-40B4-BE49-F238E27FC236}">
              <a16:creationId xmlns:a16="http://schemas.microsoft.com/office/drawing/2014/main" id="{00000000-0008-0000-0E00-00006D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1944350"/>
          <a:ext cx="152400" cy="152400"/>
        </a:xfrm>
        <a:prstGeom prst="rect">
          <a:avLst/>
        </a:prstGeom>
        <a:noFill/>
        <a:ln w="9525">
          <a:miter lim="800000"/>
          <a:headEnd/>
          <a:tailEnd/>
        </a:ln>
      </xdr:spPr>
    </xdr:pic>
    <xdr:clientData/>
  </xdr:twoCellAnchor>
  <xdr:twoCellAnchor editAs="oneCell">
    <xdr:from>
      <xdr:col>0</xdr:col>
      <xdr:colOff>0</xdr:colOff>
      <xdr:row>58</xdr:row>
      <xdr:rowOff>0</xdr:rowOff>
    </xdr:from>
    <xdr:to>
      <xdr:col>0</xdr:col>
      <xdr:colOff>139700</xdr:colOff>
      <xdr:row>58</xdr:row>
      <xdr:rowOff>139700</xdr:rowOff>
    </xdr:to>
    <xdr:pic>
      <xdr:nvPicPr>
        <xdr:cNvPr id="622" name="Control 225">
          <a:extLst>
            <a:ext uri="{FF2B5EF4-FFF2-40B4-BE49-F238E27FC236}">
              <a16:creationId xmlns:a16="http://schemas.microsoft.com/office/drawing/2014/main" id="{00000000-0008-0000-0E00-00006E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2153900"/>
          <a:ext cx="139700" cy="139700"/>
        </a:xfrm>
        <a:prstGeom prst="rect">
          <a:avLst/>
        </a:prstGeom>
        <a:noFill/>
        <a:ln w="9525">
          <a:miter lim="800000"/>
          <a:headEnd/>
          <a:tailEnd/>
        </a:ln>
      </xdr:spPr>
    </xdr:pic>
    <xdr:clientData/>
  </xdr:twoCellAnchor>
  <xdr:twoCellAnchor editAs="oneCell">
    <xdr:from>
      <xdr:col>2</xdr:col>
      <xdr:colOff>0</xdr:colOff>
      <xdr:row>58</xdr:row>
      <xdr:rowOff>0</xdr:rowOff>
    </xdr:from>
    <xdr:to>
      <xdr:col>2</xdr:col>
      <xdr:colOff>254000</xdr:colOff>
      <xdr:row>59</xdr:row>
      <xdr:rowOff>82550</xdr:rowOff>
    </xdr:to>
    <xdr:pic>
      <xdr:nvPicPr>
        <xdr:cNvPr id="623" name="Control 226">
          <a:extLst>
            <a:ext uri="{FF2B5EF4-FFF2-40B4-BE49-F238E27FC236}">
              <a16:creationId xmlns:a16="http://schemas.microsoft.com/office/drawing/2014/main" id="{00000000-0008-0000-0E00-00006F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2153900"/>
          <a:ext cx="254000" cy="273050"/>
        </a:xfrm>
        <a:prstGeom prst="rect">
          <a:avLst/>
        </a:prstGeom>
        <a:noFill/>
        <a:ln w="9525">
          <a:miter lim="800000"/>
          <a:headEnd/>
          <a:tailEnd/>
        </a:ln>
      </xdr:spPr>
    </xdr:pic>
    <xdr:clientData/>
  </xdr:twoCellAnchor>
  <xdr:twoCellAnchor editAs="oneCell">
    <xdr:from>
      <xdr:col>2</xdr:col>
      <xdr:colOff>0</xdr:colOff>
      <xdr:row>58</xdr:row>
      <xdr:rowOff>0</xdr:rowOff>
    </xdr:from>
    <xdr:to>
      <xdr:col>2</xdr:col>
      <xdr:colOff>152400</xdr:colOff>
      <xdr:row>58</xdr:row>
      <xdr:rowOff>152400</xdr:rowOff>
    </xdr:to>
    <xdr:pic>
      <xdr:nvPicPr>
        <xdr:cNvPr id="624" name="Control 227">
          <a:extLst>
            <a:ext uri="{FF2B5EF4-FFF2-40B4-BE49-F238E27FC236}">
              <a16:creationId xmlns:a16="http://schemas.microsoft.com/office/drawing/2014/main" id="{00000000-0008-0000-0E00-000070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2153900"/>
          <a:ext cx="152400" cy="152400"/>
        </a:xfrm>
        <a:prstGeom prst="rect">
          <a:avLst/>
        </a:prstGeom>
        <a:noFill/>
        <a:ln w="9525">
          <a:miter lim="800000"/>
          <a:headEnd/>
          <a:tailEnd/>
        </a:ln>
      </xdr:spPr>
    </xdr:pic>
    <xdr:clientData/>
  </xdr:twoCellAnchor>
  <xdr:twoCellAnchor editAs="oneCell">
    <xdr:from>
      <xdr:col>2</xdr:col>
      <xdr:colOff>0</xdr:colOff>
      <xdr:row>58</xdr:row>
      <xdr:rowOff>0</xdr:rowOff>
    </xdr:from>
    <xdr:to>
      <xdr:col>2</xdr:col>
      <xdr:colOff>152400</xdr:colOff>
      <xdr:row>58</xdr:row>
      <xdr:rowOff>152400</xdr:rowOff>
    </xdr:to>
    <xdr:pic>
      <xdr:nvPicPr>
        <xdr:cNvPr id="625" name="Control 228">
          <a:extLst>
            <a:ext uri="{FF2B5EF4-FFF2-40B4-BE49-F238E27FC236}">
              <a16:creationId xmlns:a16="http://schemas.microsoft.com/office/drawing/2014/main" id="{00000000-0008-0000-0E00-000071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2153900"/>
          <a:ext cx="152400" cy="152400"/>
        </a:xfrm>
        <a:prstGeom prst="rect">
          <a:avLst/>
        </a:prstGeom>
        <a:noFill/>
        <a:ln w="9525">
          <a:miter lim="800000"/>
          <a:headEnd/>
          <a:tailEnd/>
        </a:ln>
      </xdr:spPr>
    </xdr:pic>
    <xdr:clientData/>
  </xdr:twoCellAnchor>
  <xdr:twoCellAnchor editAs="oneCell">
    <xdr:from>
      <xdr:col>0</xdr:col>
      <xdr:colOff>0</xdr:colOff>
      <xdr:row>59</xdr:row>
      <xdr:rowOff>0</xdr:rowOff>
    </xdr:from>
    <xdr:to>
      <xdr:col>0</xdr:col>
      <xdr:colOff>139700</xdr:colOff>
      <xdr:row>59</xdr:row>
      <xdr:rowOff>139700</xdr:rowOff>
    </xdr:to>
    <xdr:pic>
      <xdr:nvPicPr>
        <xdr:cNvPr id="626" name="Control 229">
          <a:extLst>
            <a:ext uri="{FF2B5EF4-FFF2-40B4-BE49-F238E27FC236}">
              <a16:creationId xmlns:a16="http://schemas.microsoft.com/office/drawing/2014/main" id="{00000000-0008-0000-0E00-000072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2363450"/>
          <a:ext cx="139700" cy="139700"/>
        </a:xfrm>
        <a:prstGeom prst="rect">
          <a:avLst/>
        </a:prstGeom>
        <a:noFill/>
        <a:ln w="9525">
          <a:miter lim="800000"/>
          <a:headEnd/>
          <a:tailEnd/>
        </a:ln>
      </xdr:spPr>
    </xdr:pic>
    <xdr:clientData/>
  </xdr:twoCellAnchor>
  <xdr:twoCellAnchor editAs="oneCell">
    <xdr:from>
      <xdr:col>2</xdr:col>
      <xdr:colOff>0</xdr:colOff>
      <xdr:row>59</xdr:row>
      <xdr:rowOff>0</xdr:rowOff>
    </xdr:from>
    <xdr:to>
      <xdr:col>2</xdr:col>
      <xdr:colOff>254000</xdr:colOff>
      <xdr:row>60</xdr:row>
      <xdr:rowOff>82550</xdr:rowOff>
    </xdr:to>
    <xdr:pic>
      <xdr:nvPicPr>
        <xdr:cNvPr id="627" name="Control 230">
          <a:extLst>
            <a:ext uri="{FF2B5EF4-FFF2-40B4-BE49-F238E27FC236}">
              <a16:creationId xmlns:a16="http://schemas.microsoft.com/office/drawing/2014/main" id="{00000000-0008-0000-0E00-000073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2363450"/>
          <a:ext cx="254000" cy="273050"/>
        </a:xfrm>
        <a:prstGeom prst="rect">
          <a:avLst/>
        </a:prstGeom>
        <a:noFill/>
        <a:ln w="9525">
          <a:miter lim="800000"/>
          <a:headEnd/>
          <a:tailEnd/>
        </a:ln>
      </xdr:spPr>
    </xdr:pic>
    <xdr:clientData/>
  </xdr:twoCellAnchor>
  <xdr:twoCellAnchor editAs="oneCell">
    <xdr:from>
      <xdr:col>2</xdr:col>
      <xdr:colOff>0</xdr:colOff>
      <xdr:row>59</xdr:row>
      <xdr:rowOff>0</xdr:rowOff>
    </xdr:from>
    <xdr:to>
      <xdr:col>2</xdr:col>
      <xdr:colOff>152400</xdr:colOff>
      <xdr:row>59</xdr:row>
      <xdr:rowOff>152400</xdr:rowOff>
    </xdr:to>
    <xdr:pic>
      <xdr:nvPicPr>
        <xdr:cNvPr id="628" name="Control 231">
          <a:extLst>
            <a:ext uri="{FF2B5EF4-FFF2-40B4-BE49-F238E27FC236}">
              <a16:creationId xmlns:a16="http://schemas.microsoft.com/office/drawing/2014/main" id="{00000000-0008-0000-0E00-000074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2363450"/>
          <a:ext cx="152400" cy="152400"/>
        </a:xfrm>
        <a:prstGeom prst="rect">
          <a:avLst/>
        </a:prstGeom>
        <a:noFill/>
        <a:ln w="9525">
          <a:miter lim="800000"/>
          <a:headEnd/>
          <a:tailEnd/>
        </a:ln>
      </xdr:spPr>
    </xdr:pic>
    <xdr:clientData/>
  </xdr:twoCellAnchor>
  <xdr:twoCellAnchor editAs="oneCell">
    <xdr:from>
      <xdr:col>2</xdr:col>
      <xdr:colOff>0</xdr:colOff>
      <xdr:row>59</xdr:row>
      <xdr:rowOff>0</xdr:rowOff>
    </xdr:from>
    <xdr:to>
      <xdr:col>2</xdr:col>
      <xdr:colOff>152400</xdr:colOff>
      <xdr:row>59</xdr:row>
      <xdr:rowOff>152400</xdr:rowOff>
    </xdr:to>
    <xdr:pic>
      <xdr:nvPicPr>
        <xdr:cNvPr id="629" name="Control 232">
          <a:extLst>
            <a:ext uri="{FF2B5EF4-FFF2-40B4-BE49-F238E27FC236}">
              <a16:creationId xmlns:a16="http://schemas.microsoft.com/office/drawing/2014/main" id="{00000000-0008-0000-0E00-000075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2363450"/>
          <a:ext cx="152400" cy="152400"/>
        </a:xfrm>
        <a:prstGeom prst="rect">
          <a:avLst/>
        </a:prstGeom>
        <a:noFill/>
        <a:ln w="9525">
          <a:miter lim="800000"/>
          <a:headEnd/>
          <a:tailEnd/>
        </a:ln>
      </xdr:spPr>
    </xdr:pic>
    <xdr:clientData/>
  </xdr:twoCellAnchor>
  <xdr:twoCellAnchor editAs="oneCell">
    <xdr:from>
      <xdr:col>0</xdr:col>
      <xdr:colOff>0</xdr:colOff>
      <xdr:row>60</xdr:row>
      <xdr:rowOff>0</xdr:rowOff>
    </xdr:from>
    <xdr:to>
      <xdr:col>0</xdr:col>
      <xdr:colOff>139700</xdr:colOff>
      <xdr:row>60</xdr:row>
      <xdr:rowOff>139700</xdr:rowOff>
    </xdr:to>
    <xdr:pic>
      <xdr:nvPicPr>
        <xdr:cNvPr id="630" name="Control 233">
          <a:extLst>
            <a:ext uri="{FF2B5EF4-FFF2-40B4-BE49-F238E27FC236}">
              <a16:creationId xmlns:a16="http://schemas.microsoft.com/office/drawing/2014/main" id="{00000000-0008-0000-0E00-000076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2573000"/>
          <a:ext cx="139700" cy="139700"/>
        </a:xfrm>
        <a:prstGeom prst="rect">
          <a:avLst/>
        </a:prstGeom>
        <a:noFill/>
        <a:ln w="9525">
          <a:miter lim="800000"/>
          <a:headEnd/>
          <a:tailEnd/>
        </a:ln>
      </xdr:spPr>
    </xdr:pic>
    <xdr:clientData/>
  </xdr:twoCellAnchor>
  <xdr:twoCellAnchor editAs="oneCell">
    <xdr:from>
      <xdr:col>2</xdr:col>
      <xdr:colOff>0</xdr:colOff>
      <xdr:row>60</xdr:row>
      <xdr:rowOff>0</xdr:rowOff>
    </xdr:from>
    <xdr:to>
      <xdr:col>2</xdr:col>
      <xdr:colOff>254000</xdr:colOff>
      <xdr:row>61</xdr:row>
      <xdr:rowOff>82550</xdr:rowOff>
    </xdr:to>
    <xdr:pic>
      <xdr:nvPicPr>
        <xdr:cNvPr id="631" name="Control 234">
          <a:extLst>
            <a:ext uri="{FF2B5EF4-FFF2-40B4-BE49-F238E27FC236}">
              <a16:creationId xmlns:a16="http://schemas.microsoft.com/office/drawing/2014/main" id="{00000000-0008-0000-0E00-000077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2573000"/>
          <a:ext cx="254000" cy="273050"/>
        </a:xfrm>
        <a:prstGeom prst="rect">
          <a:avLst/>
        </a:prstGeom>
        <a:noFill/>
        <a:ln w="9525">
          <a:miter lim="800000"/>
          <a:headEnd/>
          <a:tailEnd/>
        </a:ln>
      </xdr:spPr>
    </xdr:pic>
    <xdr:clientData/>
  </xdr:twoCellAnchor>
  <xdr:twoCellAnchor editAs="oneCell">
    <xdr:from>
      <xdr:col>2</xdr:col>
      <xdr:colOff>0</xdr:colOff>
      <xdr:row>60</xdr:row>
      <xdr:rowOff>0</xdr:rowOff>
    </xdr:from>
    <xdr:to>
      <xdr:col>2</xdr:col>
      <xdr:colOff>152400</xdr:colOff>
      <xdr:row>60</xdr:row>
      <xdr:rowOff>152400</xdr:rowOff>
    </xdr:to>
    <xdr:pic>
      <xdr:nvPicPr>
        <xdr:cNvPr id="632" name="Control 235">
          <a:extLst>
            <a:ext uri="{FF2B5EF4-FFF2-40B4-BE49-F238E27FC236}">
              <a16:creationId xmlns:a16="http://schemas.microsoft.com/office/drawing/2014/main" id="{00000000-0008-0000-0E00-000078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2573000"/>
          <a:ext cx="152400" cy="152400"/>
        </a:xfrm>
        <a:prstGeom prst="rect">
          <a:avLst/>
        </a:prstGeom>
        <a:noFill/>
        <a:ln w="9525">
          <a:miter lim="800000"/>
          <a:headEnd/>
          <a:tailEnd/>
        </a:ln>
      </xdr:spPr>
    </xdr:pic>
    <xdr:clientData/>
  </xdr:twoCellAnchor>
  <xdr:twoCellAnchor editAs="oneCell">
    <xdr:from>
      <xdr:col>2</xdr:col>
      <xdr:colOff>0</xdr:colOff>
      <xdr:row>60</xdr:row>
      <xdr:rowOff>0</xdr:rowOff>
    </xdr:from>
    <xdr:to>
      <xdr:col>2</xdr:col>
      <xdr:colOff>152400</xdr:colOff>
      <xdr:row>60</xdr:row>
      <xdr:rowOff>152400</xdr:rowOff>
    </xdr:to>
    <xdr:pic>
      <xdr:nvPicPr>
        <xdr:cNvPr id="633" name="Control 236">
          <a:extLst>
            <a:ext uri="{FF2B5EF4-FFF2-40B4-BE49-F238E27FC236}">
              <a16:creationId xmlns:a16="http://schemas.microsoft.com/office/drawing/2014/main" id="{00000000-0008-0000-0E00-000079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2573000"/>
          <a:ext cx="152400" cy="152400"/>
        </a:xfrm>
        <a:prstGeom prst="rect">
          <a:avLst/>
        </a:prstGeom>
        <a:noFill/>
        <a:ln w="9525">
          <a:miter lim="800000"/>
          <a:headEnd/>
          <a:tailEnd/>
        </a:ln>
      </xdr:spPr>
    </xdr:pic>
    <xdr:clientData/>
  </xdr:twoCellAnchor>
  <xdr:twoCellAnchor editAs="oneCell">
    <xdr:from>
      <xdr:col>2</xdr:col>
      <xdr:colOff>0</xdr:colOff>
      <xdr:row>61</xdr:row>
      <xdr:rowOff>0</xdr:rowOff>
    </xdr:from>
    <xdr:to>
      <xdr:col>2</xdr:col>
      <xdr:colOff>254000</xdr:colOff>
      <xdr:row>62</xdr:row>
      <xdr:rowOff>82550</xdr:rowOff>
    </xdr:to>
    <xdr:pic>
      <xdr:nvPicPr>
        <xdr:cNvPr id="634" name="Control 237">
          <a:extLst>
            <a:ext uri="{FF2B5EF4-FFF2-40B4-BE49-F238E27FC236}">
              <a16:creationId xmlns:a16="http://schemas.microsoft.com/office/drawing/2014/main" id="{00000000-0008-0000-0E00-00007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2782550"/>
          <a:ext cx="254000" cy="273050"/>
        </a:xfrm>
        <a:prstGeom prst="rect">
          <a:avLst/>
        </a:prstGeom>
        <a:noFill/>
        <a:ln w="9525">
          <a:miter lim="800000"/>
          <a:headEnd/>
          <a:tailEnd/>
        </a:ln>
      </xdr:spPr>
    </xdr:pic>
    <xdr:clientData/>
  </xdr:twoCellAnchor>
  <xdr:twoCellAnchor editAs="oneCell">
    <xdr:from>
      <xdr:col>2</xdr:col>
      <xdr:colOff>0</xdr:colOff>
      <xdr:row>61</xdr:row>
      <xdr:rowOff>0</xdr:rowOff>
    </xdr:from>
    <xdr:to>
      <xdr:col>2</xdr:col>
      <xdr:colOff>152400</xdr:colOff>
      <xdr:row>61</xdr:row>
      <xdr:rowOff>152400</xdr:rowOff>
    </xdr:to>
    <xdr:pic>
      <xdr:nvPicPr>
        <xdr:cNvPr id="635" name="Control 238">
          <a:extLst>
            <a:ext uri="{FF2B5EF4-FFF2-40B4-BE49-F238E27FC236}">
              <a16:creationId xmlns:a16="http://schemas.microsoft.com/office/drawing/2014/main" id="{00000000-0008-0000-0E00-00007B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2782550"/>
          <a:ext cx="152400" cy="152400"/>
        </a:xfrm>
        <a:prstGeom prst="rect">
          <a:avLst/>
        </a:prstGeom>
        <a:noFill/>
        <a:ln w="9525">
          <a:miter lim="800000"/>
          <a:headEnd/>
          <a:tailEnd/>
        </a:ln>
      </xdr:spPr>
    </xdr:pic>
    <xdr:clientData/>
  </xdr:twoCellAnchor>
  <xdr:twoCellAnchor editAs="oneCell">
    <xdr:from>
      <xdr:col>2</xdr:col>
      <xdr:colOff>0</xdr:colOff>
      <xdr:row>61</xdr:row>
      <xdr:rowOff>0</xdr:rowOff>
    </xdr:from>
    <xdr:to>
      <xdr:col>2</xdr:col>
      <xdr:colOff>152400</xdr:colOff>
      <xdr:row>61</xdr:row>
      <xdr:rowOff>152400</xdr:rowOff>
    </xdr:to>
    <xdr:pic>
      <xdr:nvPicPr>
        <xdr:cNvPr id="636" name="Control 239">
          <a:extLst>
            <a:ext uri="{FF2B5EF4-FFF2-40B4-BE49-F238E27FC236}">
              <a16:creationId xmlns:a16="http://schemas.microsoft.com/office/drawing/2014/main" id="{00000000-0008-0000-0E00-00007C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2782550"/>
          <a:ext cx="152400" cy="152400"/>
        </a:xfrm>
        <a:prstGeom prst="rect">
          <a:avLst/>
        </a:prstGeom>
        <a:noFill/>
        <a:ln w="9525">
          <a:miter lim="800000"/>
          <a:headEnd/>
          <a:tailEnd/>
        </a:ln>
      </xdr:spPr>
    </xdr:pic>
    <xdr:clientData/>
  </xdr:twoCellAnchor>
  <xdr:twoCellAnchor editAs="oneCell">
    <xdr:from>
      <xdr:col>0</xdr:col>
      <xdr:colOff>0</xdr:colOff>
      <xdr:row>62</xdr:row>
      <xdr:rowOff>0</xdr:rowOff>
    </xdr:from>
    <xdr:to>
      <xdr:col>0</xdr:col>
      <xdr:colOff>139700</xdr:colOff>
      <xdr:row>62</xdr:row>
      <xdr:rowOff>139700</xdr:rowOff>
    </xdr:to>
    <xdr:pic>
      <xdr:nvPicPr>
        <xdr:cNvPr id="637" name="Control 240">
          <a:extLst>
            <a:ext uri="{FF2B5EF4-FFF2-40B4-BE49-F238E27FC236}">
              <a16:creationId xmlns:a16="http://schemas.microsoft.com/office/drawing/2014/main" id="{00000000-0008-0000-0E00-00007D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2992100"/>
          <a:ext cx="139700" cy="139700"/>
        </a:xfrm>
        <a:prstGeom prst="rect">
          <a:avLst/>
        </a:prstGeom>
        <a:noFill/>
        <a:ln w="9525">
          <a:miter lim="800000"/>
          <a:headEnd/>
          <a:tailEnd/>
        </a:ln>
      </xdr:spPr>
    </xdr:pic>
    <xdr:clientData/>
  </xdr:twoCellAnchor>
  <xdr:twoCellAnchor editAs="oneCell">
    <xdr:from>
      <xdr:col>2</xdr:col>
      <xdr:colOff>0</xdr:colOff>
      <xdr:row>62</xdr:row>
      <xdr:rowOff>0</xdr:rowOff>
    </xdr:from>
    <xdr:to>
      <xdr:col>2</xdr:col>
      <xdr:colOff>254000</xdr:colOff>
      <xdr:row>63</xdr:row>
      <xdr:rowOff>82550</xdr:rowOff>
    </xdr:to>
    <xdr:pic>
      <xdr:nvPicPr>
        <xdr:cNvPr id="638" name="Control 241">
          <a:extLst>
            <a:ext uri="{FF2B5EF4-FFF2-40B4-BE49-F238E27FC236}">
              <a16:creationId xmlns:a16="http://schemas.microsoft.com/office/drawing/2014/main" id="{00000000-0008-0000-0E00-00007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2992100"/>
          <a:ext cx="254000" cy="273050"/>
        </a:xfrm>
        <a:prstGeom prst="rect">
          <a:avLst/>
        </a:prstGeom>
        <a:noFill/>
        <a:ln w="9525">
          <a:miter lim="800000"/>
          <a:headEnd/>
          <a:tailEnd/>
        </a:ln>
      </xdr:spPr>
    </xdr:pic>
    <xdr:clientData/>
  </xdr:twoCellAnchor>
  <xdr:twoCellAnchor editAs="oneCell">
    <xdr:from>
      <xdr:col>2</xdr:col>
      <xdr:colOff>0</xdr:colOff>
      <xdr:row>62</xdr:row>
      <xdr:rowOff>0</xdr:rowOff>
    </xdr:from>
    <xdr:to>
      <xdr:col>2</xdr:col>
      <xdr:colOff>152400</xdr:colOff>
      <xdr:row>62</xdr:row>
      <xdr:rowOff>152400</xdr:rowOff>
    </xdr:to>
    <xdr:pic>
      <xdr:nvPicPr>
        <xdr:cNvPr id="639" name="Control 242">
          <a:extLst>
            <a:ext uri="{FF2B5EF4-FFF2-40B4-BE49-F238E27FC236}">
              <a16:creationId xmlns:a16="http://schemas.microsoft.com/office/drawing/2014/main" id="{00000000-0008-0000-0E00-00007F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2992100"/>
          <a:ext cx="152400" cy="152400"/>
        </a:xfrm>
        <a:prstGeom prst="rect">
          <a:avLst/>
        </a:prstGeom>
        <a:noFill/>
        <a:ln w="9525">
          <a:miter lim="800000"/>
          <a:headEnd/>
          <a:tailEnd/>
        </a:ln>
      </xdr:spPr>
    </xdr:pic>
    <xdr:clientData/>
  </xdr:twoCellAnchor>
  <xdr:twoCellAnchor editAs="oneCell">
    <xdr:from>
      <xdr:col>2</xdr:col>
      <xdr:colOff>0</xdr:colOff>
      <xdr:row>62</xdr:row>
      <xdr:rowOff>0</xdr:rowOff>
    </xdr:from>
    <xdr:to>
      <xdr:col>2</xdr:col>
      <xdr:colOff>152400</xdr:colOff>
      <xdr:row>62</xdr:row>
      <xdr:rowOff>152400</xdr:rowOff>
    </xdr:to>
    <xdr:pic>
      <xdr:nvPicPr>
        <xdr:cNvPr id="640" name="Control 243">
          <a:extLst>
            <a:ext uri="{FF2B5EF4-FFF2-40B4-BE49-F238E27FC236}">
              <a16:creationId xmlns:a16="http://schemas.microsoft.com/office/drawing/2014/main" id="{00000000-0008-0000-0E00-000080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2992100"/>
          <a:ext cx="152400" cy="152400"/>
        </a:xfrm>
        <a:prstGeom prst="rect">
          <a:avLst/>
        </a:prstGeom>
        <a:noFill/>
        <a:ln w="9525">
          <a:miter lim="800000"/>
          <a:headEnd/>
          <a:tailEnd/>
        </a:ln>
      </xdr:spPr>
    </xdr:pic>
    <xdr:clientData/>
  </xdr:twoCellAnchor>
  <xdr:twoCellAnchor editAs="oneCell">
    <xdr:from>
      <xdr:col>0</xdr:col>
      <xdr:colOff>0</xdr:colOff>
      <xdr:row>63</xdr:row>
      <xdr:rowOff>0</xdr:rowOff>
    </xdr:from>
    <xdr:to>
      <xdr:col>0</xdr:col>
      <xdr:colOff>139700</xdr:colOff>
      <xdr:row>63</xdr:row>
      <xdr:rowOff>139700</xdr:rowOff>
    </xdr:to>
    <xdr:pic>
      <xdr:nvPicPr>
        <xdr:cNvPr id="641" name="Control 244">
          <a:extLst>
            <a:ext uri="{FF2B5EF4-FFF2-40B4-BE49-F238E27FC236}">
              <a16:creationId xmlns:a16="http://schemas.microsoft.com/office/drawing/2014/main" id="{00000000-0008-0000-0E00-000081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3201650"/>
          <a:ext cx="139700" cy="139700"/>
        </a:xfrm>
        <a:prstGeom prst="rect">
          <a:avLst/>
        </a:prstGeom>
        <a:noFill/>
        <a:ln w="9525">
          <a:miter lim="800000"/>
          <a:headEnd/>
          <a:tailEnd/>
        </a:ln>
      </xdr:spPr>
    </xdr:pic>
    <xdr:clientData/>
  </xdr:twoCellAnchor>
  <xdr:twoCellAnchor editAs="oneCell">
    <xdr:from>
      <xdr:col>2</xdr:col>
      <xdr:colOff>0</xdr:colOff>
      <xdr:row>63</xdr:row>
      <xdr:rowOff>0</xdr:rowOff>
    </xdr:from>
    <xdr:to>
      <xdr:col>2</xdr:col>
      <xdr:colOff>254000</xdr:colOff>
      <xdr:row>64</xdr:row>
      <xdr:rowOff>82550</xdr:rowOff>
    </xdr:to>
    <xdr:pic>
      <xdr:nvPicPr>
        <xdr:cNvPr id="642" name="Control 245">
          <a:extLst>
            <a:ext uri="{FF2B5EF4-FFF2-40B4-BE49-F238E27FC236}">
              <a16:creationId xmlns:a16="http://schemas.microsoft.com/office/drawing/2014/main" id="{00000000-0008-0000-0E00-00008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3201650"/>
          <a:ext cx="254000" cy="273050"/>
        </a:xfrm>
        <a:prstGeom prst="rect">
          <a:avLst/>
        </a:prstGeom>
        <a:noFill/>
        <a:ln w="9525">
          <a:miter lim="800000"/>
          <a:headEnd/>
          <a:tailEnd/>
        </a:ln>
      </xdr:spPr>
    </xdr:pic>
    <xdr:clientData/>
  </xdr:twoCellAnchor>
  <xdr:twoCellAnchor editAs="oneCell">
    <xdr:from>
      <xdr:col>2</xdr:col>
      <xdr:colOff>0</xdr:colOff>
      <xdr:row>63</xdr:row>
      <xdr:rowOff>0</xdr:rowOff>
    </xdr:from>
    <xdr:to>
      <xdr:col>2</xdr:col>
      <xdr:colOff>152400</xdr:colOff>
      <xdr:row>63</xdr:row>
      <xdr:rowOff>152400</xdr:rowOff>
    </xdr:to>
    <xdr:pic>
      <xdr:nvPicPr>
        <xdr:cNvPr id="643" name="Control 246">
          <a:extLst>
            <a:ext uri="{FF2B5EF4-FFF2-40B4-BE49-F238E27FC236}">
              <a16:creationId xmlns:a16="http://schemas.microsoft.com/office/drawing/2014/main" id="{00000000-0008-0000-0E00-000083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3201650"/>
          <a:ext cx="152400" cy="152400"/>
        </a:xfrm>
        <a:prstGeom prst="rect">
          <a:avLst/>
        </a:prstGeom>
        <a:noFill/>
        <a:ln w="9525">
          <a:miter lim="800000"/>
          <a:headEnd/>
          <a:tailEnd/>
        </a:ln>
      </xdr:spPr>
    </xdr:pic>
    <xdr:clientData/>
  </xdr:twoCellAnchor>
  <xdr:twoCellAnchor editAs="oneCell">
    <xdr:from>
      <xdr:col>2</xdr:col>
      <xdr:colOff>0</xdr:colOff>
      <xdr:row>63</xdr:row>
      <xdr:rowOff>0</xdr:rowOff>
    </xdr:from>
    <xdr:to>
      <xdr:col>2</xdr:col>
      <xdr:colOff>152400</xdr:colOff>
      <xdr:row>63</xdr:row>
      <xdr:rowOff>152400</xdr:rowOff>
    </xdr:to>
    <xdr:pic>
      <xdr:nvPicPr>
        <xdr:cNvPr id="644" name="Control 247">
          <a:extLst>
            <a:ext uri="{FF2B5EF4-FFF2-40B4-BE49-F238E27FC236}">
              <a16:creationId xmlns:a16="http://schemas.microsoft.com/office/drawing/2014/main" id="{00000000-0008-0000-0E00-000084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3201650"/>
          <a:ext cx="152400" cy="152400"/>
        </a:xfrm>
        <a:prstGeom prst="rect">
          <a:avLst/>
        </a:prstGeom>
        <a:noFill/>
        <a:ln w="9525">
          <a:miter lim="800000"/>
          <a:headEnd/>
          <a:tailEnd/>
        </a:ln>
      </xdr:spPr>
    </xdr:pic>
    <xdr:clientData/>
  </xdr:twoCellAnchor>
  <xdr:twoCellAnchor editAs="oneCell">
    <xdr:from>
      <xdr:col>0</xdr:col>
      <xdr:colOff>0</xdr:colOff>
      <xdr:row>64</xdr:row>
      <xdr:rowOff>0</xdr:rowOff>
    </xdr:from>
    <xdr:to>
      <xdr:col>0</xdr:col>
      <xdr:colOff>139700</xdr:colOff>
      <xdr:row>64</xdr:row>
      <xdr:rowOff>139700</xdr:rowOff>
    </xdr:to>
    <xdr:pic>
      <xdr:nvPicPr>
        <xdr:cNvPr id="645" name="Control 248">
          <a:extLst>
            <a:ext uri="{FF2B5EF4-FFF2-40B4-BE49-F238E27FC236}">
              <a16:creationId xmlns:a16="http://schemas.microsoft.com/office/drawing/2014/main" id="{00000000-0008-0000-0E00-000085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3411200"/>
          <a:ext cx="139700" cy="139700"/>
        </a:xfrm>
        <a:prstGeom prst="rect">
          <a:avLst/>
        </a:prstGeom>
        <a:noFill/>
        <a:ln w="9525">
          <a:miter lim="800000"/>
          <a:headEnd/>
          <a:tailEnd/>
        </a:ln>
      </xdr:spPr>
    </xdr:pic>
    <xdr:clientData/>
  </xdr:twoCellAnchor>
  <xdr:twoCellAnchor editAs="oneCell">
    <xdr:from>
      <xdr:col>2</xdr:col>
      <xdr:colOff>0</xdr:colOff>
      <xdr:row>64</xdr:row>
      <xdr:rowOff>0</xdr:rowOff>
    </xdr:from>
    <xdr:to>
      <xdr:col>2</xdr:col>
      <xdr:colOff>254000</xdr:colOff>
      <xdr:row>65</xdr:row>
      <xdr:rowOff>82550</xdr:rowOff>
    </xdr:to>
    <xdr:pic>
      <xdr:nvPicPr>
        <xdr:cNvPr id="646" name="Control 249">
          <a:extLst>
            <a:ext uri="{FF2B5EF4-FFF2-40B4-BE49-F238E27FC236}">
              <a16:creationId xmlns:a16="http://schemas.microsoft.com/office/drawing/2014/main" id="{00000000-0008-0000-0E00-00008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3411200"/>
          <a:ext cx="254000" cy="273050"/>
        </a:xfrm>
        <a:prstGeom prst="rect">
          <a:avLst/>
        </a:prstGeom>
        <a:noFill/>
        <a:ln w="9525">
          <a:miter lim="800000"/>
          <a:headEnd/>
          <a:tailEnd/>
        </a:ln>
      </xdr:spPr>
    </xdr:pic>
    <xdr:clientData/>
  </xdr:twoCellAnchor>
  <xdr:twoCellAnchor editAs="oneCell">
    <xdr:from>
      <xdr:col>2</xdr:col>
      <xdr:colOff>0</xdr:colOff>
      <xdr:row>64</xdr:row>
      <xdr:rowOff>0</xdr:rowOff>
    </xdr:from>
    <xdr:to>
      <xdr:col>2</xdr:col>
      <xdr:colOff>152400</xdr:colOff>
      <xdr:row>64</xdr:row>
      <xdr:rowOff>152400</xdr:rowOff>
    </xdr:to>
    <xdr:pic>
      <xdr:nvPicPr>
        <xdr:cNvPr id="647" name="Control 250">
          <a:extLst>
            <a:ext uri="{FF2B5EF4-FFF2-40B4-BE49-F238E27FC236}">
              <a16:creationId xmlns:a16="http://schemas.microsoft.com/office/drawing/2014/main" id="{00000000-0008-0000-0E00-000087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3411200"/>
          <a:ext cx="152400" cy="152400"/>
        </a:xfrm>
        <a:prstGeom prst="rect">
          <a:avLst/>
        </a:prstGeom>
        <a:noFill/>
        <a:ln w="9525">
          <a:miter lim="800000"/>
          <a:headEnd/>
          <a:tailEnd/>
        </a:ln>
      </xdr:spPr>
    </xdr:pic>
    <xdr:clientData/>
  </xdr:twoCellAnchor>
  <xdr:twoCellAnchor editAs="oneCell">
    <xdr:from>
      <xdr:col>2</xdr:col>
      <xdr:colOff>0</xdr:colOff>
      <xdr:row>64</xdr:row>
      <xdr:rowOff>0</xdr:rowOff>
    </xdr:from>
    <xdr:to>
      <xdr:col>2</xdr:col>
      <xdr:colOff>152400</xdr:colOff>
      <xdr:row>64</xdr:row>
      <xdr:rowOff>152400</xdr:rowOff>
    </xdr:to>
    <xdr:pic>
      <xdr:nvPicPr>
        <xdr:cNvPr id="648" name="Control 251">
          <a:extLst>
            <a:ext uri="{FF2B5EF4-FFF2-40B4-BE49-F238E27FC236}">
              <a16:creationId xmlns:a16="http://schemas.microsoft.com/office/drawing/2014/main" id="{00000000-0008-0000-0E00-000088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3411200"/>
          <a:ext cx="152400" cy="152400"/>
        </a:xfrm>
        <a:prstGeom prst="rect">
          <a:avLst/>
        </a:prstGeom>
        <a:noFill/>
        <a:ln w="9525">
          <a:miter lim="800000"/>
          <a:headEnd/>
          <a:tailEnd/>
        </a:ln>
      </xdr:spPr>
    </xdr:pic>
    <xdr:clientData/>
  </xdr:twoCellAnchor>
  <xdr:twoCellAnchor editAs="oneCell">
    <xdr:from>
      <xdr:col>0</xdr:col>
      <xdr:colOff>0</xdr:colOff>
      <xdr:row>65</xdr:row>
      <xdr:rowOff>0</xdr:rowOff>
    </xdr:from>
    <xdr:to>
      <xdr:col>0</xdr:col>
      <xdr:colOff>139700</xdr:colOff>
      <xdr:row>65</xdr:row>
      <xdr:rowOff>139700</xdr:rowOff>
    </xdr:to>
    <xdr:pic>
      <xdr:nvPicPr>
        <xdr:cNvPr id="649" name="Control 252">
          <a:extLst>
            <a:ext uri="{FF2B5EF4-FFF2-40B4-BE49-F238E27FC236}">
              <a16:creationId xmlns:a16="http://schemas.microsoft.com/office/drawing/2014/main" id="{00000000-0008-0000-0E00-000089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3620750"/>
          <a:ext cx="139700" cy="139700"/>
        </a:xfrm>
        <a:prstGeom prst="rect">
          <a:avLst/>
        </a:prstGeom>
        <a:noFill/>
        <a:ln w="9525">
          <a:miter lim="800000"/>
          <a:headEnd/>
          <a:tailEnd/>
        </a:ln>
      </xdr:spPr>
    </xdr:pic>
    <xdr:clientData/>
  </xdr:twoCellAnchor>
  <xdr:twoCellAnchor editAs="oneCell">
    <xdr:from>
      <xdr:col>2</xdr:col>
      <xdr:colOff>0</xdr:colOff>
      <xdr:row>65</xdr:row>
      <xdr:rowOff>0</xdr:rowOff>
    </xdr:from>
    <xdr:to>
      <xdr:col>2</xdr:col>
      <xdr:colOff>254000</xdr:colOff>
      <xdr:row>66</xdr:row>
      <xdr:rowOff>82550</xdr:rowOff>
    </xdr:to>
    <xdr:pic>
      <xdr:nvPicPr>
        <xdr:cNvPr id="650" name="Control 253">
          <a:extLst>
            <a:ext uri="{FF2B5EF4-FFF2-40B4-BE49-F238E27FC236}">
              <a16:creationId xmlns:a16="http://schemas.microsoft.com/office/drawing/2014/main" id="{00000000-0008-0000-0E00-00008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3620750"/>
          <a:ext cx="254000" cy="273050"/>
        </a:xfrm>
        <a:prstGeom prst="rect">
          <a:avLst/>
        </a:prstGeom>
        <a:noFill/>
        <a:ln w="9525">
          <a:miter lim="800000"/>
          <a:headEnd/>
          <a:tailEnd/>
        </a:ln>
      </xdr:spPr>
    </xdr:pic>
    <xdr:clientData/>
  </xdr:twoCellAnchor>
  <xdr:twoCellAnchor editAs="oneCell">
    <xdr:from>
      <xdr:col>2</xdr:col>
      <xdr:colOff>0</xdr:colOff>
      <xdr:row>65</xdr:row>
      <xdr:rowOff>0</xdr:rowOff>
    </xdr:from>
    <xdr:to>
      <xdr:col>2</xdr:col>
      <xdr:colOff>152400</xdr:colOff>
      <xdr:row>65</xdr:row>
      <xdr:rowOff>152400</xdr:rowOff>
    </xdr:to>
    <xdr:pic>
      <xdr:nvPicPr>
        <xdr:cNvPr id="651" name="Control 254">
          <a:extLst>
            <a:ext uri="{FF2B5EF4-FFF2-40B4-BE49-F238E27FC236}">
              <a16:creationId xmlns:a16="http://schemas.microsoft.com/office/drawing/2014/main" id="{00000000-0008-0000-0E00-00008B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3620750"/>
          <a:ext cx="152400" cy="152400"/>
        </a:xfrm>
        <a:prstGeom prst="rect">
          <a:avLst/>
        </a:prstGeom>
        <a:noFill/>
        <a:ln w="9525">
          <a:miter lim="800000"/>
          <a:headEnd/>
          <a:tailEnd/>
        </a:ln>
      </xdr:spPr>
    </xdr:pic>
    <xdr:clientData/>
  </xdr:twoCellAnchor>
  <xdr:twoCellAnchor editAs="oneCell">
    <xdr:from>
      <xdr:col>2</xdr:col>
      <xdr:colOff>0</xdr:colOff>
      <xdr:row>65</xdr:row>
      <xdr:rowOff>0</xdr:rowOff>
    </xdr:from>
    <xdr:to>
      <xdr:col>2</xdr:col>
      <xdr:colOff>152400</xdr:colOff>
      <xdr:row>65</xdr:row>
      <xdr:rowOff>152400</xdr:rowOff>
    </xdr:to>
    <xdr:pic>
      <xdr:nvPicPr>
        <xdr:cNvPr id="652" name="Control 255">
          <a:extLst>
            <a:ext uri="{FF2B5EF4-FFF2-40B4-BE49-F238E27FC236}">
              <a16:creationId xmlns:a16="http://schemas.microsoft.com/office/drawing/2014/main" id="{00000000-0008-0000-0E00-00008C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3620750"/>
          <a:ext cx="152400" cy="152400"/>
        </a:xfrm>
        <a:prstGeom prst="rect">
          <a:avLst/>
        </a:prstGeom>
        <a:noFill/>
        <a:ln w="9525">
          <a:miter lim="800000"/>
          <a:headEnd/>
          <a:tailEnd/>
        </a:ln>
      </xdr:spPr>
    </xdr:pic>
    <xdr:clientData/>
  </xdr:twoCellAnchor>
  <xdr:twoCellAnchor editAs="oneCell">
    <xdr:from>
      <xdr:col>0</xdr:col>
      <xdr:colOff>0</xdr:colOff>
      <xdr:row>66</xdr:row>
      <xdr:rowOff>0</xdr:rowOff>
    </xdr:from>
    <xdr:to>
      <xdr:col>0</xdr:col>
      <xdr:colOff>139700</xdr:colOff>
      <xdr:row>66</xdr:row>
      <xdr:rowOff>139700</xdr:rowOff>
    </xdr:to>
    <xdr:pic>
      <xdr:nvPicPr>
        <xdr:cNvPr id="653" name="Control 256">
          <a:extLst>
            <a:ext uri="{FF2B5EF4-FFF2-40B4-BE49-F238E27FC236}">
              <a16:creationId xmlns:a16="http://schemas.microsoft.com/office/drawing/2014/main" id="{00000000-0008-0000-0E00-00008D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3830300"/>
          <a:ext cx="139700" cy="139700"/>
        </a:xfrm>
        <a:prstGeom prst="rect">
          <a:avLst/>
        </a:prstGeom>
        <a:noFill/>
        <a:ln w="9525">
          <a:miter lim="800000"/>
          <a:headEnd/>
          <a:tailEnd/>
        </a:ln>
      </xdr:spPr>
    </xdr:pic>
    <xdr:clientData/>
  </xdr:twoCellAnchor>
  <xdr:twoCellAnchor editAs="oneCell">
    <xdr:from>
      <xdr:col>2</xdr:col>
      <xdr:colOff>0</xdr:colOff>
      <xdr:row>66</xdr:row>
      <xdr:rowOff>0</xdr:rowOff>
    </xdr:from>
    <xdr:to>
      <xdr:col>2</xdr:col>
      <xdr:colOff>254000</xdr:colOff>
      <xdr:row>67</xdr:row>
      <xdr:rowOff>82550</xdr:rowOff>
    </xdr:to>
    <xdr:pic>
      <xdr:nvPicPr>
        <xdr:cNvPr id="654" name="Control 257">
          <a:extLst>
            <a:ext uri="{FF2B5EF4-FFF2-40B4-BE49-F238E27FC236}">
              <a16:creationId xmlns:a16="http://schemas.microsoft.com/office/drawing/2014/main" id="{00000000-0008-0000-0E00-00008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3830300"/>
          <a:ext cx="254000" cy="273050"/>
        </a:xfrm>
        <a:prstGeom prst="rect">
          <a:avLst/>
        </a:prstGeom>
        <a:noFill/>
        <a:ln w="9525">
          <a:miter lim="800000"/>
          <a:headEnd/>
          <a:tailEnd/>
        </a:ln>
      </xdr:spPr>
    </xdr:pic>
    <xdr:clientData/>
  </xdr:twoCellAnchor>
  <xdr:twoCellAnchor editAs="oneCell">
    <xdr:from>
      <xdr:col>2</xdr:col>
      <xdr:colOff>0</xdr:colOff>
      <xdr:row>66</xdr:row>
      <xdr:rowOff>0</xdr:rowOff>
    </xdr:from>
    <xdr:to>
      <xdr:col>2</xdr:col>
      <xdr:colOff>152400</xdr:colOff>
      <xdr:row>66</xdr:row>
      <xdr:rowOff>152400</xdr:rowOff>
    </xdr:to>
    <xdr:pic>
      <xdr:nvPicPr>
        <xdr:cNvPr id="655" name="Control 258">
          <a:extLst>
            <a:ext uri="{FF2B5EF4-FFF2-40B4-BE49-F238E27FC236}">
              <a16:creationId xmlns:a16="http://schemas.microsoft.com/office/drawing/2014/main" id="{00000000-0008-0000-0E00-00008F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3830300"/>
          <a:ext cx="152400" cy="152400"/>
        </a:xfrm>
        <a:prstGeom prst="rect">
          <a:avLst/>
        </a:prstGeom>
        <a:noFill/>
        <a:ln w="9525">
          <a:miter lim="800000"/>
          <a:headEnd/>
          <a:tailEnd/>
        </a:ln>
      </xdr:spPr>
    </xdr:pic>
    <xdr:clientData/>
  </xdr:twoCellAnchor>
  <xdr:twoCellAnchor editAs="oneCell">
    <xdr:from>
      <xdr:col>2</xdr:col>
      <xdr:colOff>0</xdr:colOff>
      <xdr:row>66</xdr:row>
      <xdr:rowOff>0</xdr:rowOff>
    </xdr:from>
    <xdr:to>
      <xdr:col>2</xdr:col>
      <xdr:colOff>152400</xdr:colOff>
      <xdr:row>66</xdr:row>
      <xdr:rowOff>152400</xdr:rowOff>
    </xdr:to>
    <xdr:pic>
      <xdr:nvPicPr>
        <xdr:cNvPr id="656" name="Control 259">
          <a:extLst>
            <a:ext uri="{FF2B5EF4-FFF2-40B4-BE49-F238E27FC236}">
              <a16:creationId xmlns:a16="http://schemas.microsoft.com/office/drawing/2014/main" id="{00000000-0008-0000-0E00-000090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3830300"/>
          <a:ext cx="152400" cy="152400"/>
        </a:xfrm>
        <a:prstGeom prst="rect">
          <a:avLst/>
        </a:prstGeom>
        <a:noFill/>
        <a:ln w="9525">
          <a:miter lim="800000"/>
          <a:headEnd/>
          <a:tailEnd/>
        </a:ln>
      </xdr:spPr>
    </xdr:pic>
    <xdr:clientData/>
  </xdr:twoCellAnchor>
  <xdr:twoCellAnchor editAs="oneCell">
    <xdr:from>
      <xdr:col>0</xdr:col>
      <xdr:colOff>0</xdr:colOff>
      <xdr:row>67</xdr:row>
      <xdr:rowOff>0</xdr:rowOff>
    </xdr:from>
    <xdr:to>
      <xdr:col>0</xdr:col>
      <xdr:colOff>139700</xdr:colOff>
      <xdr:row>67</xdr:row>
      <xdr:rowOff>139700</xdr:rowOff>
    </xdr:to>
    <xdr:pic>
      <xdr:nvPicPr>
        <xdr:cNvPr id="657" name="Control 260">
          <a:extLst>
            <a:ext uri="{FF2B5EF4-FFF2-40B4-BE49-F238E27FC236}">
              <a16:creationId xmlns:a16="http://schemas.microsoft.com/office/drawing/2014/main" id="{00000000-0008-0000-0E00-000091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4039850"/>
          <a:ext cx="139700" cy="139700"/>
        </a:xfrm>
        <a:prstGeom prst="rect">
          <a:avLst/>
        </a:prstGeom>
        <a:noFill/>
        <a:ln w="9525">
          <a:miter lim="800000"/>
          <a:headEnd/>
          <a:tailEnd/>
        </a:ln>
      </xdr:spPr>
    </xdr:pic>
    <xdr:clientData/>
  </xdr:twoCellAnchor>
  <xdr:twoCellAnchor editAs="oneCell">
    <xdr:from>
      <xdr:col>2</xdr:col>
      <xdr:colOff>0</xdr:colOff>
      <xdr:row>67</xdr:row>
      <xdr:rowOff>0</xdr:rowOff>
    </xdr:from>
    <xdr:to>
      <xdr:col>2</xdr:col>
      <xdr:colOff>254000</xdr:colOff>
      <xdr:row>68</xdr:row>
      <xdr:rowOff>82550</xdr:rowOff>
    </xdr:to>
    <xdr:pic>
      <xdr:nvPicPr>
        <xdr:cNvPr id="658" name="Control 261">
          <a:extLst>
            <a:ext uri="{FF2B5EF4-FFF2-40B4-BE49-F238E27FC236}">
              <a16:creationId xmlns:a16="http://schemas.microsoft.com/office/drawing/2014/main" id="{00000000-0008-0000-0E00-00009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4039850"/>
          <a:ext cx="254000" cy="273050"/>
        </a:xfrm>
        <a:prstGeom prst="rect">
          <a:avLst/>
        </a:prstGeom>
        <a:noFill/>
        <a:ln w="9525">
          <a:miter lim="800000"/>
          <a:headEnd/>
          <a:tailEnd/>
        </a:ln>
      </xdr:spPr>
    </xdr:pic>
    <xdr:clientData/>
  </xdr:twoCellAnchor>
  <xdr:twoCellAnchor editAs="oneCell">
    <xdr:from>
      <xdr:col>2</xdr:col>
      <xdr:colOff>0</xdr:colOff>
      <xdr:row>67</xdr:row>
      <xdr:rowOff>0</xdr:rowOff>
    </xdr:from>
    <xdr:to>
      <xdr:col>2</xdr:col>
      <xdr:colOff>152400</xdr:colOff>
      <xdr:row>67</xdr:row>
      <xdr:rowOff>152400</xdr:rowOff>
    </xdr:to>
    <xdr:pic>
      <xdr:nvPicPr>
        <xdr:cNvPr id="659" name="Control 262">
          <a:extLst>
            <a:ext uri="{FF2B5EF4-FFF2-40B4-BE49-F238E27FC236}">
              <a16:creationId xmlns:a16="http://schemas.microsoft.com/office/drawing/2014/main" id="{00000000-0008-0000-0E00-000093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4039850"/>
          <a:ext cx="152400" cy="152400"/>
        </a:xfrm>
        <a:prstGeom prst="rect">
          <a:avLst/>
        </a:prstGeom>
        <a:noFill/>
        <a:ln w="9525">
          <a:miter lim="800000"/>
          <a:headEnd/>
          <a:tailEnd/>
        </a:ln>
      </xdr:spPr>
    </xdr:pic>
    <xdr:clientData/>
  </xdr:twoCellAnchor>
  <xdr:twoCellAnchor editAs="oneCell">
    <xdr:from>
      <xdr:col>2</xdr:col>
      <xdr:colOff>0</xdr:colOff>
      <xdr:row>67</xdr:row>
      <xdr:rowOff>0</xdr:rowOff>
    </xdr:from>
    <xdr:to>
      <xdr:col>2</xdr:col>
      <xdr:colOff>152400</xdr:colOff>
      <xdr:row>67</xdr:row>
      <xdr:rowOff>152400</xdr:rowOff>
    </xdr:to>
    <xdr:pic>
      <xdr:nvPicPr>
        <xdr:cNvPr id="660" name="Control 263">
          <a:extLst>
            <a:ext uri="{FF2B5EF4-FFF2-40B4-BE49-F238E27FC236}">
              <a16:creationId xmlns:a16="http://schemas.microsoft.com/office/drawing/2014/main" id="{00000000-0008-0000-0E00-000094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4039850"/>
          <a:ext cx="152400" cy="152400"/>
        </a:xfrm>
        <a:prstGeom prst="rect">
          <a:avLst/>
        </a:prstGeom>
        <a:noFill/>
        <a:ln w="9525">
          <a:miter lim="800000"/>
          <a:headEnd/>
          <a:tailEnd/>
        </a:ln>
      </xdr:spPr>
    </xdr:pic>
    <xdr:clientData/>
  </xdr:twoCellAnchor>
  <xdr:twoCellAnchor editAs="oneCell">
    <xdr:from>
      <xdr:col>0</xdr:col>
      <xdr:colOff>0</xdr:colOff>
      <xdr:row>68</xdr:row>
      <xdr:rowOff>0</xdr:rowOff>
    </xdr:from>
    <xdr:to>
      <xdr:col>0</xdr:col>
      <xdr:colOff>139700</xdr:colOff>
      <xdr:row>68</xdr:row>
      <xdr:rowOff>139700</xdr:rowOff>
    </xdr:to>
    <xdr:pic>
      <xdr:nvPicPr>
        <xdr:cNvPr id="661" name="Control 264">
          <a:extLst>
            <a:ext uri="{FF2B5EF4-FFF2-40B4-BE49-F238E27FC236}">
              <a16:creationId xmlns:a16="http://schemas.microsoft.com/office/drawing/2014/main" id="{00000000-0008-0000-0E00-000095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4249400"/>
          <a:ext cx="139700" cy="139700"/>
        </a:xfrm>
        <a:prstGeom prst="rect">
          <a:avLst/>
        </a:prstGeom>
        <a:noFill/>
        <a:ln w="9525">
          <a:miter lim="800000"/>
          <a:headEnd/>
          <a:tailEnd/>
        </a:ln>
      </xdr:spPr>
    </xdr:pic>
    <xdr:clientData/>
  </xdr:twoCellAnchor>
  <xdr:twoCellAnchor editAs="oneCell">
    <xdr:from>
      <xdr:col>2</xdr:col>
      <xdr:colOff>0</xdr:colOff>
      <xdr:row>68</xdr:row>
      <xdr:rowOff>0</xdr:rowOff>
    </xdr:from>
    <xdr:to>
      <xdr:col>2</xdr:col>
      <xdr:colOff>254000</xdr:colOff>
      <xdr:row>69</xdr:row>
      <xdr:rowOff>82550</xdr:rowOff>
    </xdr:to>
    <xdr:pic>
      <xdr:nvPicPr>
        <xdr:cNvPr id="662" name="Control 265">
          <a:extLst>
            <a:ext uri="{FF2B5EF4-FFF2-40B4-BE49-F238E27FC236}">
              <a16:creationId xmlns:a16="http://schemas.microsoft.com/office/drawing/2014/main" id="{00000000-0008-0000-0E00-00009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4249400"/>
          <a:ext cx="254000" cy="273050"/>
        </a:xfrm>
        <a:prstGeom prst="rect">
          <a:avLst/>
        </a:prstGeom>
        <a:noFill/>
        <a:ln w="9525">
          <a:miter lim="800000"/>
          <a:headEnd/>
          <a:tailEnd/>
        </a:ln>
      </xdr:spPr>
    </xdr:pic>
    <xdr:clientData/>
  </xdr:twoCellAnchor>
  <xdr:twoCellAnchor editAs="oneCell">
    <xdr:from>
      <xdr:col>2</xdr:col>
      <xdr:colOff>0</xdr:colOff>
      <xdr:row>68</xdr:row>
      <xdr:rowOff>0</xdr:rowOff>
    </xdr:from>
    <xdr:to>
      <xdr:col>2</xdr:col>
      <xdr:colOff>152400</xdr:colOff>
      <xdr:row>68</xdr:row>
      <xdr:rowOff>152400</xdr:rowOff>
    </xdr:to>
    <xdr:pic>
      <xdr:nvPicPr>
        <xdr:cNvPr id="663" name="Control 266">
          <a:extLst>
            <a:ext uri="{FF2B5EF4-FFF2-40B4-BE49-F238E27FC236}">
              <a16:creationId xmlns:a16="http://schemas.microsoft.com/office/drawing/2014/main" id="{00000000-0008-0000-0E00-000097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4249400"/>
          <a:ext cx="152400" cy="152400"/>
        </a:xfrm>
        <a:prstGeom prst="rect">
          <a:avLst/>
        </a:prstGeom>
        <a:noFill/>
        <a:ln w="9525">
          <a:miter lim="800000"/>
          <a:headEnd/>
          <a:tailEnd/>
        </a:ln>
      </xdr:spPr>
    </xdr:pic>
    <xdr:clientData/>
  </xdr:twoCellAnchor>
  <xdr:twoCellAnchor editAs="oneCell">
    <xdr:from>
      <xdr:col>2</xdr:col>
      <xdr:colOff>0</xdr:colOff>
      <xdr:row>68</xdr:row>
      <xdr:rowOff>0</xdr:rowOff>
    </xdr:from>
    <xdr:to>
      <xdr:col>2</xdr:col>
      <xdr:colOff>152400</xdr:colOff>
      <xdr:row>68</xdr:row>
      <xdr:rowOff>152400</xdr:rowOff>
    </xdr:to>
    <xdr:pic>
      <xdr:nvPicPr>
        <xdr:cNvPr id="664" name="Control 267">
          <a:extLst>
            <a:ext uri="{FF2B5EF4-FFF2-40B4-BE49-F238E27FC236}">
              <a16:creationId xmlns:a16="http://schemas.microsoft.com/office/drawing/2014/main" id="{00000000-0008-0000-0E00-000098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4249400"/>
          <a:ext cx="152400" cy="152400"/>
        </a:xfrm>
        <a:prstGeom prst="rect">
          <a:avLst/>
        </a:prstGeom>
        <a:noFill/>
        <a:ln w="9525">
          <a:miter lim="800000"/>
          <a:headEnd/>
          <a:tailEnd/>
        </a:ln>
      </xdr:spPr>
    </xdr:pic>
    <xdr:clientData/>
  </xdr:twoCellAnchor>
  <xdr:twoCellAnchor editAs="oneCell">
    <xdr:from>
      <xdr:col>0</xdr:col>
      <xdr:colOff>0</xdr:colOff>
      <xdr:row>69</xdr:row>
      <xdr:rowOff>0</xdr:rowOff>
    </xdr:from>
    <xdr:to>
      <xdr:col>0</xdr:col>
      <xdr:colOff>139700</xdr:colOff>
      <xdr:row>69</xdr:row>
      <xdr:rowOff>139700</xdr:rowOff>
    </xdr:to>
    <xdr:pic>
      <xdr:nvPicPr>
        <xdr:cNvPr id="665" name="Control 268">
          <a:extLst>
            <a:ext uri="{FF2B5EF4-FFF2-40B4-BE49-F238E27FC236}">
              <a16:creationId xmlns:a16="http://schemas.microsoft.com/office/drawing/2014/main" id="{00000000-0008-0000-0E00-000099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4458950"/>
          <a:ext cx="139700" cy="139700"/>
        </a:xfrm>
        <a:prstGeom prst="rect">
          <a:avLst/>
        </a:prstGeom>
        <a:noFill/>
        <a:ln w="9525">
          <a:miter lim="800000"/>
          <a:headEnd/>
          <a:tailEnd/>
        </a:ln>
      </xdr:spPr>
    </xdr:pic>
    <xdr:clientData/>
  </xdr:twoCellAnchor>
  <xdr:twoCellAnchor editAs="oneCell">
    <xdr:from>
      <xdr:col>2</xdr:col>
      <xdr:colOff>0</xdr:colOff>
      <xdr:row>69</xdr:row>
      <xdr:rowOff>0</xdr:rowOff>
    </xdr:from>
    <xdr:to>
      <xdr:col>2</xdr:col>
      <xdr:colOff>254000</xdr:colOff>
      <xdr:row>70</xdr:row>
      <xdr:rowOff>82550</xdr:rowOff>
    </xdr:to>
    <xdr:pic>
      <xdr:nvPicPr>
        <xdr:cNvPr id="666" name="Control 269">
          <a:extLst>
            <a:ext uri="{FF2B5EF4-FFF2-40B4-BE49-F238E27FC236}">
              <a16:creationId xmlns:a16="http://schemas.microsoft.com/office/drawing/2014/main" id="{00000000-0008-0000-0E00-00009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4458950"/>
          <a:ext cx="254000" cy="273050"/>
        </a:xfrm>
        <a:prstGeom prst="rect">
          <a:avLst/>
        </a:prstGeom>
        <a:noFill/>
        <a:ln w="9525">
          <a:miter lim="800000"/>
          <a:headEnd/>
          <a:tailEnd/>
        </a:ln>
      </xdr:spPr>
    </xdr:pic>
    <xdr:clientData/>
  </xdr:twoCellAnchor>
  <xdr:twoCellAnchor editAs="oneCell">
    <xdr:from>
      <xdr:col>2</xdr:col>
      <xdr:colOff>0</xdr:colOff>
      <xdr:row>69</xdr:row>
      <xdr:rowOff>0</xdr:rowOff>
    </xdr:from>
    <xdr:to>
      <xdr:col>2</xdr:col>
      <xdr:colOff>152400</xdr:colOff>
      <xdr:row>69</xdr:row>
      <xdr:rowOff>152400</xdr:rowOff>
    </xdr:to>
    <xdr:pic>
      <xdr:nvPicPr>
        <xdr:cNvPr id="667" name="Control 270">
          <a:extLst>
            <a:ext uri="{FF2B5EF4-FFF2-40B4-BE49-F238E27FC236}">
              <a16:creationId xmlns:a16="http://schemas.microsoft.com/office/drawing/2014/main" id="{00000000-0008-0000-0E00-00009B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4458950"/>
          <a:ext cx="152400" cy="152400"/>
        </a:xfrm>
        <a:prstGeom prst="rect">
          <a:avLst/>
        </a:prstGeom>
        <a:noFill/>
        <a:ln w="9525">
          <a:miter lim="800000"/>
          <a:headEnd/>
          <a:tailEnd/>
        </a:ln>
      </xdr:spPr>
    </xdr:pic>
    <xdr:clientData/>
  </xdr:twoCellAnchor>
  <xdr:twoCellAnchor editAs="oneCell">
    <xdr:from>
      <xdr:col>2</xdr:col>
      <xdr:colOff>0</xdr:colOff>
      <xdr:row>69</xdr:row>
      <xdr:rowOff>0</xdr:rowOff>
    </xdr:from>
    <xdr:to>
      <xdr:col>2</xdr:col>
      <xdr:colOff>152400</xdr:colOff>
      <xdr:row>69</xdr:row>
      <xdr:rowOff>152400</xdr:rowOff>
    </xdr:to>
    <xdr:pic>
      <xdr:nvPicPr>
        <xdr:cNvPr id="668" name="Control 271">
          <a:extLst>
            <a:ext uri="{FF2B5EF4-FFF2-40B4-BE49-F238E27FC236}">
              <a16:creationId xmlns:a16="http://schemas.microsoft.com/office/drawing/2014/main" id="{00000000-0008-0000-0E00-00009C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4458950"/>
          <a:ext cx="152400" cy="152400"/>
        </a:xfrm>
        <a:prstGeom prst="rect">
          <a:avLst/>
        </a:prstGeom>
        <a:noFill/>
        <a:ln w="9525">
          <a:miter lim="800000"/>
          <a:headEnd/>
          <a:tailEnd/>
        </a:ln>
      </xdr:spPr>
    </xdr:pic>
    <xdr:clientData/>
  </xdr:twoCellAnchor>
  <xdr:twoCellAnchor editAs="oneCell">
    <xdr:from>
      <xdr:col>0</xdr:col>
      <xdr:colOff>0</xdr:colOff>
      <xdr:row>70</xdr:row>
      <xdr:rowOff>0</xdr:rowOff>
    </xdr:from>
    <xdr:to>
      <xdr:col>0</xdr:col>
      <xdr:colOff>139700</xdr:colOff>
      <xdr:row>70</xdr:row>
      <xdr:rowOff>139700</xdr:rowOff>
    </xdr:to>
    <xdr:pic>
      <xdr:nvPicPr>
        <xdr:cNvPr id="669" name="Control 272">
          <a:extLst>
            <a:ext uri="{FF2B5EF4-FFF2-40B4-BE49-F238E27FC236}">
              <a16:creationId xmlns:a16="http://schemas.microsoft.com/office/drawing/2014/main" id="{00000000-0008-0000-0E00-00009D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4668500"/>
          <a:ext cx="139700" cy="139700"/>
        </a:xfrm>
        <a:prstGeom prst="rect">
          <a:avLst/>
        </a:prstGeom>
        <a:noFill/>
        <a:ln w="9525">
          <a:miter lim="800000"/>
          <a:headEnd/>
          <a:tailEnd/>
        </a:ln>
      </xdr:spPr>
    </xdr:pic>
    <xdr:clientData/>
  </xdr:twoCellAnchor>
  <xdr:twoCellAnchor editAs="oneCell">
    <xdr:from>
      <xdr:col>2</xdr:col>
      <xdr:colOff>0</xdr:colOff>
      <xdr:row>70</xdr:row>
      <xdr:rowOff>0</xdr:rowOff>
    </xdr:from>
    <xdr:to>
      <xdr:col>2</xdr:col>
      <xdr:colOff>254000</xdr:colOff>
      <xdr:row>71</xdr:row>
      <xdr:rowOff>82550</xdr:rowOff>
    </xdr:to>
    <xdr:pic>
      <xdr:nvPicPr>
        <xdr:cNvPr id="670" name="Control 273">
          <a:extLst>
            <a:ext uri="{FF2B5EF4-FFF2-40B4-BE49-F238E27FC236}">
              <a16:creationId xmlns:a16="http://schemas.microsoft.com/office/drawing/2014/main" id="{00000000-0008-0000-0E00-00009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4668500"/>
          <a:ext cx="254000" cy="273050"/>
        </a:xfrm>
        <a:prstGeom prst="rect">
          <a:avLst/>
        </a:prstGeom>
        <a:noFill/>
        <a:ln w="9525">
          <a:miter lim="800000"/>
          <a:headEnd/>
          <a:tailEnd/>
        </a:ln>
      </xdr:spPr>
    </xdr:pic>
    <xdr:clientData/>
  </xdr:twoCellAnchor>
  <xdr:twoCellAnchor editAs="oneCell">
    <xdr:from>
      <xdr:col>2</xdr:col>
      <xdr:colOff>0</xdr:colOff>
      <xdr:row>70</xdr:row>
      <xdr:rowOff>0</xdr:rowOff>
    </xdr:from>
    <xdr:to>
      <xdr:col>2</xdr:col>
      <xdr:colOff>152400</xdr:colOff>
      <xdr:row>70</xdr:row>
      <xdr:rowOff>152400</xdr:rowOff>
    </xdr:to>
    <xdr:pic>
      <xdr:nvPicPr>
        <xdr:cNvPr id="671" name="Control 274">
          <a:extLst>
            <a:ext uri="{FF2B5EF4-FFF2-40B4-BE49-F238E27FC236}">
              <a16:creationId xmlns:a16="http://schemas.microsoft.com/office/drawing/2014/main" id="{00000000-0008-0000-0E00-00009F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4668500"/>
          <a:ext cx="152400" cy="152400"/>
        </a:xfrm>
        <a:prstGeom prst="rect">
          <a:avLst/>
        </a:prstGeom>
        <a:noFill/>
        <a:ln w="9525">
          <a:miter lim="800000"/>
          <a:headEnd/>
          <a:tailEnd/>
        </a:ln>
      </xdr:spPr>
    </xdr:pic>
    <xdr:clientData/>
  </xdr:twoCellAnchor>
  <xdr:twoCellAnchor editAs="oneCell">
    <xdr:from>
      <xdr:col>2</xdr:col>
      <xdr:colOff>0</xdr:colOff>
      <xdr:row>70</xdr:row>
      <xdr:rowOff>0</xdr:rowOff>
    </xdr:from>
    <xdr:to>
      <xdr:col>2</xdr:col>
      <xdr:colOff>152400</xdr:colOff>
      <xdr:row>70</xdr:row>
      <xdr:rowOff>152400</xdr:rowOff>
    </xdr:to>
    <xdr:pic>
      <xdr:nvPicPr>
        <xdr:cNvPr id="672" name="Control 275">
          <a:extLst>
            <a:ext uri="{FF2B5EF4-FFF2-40B4-BE49-F238E27FC236}">
              <a16:creationId xmlns:a16="http://schemas.microsoft.com/office/drawing/2014/main" id="{00000000-0008-0000-0E00-0000A0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4668500"/>
          <a:ext cx="152400" cy="152400"/>
        </a:xfrm>
        <a:prstGeom prst="rect">
          <a:avLst/>
        </a:prstGeom>
        <a:noFill/>
        <a:ln w="9525">
          <a:miter lim="800000"/>
          <a:headEnd/>
          <a:tailEnd/>
        </a:ln>
      </xdr:spPr>
    </xdr:pic>
    <xdr:clientData/>
  </xdr:twoCellAnchor>
  <xdr:twoCellAnchor editAs="oneCell">
    <xdr:from>
      <xdr:col>0</xdr:col>
      <xdr:colOff>0</xdr:colOff>
      <xdr:row>71</xdr:row>
      <xdr:rowOff>0</xdr:rowOff>
    </xdr:from>
    <xdr:to>
      <xdr:col>0</xdr:col>
      <xdr:colOff>139700</xdr:colOff>
      <xdr:row>71</xdr:row>
      <xdr:rowOff>139700</xdr:rowOff>
    </xdr:to>
    <xdr:pic>
      <xdr:nvPicPr>
        <xdr:cNvPr id="673" name="Control 276">
          <a:extLst>
            <a:ext uri="{FF2B5EF4-FFF2-40B4-BE49-F238E27FC236}">
              <a16:creationId xmlns:a16="http://schemas.microsoft.com/office/drawing/2014/main" id="{00000000-0008-0000-0E00-0000A1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4878050"/>
          <a:ext cx="139700" cy="139700"/>
        </a:xfrm>
        <a:prstGeom prst="rect">
          <a:avLst/>
        </a:prstGeom>
        <a:noFill/>
        <a:ln w="9525">
          <a:miter lim="800000"/>
          <a:headEnd/>
          <a:tailEnd/>
        </a:ln>
      </xdr:spPr>
    </xdr:pic>
    <xdr:clientData/>
  </xdr:twoCellAnchor>
  <xdr:twoCellAnchor editAs="oneCell">
    <xdr:from>
      <xdr:col>2</xdr:col>
      <xdr:colOff>0</xdr:colOff>
      <xdr:row>71</xdr:row>
      <xdr:rowOff>0</xdr:rowOff>
    </xdr:from>
    <xdr:to>
      <xdr:col>2</xdr:col>
      <xdr:colOff>254000</xdr:colOff>
      <xdr:row>72</xdr:row>
      <xdr:rowOff>82550</xdr:rowOff>
    </xdr:to>
    <xdr:pic>
      <xdr:nvPicPr>
        <xdr:cNvPr id="674" name="Control 277">
          <a:extLst>
            <a:ext uri="{FF2B5EF4-FFF2-40B4-BE49-F238E27FC236}">
              <a16:creationId xmlns:a16="http://schemas.microsoft.com/office/drawing/2014/main" id="{00000000-0008-0000-0E00-0000A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4878050"/>
          <a:ext cx="254000" cy="273050"/>
        </a:xfrm>
        <a:prstGeom prst="rect">
          <a:avLst/>
        </a:prstGeom>
        <a:noFill/>
        <a:ln w="9525">
          <a:miter lim="800000"/>
          <a:headEnd/>
          <a:tailEnd/>
        </a:ln>
      </xdr:spPr>
    </xdr:pic>
    <xdr:clientData/>
  </xdr:twoCellAnchor>
  <xdr:twoCellAnchor editAs="oneCell">
    <xdr:from>
      <xdr:col>2</xdr:col>
      <xdr:colOff>0</xdr:colOff>
      <xdr:row>71</xdr:row>
      <xdr:rowOff>0</xdr:rowOff>
    </xdr:from>
    <xdr:to>
      <xdr:col>2</xdr:col>
      <xdr:colOff>152400</xdr:colOff>
      <xdr:row>71</xdr:row>
      <xdr:rowOff>152400</xdr:rowOff>
    </xdr:to>
    <xdr:pic>
      <xdr:nvPicPr>
        <xdr:cNvPr id="675" name="Control 278">
          <a:extLst>
            <a:ext uri="{FF2B5EF4-FFF2-40B4-BE49-F238E27FC236}">
              <a16:creationId xmlns:a16="http://schemas.microsoft.com/office/drawing/2014/main" id="{00000000-0008-0000-0E00-0000A3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4878050"/>
          <a:ext cx="152400" cy="152400"/>
        </a:xfrm>
        <a:prstGeom prst="rect">
          <a:avLst/>
        </a:prstGeom>
        <a:noFill/>
        <a:ln w="9525">
          <a:miter lim="800000"/>
          <a:headEnd/>
          <a:tailEnd/>
        </a:ln>
      </xdr:spPr>
    </xdr:pic>
    <xdr:clientData/>
  </xdr:twoCellAnchor>
  <xdr:twoCellAnchor editAs="oneCell">
    <xdr:from>
      <xdr:col>2</xdr:col>
      <xdr:colOff>0</xdr:colOff>
      <xdr:row>71</xdr:row>
      <xdr:rowOff>0</xdr:rowOff>
    </xdr:from>
    <xdr:to>
      <xdr:col>2</xdr:col>
      <xdr:colOff>152400</xdr:colOff>
      <xdr:row>71</xdr:row>
      <xdr:rowOff>152400</xdr:rowOff>
    </xdr:to>
    <xdr:pic>
      <xdr:nvPicPr>
        <xdr:cNvPr id="676" name="Control 279">
          <a:extLst>
            <a:ext uri="{FF2B5EF4-FFF2-40B4-BE49-F238E27FC236}">
              <a16:creationId xmlns:a16="http://schemas.microsoft.com/office/drawing/2014/main" id="{00000000-0008-0000-0E00-0000A4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4878050"/>
          <a:ext cx="152400" cy="152400"/>
        </a:xfrm>
        <a:prstGeom prst="rect">
          <a:avLst/>
        </a:prstGeom>
        <a:noFill/>
        <a:ln w="9525">
          <a:miter lim="800000"/>
          <a:headEnd/>
          <a:tailEnd/>
        </a:ln>
      </xdr:spPr>
    </xdr:pic>
    <xdr:clientData/>
  </xdr:twoCellAnchor>
  <xdr:twoCellAnchor editAs="oneCell">
    <xdr:from>
      <xdr:col>0</xdr:col>
      <xdr:colOff>0</xdr:colOff>
      <xdr:row>72</xdr:row>
      <xdr:rowOff>0</xdr:rowOff>
    </xdr:from>
    <xdr:to>
      <xdr:col>0</xdr:col>
      <xdr:colOff>139700</xdr:colOff>
      <xdr:row>72</xdr:row>
      <xdr:rowOff>139700</xdr:rowOff>
    </xdr:to>
    <xdr:pic>
      <xdr:nvPicPr>
        <xdr:cNvPr id="677" name="Control 280">
          <a:extLst>
            <a:ext uri="{FF2B5EF4-FFF2-40B4-BE49-F238E27FC236}">
              <a16:creationId xmlns:a16="http://schemas.microsoft.com/office/drawing/2014/main" id="{00000000-0008-0000-0E00-0000A5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5087600"/>
          <a:ext cx="139700" cy="139700"/>
        </a:xfrm>
        <a:prstGeom prst="rect">
          <a:avLst/>
        </a:prstGeom>
        <a:noFill/>
        <a:ln w="9525">
          <a:miter lim="800000"/>
          <a:headEnd/>
          <a:tailEnd/>
        </a:ln>
      </xdr:spPr>
    </xdr:pic>
    <xdr:clientData/>
  </xdr:twoCellAnchor>
  <xdr:twoCellAnchor editAs="oneCell">
    <xdr:from>
      <xdr:col>2</xdr:col>
      <xdr:colOff>0</xdr:colOff>
      <xdr:row>72</xdr:row>
      <xdr:rowOff>0</xdr:rowOff>
    </xdr:from>
    <xdr:to>
      <xdr:col>2</xdr:col>
      <xdr:colOff>254000</xdr:colOff>
      <xdr:row>73</xdr:row>
      <xdr:rowOff>82550</xdr:rowOff>
    </xdr:to>
    <xdr:pic>
      <xdr:nvPicPr>
        <xdr:cNvPr id="678" name="Control 281">
          <a:extLst>
            <a:ext uri="{FF2B5EF4-FFF2-40B4-BE49-F238E27FC236}">
              <a16:creationId xmlns:a16="http://schemas.microsoft.com/office/drawing/2014/main" id="{00000000-0008-0000-0E00-0000A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5087600"/>
          <a:ext cx="254000" cy="273050"/>
        </a:xfrm>
        <a:prstGeom prst="rect">
          <a:avLst/>
        </a:prstGeom>
        <a:noFill/>
        <a:ln w="9525">
          <a:miter lim="800000"/>
          <a:headEnd/>
          <a:tailEnd/>
        </a:ln>
      </xdr:spPr>
    </xdr:pic>
    <xdr:clientData/>
  </xdr:twoCellAnchor>
  <xdr:twoCellAnchor editAs="oneCell">
    <xdr:from>
      <xdr:col>2</xdr:col>
      <xdr:colOff>0</xdr:colOff>
      <xdr:row>72</xdr:row>
      <xdr:rowOff>0</xdr:rowOff>
    </xdr:from>
    <xdr:to>
      <xdr:col>2</xdr:col>
      <xdr:colOff>152400</xdr:colOff>
      <xdr:row>72</xdr:row>
      <xdr:rowOff>152400</xdr:rowOff>
    </xdr:to>
    <xdr:pic>
      <xdr:nvPicPr>
        <xdr:cNvPr id="679" name="Control 282">
          <a:extLst>
            <a:ext uri="{FF2B5EF4-FFF2-40B4-BE49-F238E27FC236}">
              <a16:creationId xmlns:a16="http://schemas.microsoft.com/office/drawing/2014/main" id="{00000000-0008-0000-0E00-0000A7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5087600"/>
          <a:ext cx="152400" cy="152400"/>
        </a:xfrm>
        <a:prstGeom prst="rect">
          <a:avLst/>
        </a:prstGeom>
        <a:noFill/>
        <a:ln w="9525">
          <a:miter lim="800000"/>
          <a:headEnd/>
          <a:tailEnd/>
        </a:ln>
      </xdr:spPr>
    </xdr:pic>
    <xdr:clientData/>
  </xdr:twoCellAnchor>
  <xdr:twoCellAnchor editAs="oneCell">
    <xdr:from>
      <xdr:col>2</xdr:col>
      <xdr:colOff>0</xdr:colOff>
      <xdr:row>72</xdr:row>
      <xdr:rowOff>0</xdr:rowOff>
    </xdr:from>
    <xdr:to>
      <xdr:col>2</xdr:col>
      <xdr:colOff>152400</xdr:colOff>
      <xdr:row>72</xdr:row>
      <xdr:rowOff>152400</xdr:rowOff>
    </xdr:to>
    <xdr:pic>
      <xdr:nvPicPr>
        <xdr:cNvPr id="680" name="Control 283">
          <a:extLst>
            <a:ext uri="{FF2B5EF4-FFF2-40B4-BE49-F238E27FC236}">
              <a16:creationId xmlns:a16="http://schemas.microsoft.com/office/drawing/2014/main" id="{00000000-0008-0000-0E00-0000A8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5087600"/>
          <a:ext cx="152400" cy="152400"/>
        </a:xfrm>
        <a:prstGeom prst="rect">
          <a:avLst/>
        </a:prstGeom>
        <a:noFill/>
        <a:ln w="9525">
          <a:miter lim="800000"/>
          <a:headEnd/>
          <a:tailEnd/>
        </a:ln>
      </xdr:spPr>
    </xdr:pic>
    <xdr:clientData/>
  </xdr:twoCellAnchor>
  <xdr:twoCellAnchor editAs="oneCell">
    <xdr:from>
      <xdr:col>0</xdr:col>
      <xdr:colOff>0</xdr:colOff>
      <xdr:row>73</xdr:row>
      <xdr:rowOff>0</xdr:rowOff>
    </xdr:from>
    <xdr:to>
      <xdr:col>0</xdr:col>
      <xdr:colOff>139700</xdr:colOff>
      <xdr:row>73</xdr:row>
      <xdr:rowOff>139700</xdr:rowOff>
    </xdr:to>
    <xdr:pic>
      <xdr:nvPicPr>
        <xdr:cNvPr id="681" name="Control 284">
          <a:extLst>
            <a:ext uri="{FF2B5EF4-FFF2-40B4-BE49-F238E27FC236}">
              <a16:creationId xmlns:a16="http://schemas.microsoft.com/office/drawing/2014/main" id="{00000000-0008-0000-0E00-0000A9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5297150"/>
          <a:ext cx="139700" cy="139700"/>
        </a:xfrm>
        <a:prstGeom prst="rect">
          <a:avLst/>
        </a:prstGeom>
        <a:noFill/>
        <a:ln w="9525">
          <a:miter lim="800000"/>
          <a:headEnd/>
          <a:tailEnd/>
        </a:ln>
      </xdr:spPr>
    </xdr:pic>
    <xdr:clientData/>
  </xdr:twoCellAnchor>
  <xdr:twoCellAnchor editAs="oneCell">
    <xdr:from>
      <xdr:col>2</xdr:col>
      <xdr:colOff>0</xdr:colOff>
      <xdr:row>73</xdr:row>
      <xdr:rowOff>0</xdr:rowOff>
    </xdr:from>
    <xdr:to>
      <xdr:col>2</xdr:col>
      <xdr:colOff>254000</xdr:colOff>
      <xdr:row>74</xdr:row>
      <xdr:rowOff>82550</xdr:rowOff>
    </xdr:to>
    <xdr:pic>
      <xdr:nvPicPr>
        <xdr:cNvPr id="682" name="Control 285">
          <a:extLst>
            <a:ext uri="{FF2B5EF4-FFF2-40B4-BE49-F238E27FC236}">
              <a16:creationId xmlns:a16="http://schemas.microsoft.com/office/drawing/2014/main" id="{00000000-0008-0000-0E00-0000A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5297150"/>
          <a:ext cx="254000" cy="273050"/>
        </a:xfrm>
        <a:prstGeom prst="rect">
          <a:avLst/>
        </a:prstGeom>
        <a:noFill/>
        <a:ln w="9525">
          <a:miter lim="800000"/>
          <a:headEnd/>
          <a:tailEnd/>
        </a:ln>
      </xdr:spPr>
    </xdr:pic>
    <xdr:clientData/>
  </xdr:twoCellAnchor>
  <xdr:twoCellAnchor editAs="oneCell">
    <xdr:from>
      <xdr:col>2</xdr:col>
      <xdr:colOff>0</xdr:colOff>
      <xdr:row>73</xdr:row>
      <xdr:rowOff>0</xdr:rowOff>
    </xdr:from>
    <xdr:to>
      <xdr:col>2</xdr:col>
      <xdr:colOff>152400</xdr:colOff>
      <xdr:row>73</xdr:row>
      <xdr:rowOff>152400</xdr:rowOff>
    </xdr:to>
    <xdr:pic>
      <xdr:nvPicPr>
        <xdr:cNvPr id="683" name="Control 286">
          <a:extLst>
            <a:ext uri="{FF2B5EF4-FFF2-40B4-BE49-F238E27FC236}">
              <a16:creationId xmlns:a16="http://schemas.microsoft.com/office/drawing/2014/main" id="{00000000-0008-0000-0E00-0000AB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5297150"/>
          <a:ext cx="152400" cy="152400"/>
        </a:xfrm>
        <a:prstGeom prst="rect">
          <a:avLst/>
        </a:prstGeom>
        <a:noFill/>
        <a:ln w="9525">
          <a:miter lim="800000"/>
          <a:headEnd/>
          <a:tailEnd/>
        </a:ln>
      </xdr:spPr>
    </xdr:pic>
    <xdr:clientData/>
  </xdr:twoCellAnchor>
  <xdr:twoCellAnchor editAs="oneCell">
    <xdr:from>
      <xdr:col>2</xdr:col>
      <xdr:colOff>0</xdr:colOff>
      <xdr:row>73</xdr:row>
      <xdr:rowOff>0</xdr:rowOff>
    </xdr:from>
    <xdr:to>
      <xdr:col>2</xdr:col>
      <xdr:colOff>152400</xdr:colOff>
      <xdr:row>73</xdr:row>
      <xdr:rowOff>152400</xdr:rowOff>
    </xdr:to>
    <xdr:pic>
      <xdr:nvPicPr>
        <xdr:cNvPr id="684" name="Control 287">
          <a:extLst>
            <a:ext uri="{FF2B5EF4-FFF2-40B4-BE49-F238E27FC236}">
              <a16:creationId xmlns:a16="http://schemas.microsoft.com/office/drawing/2014/main" id="{00000000-0008-0000-0E00-0000AC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5297150"/>
          <a:ext cx="152400" cy="152400"/>
        </a:xfrm>
        <a:prstGeom prst="rect">
          <a:avLst/>
        </a:prstGeom>
        <a:noFill/>
        <a:ln w="9525">
          <a:miter lim="800000"/>
          <a:headEnd/>
          <a:tailEnd/>
        </a:ln>
      </xdr:spPr>
    </xdr:pic>
    <xdr:clientData/>
  </xdr:twoCellAnchor>
  <xdr:twoCellAnchor editAs="oneCell">
    <xdr:from>
      <xdr:col>0</xdr:col>
      <xdr:colOff>0</xdr:colOff>
      <xdr:row>74</xdr:row>
      <xdr:rowOff>0</xdr:rowOff>
    </xdr:from>
    <xdr:to>
      <xdr:col>0</xdr:col>
      <xdr:colOff>139700</xdr:colOff>
      <xdr:row>74</xdr:row>
      <xdr:rowOff>139700</xdr:rowOff>
    </xdr:to>
    <xdr:pic>
      <xdr:nvPicPr>
        <xdr:cNvPr id="685" name="Control 288">
          <a:extLst>
            <a:ext uri="{FF2B5EF4-FFF2-40B4-BE49-F238E27FC236}">
              <a16:creationId xmlns:a16="http://schemas.microsoft.com/office/drawing/2014/main" id="{00000000-0008-0000-0E00-0000AD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5506700"/>
          <a:ext cx="139700" cy="139700"/>
        </a:xfrm>
        <a:prstGeom prst="rect">
          <a:avLst/>
        </a:prstGeom>
        <a:noFill/>
        <a:ln w="9525">
          <a:miter lim="800000"/>
          <a:headEnd/>
          <a:tailEnd/>
        </a:ln>
      </xdr:spPr>
    </xdr:pic>
    <xdr:clientData/>
  </xdr:twoCellAnchor>
  <xdr:twoCellAnchor editAs="oneCell">
    <xdr:from>
      <xdr:col>2</xdr:col>
      <xdr:colOff>0</xdr:colOff>
      <xdr:row>74</xdr:row>
      <xdr:rowOff>0</xdr:rowOff>
    </xdr:from>
    <xdr:to>
      <xdr:col>2</xdr:col>
      <xdr:colOff>254000</xdr:colOff>
      <xdr:row>75</xdr:row>
      <xdr:rowOff>82550</xdr:rowOff>
    </xdr:to>
    <xdr:pic>
      <xdr:nvPicPr>
        <xdr:cNvPr id="686" name="Control 289">
          <a:extLst>
            <a:ext uri="{FF2B5EF4-FFF2-40B4-BE49-F238E27FC236}">
              <a16:creationId xmlns:a16="http://schemas.microsoft.com/office/drawing/2014/main" id="{00000000-0008-0000-0E00-0000A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5506700"/>
          <a:ext cx="254000" cy="273050"/>
        </a:xfrm>
        <a:prstGeom prst="rect">
          <a:avLst/>
        </a:prstGeom>
        <a:noFill/>
        <a:ln w="9525">
          <a:miter lim="800000"/>
          <a:headEnd/>
          <a:tailEnd/>
        </a:ln>
      </xdr:spPr>
    </xdr:pic>
    <xdr:clientData/>
  </xdr:twoCellAnchor>
  <xdr:twoCellAnchor editAs="oneCell">
    <xdr:from>
      <xdr:col>2</xdr:col>
      <xdr:colOff>0</xdr:colOff>
      <xdr:row>74</xdr:row>
      <xdr:rowOff>0</xdr:rowOff>
    </xdr:from>
    <xdr:to>
      <xdr:col>2</xdr:col>
      <xdr:colOff>152400</xdr:colOff>
      <xdr:row>74</xdr:row>
      <xdr:rowOff>152400</xdr:rowOff>
    </xdr:to>
    <xdr:pic>
      <xdr:nvPicPr>
        <xdr:cNvPr id="687" name="Control 290">
          <a:extLst>
            <a:ext uri="{FF2B5EF4-FFF2-40B4-BE49-F238E27FC236}">
              <a16:creationId xmlns:a16="http://schemas.microsoft.com/office/drawing/2014/main" id="{00000000-0008-0000-0E00-0000AF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5506700"/>
          <a:ext cx="152400" cy="152400"/>
        </a:xfrm>
        <a:prstGeom prst="rect">
          <a:avLst/>
        </a:prstGeom>
        <a:noFill/>
        <a:ln w="9525">
          <a:miter lim="800000"/>
          <a:headEnd/>
          <a:tailEnd/>
        </a:ln>
      </xdr:spPr>
    </xdr:pic>
    <xdr:clientData/>
  </xdr:twoCellAnchor>
  <xdr:twoCellAnchor editAs="oneCell">
    <xdr:from>
      <xdr:col>2</xdr:col>
      <xdr:colOff>0</xdr:colOff>
      <xdr:row>74</xdr:row>
      <xdr:rowOff>0</xdr:rowOff>
    </xdr:from>
    <xdr:to>
      <xdr:col>2</xdr:col>
      <xdr:colOff>152400</xdr:colOff>
      <xdr:row>74</xdr:row>
      <xdr:rowOff>152400</xdr:rowOff>
    </xdr:to>
    <xdr:pic>
      <xdr:nvPicPr>
        <xdr:cNvPr id="688" name="Control 291">
          <a:extLst>
            <a:ext uri="{FF2B5EF4-FFF2-40B4-BE49-F238E27FC236}">
              <a16:creationId xmlns:a16="http://schemas.microsoft.com/office/drawing/2014/main" id="{00000000-0008-0000-0E00-0000B0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5506700"/>
          <a:ext cx="152400" cy="152400"/>
        </a:xfrm>
        <a:prstGeom prst="rect">
          <a:avLst/>
        </a:prstGeom>
        <a:noFill/>
        <a:ln w="9525">
          <a:miter lim="800000"/>
          <a:headEnd/>
          <a:tailEnd/>
        </a:ln>
      </xdr:spPr>
    </xdr:pic>
    <xdr:clientData/>
  </xdr:twoCellAnchor>
  <xdr:twoCellAnchor editAs="oneCell">
    <xdr:from>
      <xdr:col>0</xdr:col>
      <xdr:colOff>0</xdr:colOff>
      <xdr:row>75</xdr:row>
      <xdr:rowOff>0</xdr:rowOff>
    </xdr:from>
    <xdr:to>
      <xdr:col>0</xdr:col>
      <xdr:colOff>139700</xdr:colOff>
      <xdr:row>75</xdr:row>
      <xdr:rowOff>139700</xdr:rowOff>
    </xdr:to>
    <xdr:pic>
      <xdr:nvPicPr>
        <xdr:cNvPr id="689" name="Control 292">
          <a:extLst>
            <a:ext uri="{FF2B5EF4-FFF2-40B4-BE49-F238E27FC236}">
              <a16:creationId xmlns:a16="http://schemas.microsoft.com/office/drawing/2014/main" id="{00000000-0008-0000-0E00-0000B1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5716250"/>
          <a:ext cx="139700" cy="139700"/>
        </a:xfrm>
        <a:prstGeom prst="rect">
          <a:avLst/>
        </a:prstGeom>
        <a:noFill/>
        <a:ln w="9525">
          <a:miter lim="800000"/>
          <a:headEnd/>
          <a:tailEnd/>
        </a:ln>
      </xdr:spPr>
    </xdr:pic>
    <xdr:clientData/>
  </xdr:twoCellAnchor>
  <xdr:twoCellAnchor editAs="oneCell">
    <xdr:from>
      <xdr:col>2</xdr:col>
      <xdr:colOff>0</xdr:colOff>
      <xdr:row>75</xdr:row>
      <xdr:rowOff>0</xdr:rowOff>
    </xdr:from>
    <xdr:to>
      <xdr:col>2</xdr:col>
      <xdr:colOff>254000</xdr:colOff>
      <xdr:row>76</xdr:row>
      <xdr:rowOff>82550</xdr:rowOff>
    </xdr:to>
    <xdr:pic>
      <xdr:nvPicPr>
        <xdr:cNvPr id="690" name="Control 293">
          <a:extLst>
            <a:ext uri="{FF2B5EF4-FFF2-40B4-BE49-F238E27FC236}">
              <a16:creationId xmlns:a16="http://schemas.microsoft.com/office/drawing/2014/main" id="{00000000-0008-0000-0E00-0000B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5716250"/>
          <a:ext cx="254000" cy="273050"/>
        </a:xfrm>
        <a:prstGeom prst="rect">
          <a:avLst/>
        </a:prstGeom>
        <a:noFill/>
        <a:ln w="9525">
          <a:miter lim="800000"/>
          <a:headEnd/>
          <a:tailEnd/>
        </a:ln>
      </xdr:spPr>
    </xdr:pic>
    <xdr:clientData/>
  </xdr:twoCellAnchor>
  <xdr:twoCellAnchor editAs="oneCell">
    <xdr:from>
      <xdr:col>2</xdr:col>
      <xdr:colOff>0</xdr:colOff>
      <xdr:row>75</xdr:row>
      <xdr:rowOff>0</xdr:rowOff>
    </xdr:from>
    <xdr:to>
      <xdr:col>2</xdr:col>
      <xdr:colOff>152400</xdr:colOff>
      <xdr:row>75</xdr:row>
      <xdr:rowOff>152400</xdr:rowOff>
    </xdr:to>
    <xdr:pic>
      <xdr:nvPicPr>
        <xdr:cNvPr id="691" name="Control 294">
          <a:extLst>
            <a:ext uri="{FF2B5EF4-FFF2-40B4-BE49-F238E27FC236}">
              <a16:creationId xmlns:a16="http://schemas.microsoft.com/office/drawing/2014/main" id="{00000000-0008-0000-0E00-0000B3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5716250"/>
          <a:ext cx="152400" cy="152400"/>
        </a:xfrm>
        <a:prstGeom prst="rect">
          <a:avLst/>
        </a:prstGeom>
        <a:noFill/>
        <a:ln w="9525">
          <a:miter lim="800000"/>
          <a:headEnd/>
          <a:tailEnd/>
        </a:ln>
      </xdr:spPr>
    </xdr:pic>
    <xdr:clientData/>
  </xdr:twoCellAnchor>
  <xdr:twoCellAnchor editAs="oneCell">
    <xdr:from>
      <xdr:col>2</xdr:col>
      <xdr:colOff>0</xdr:colOff>
      <xdr:row>75</xdr:row>
      <xdr:rowOff>0</xdr:rowOff>
    </xdr:from>
    <xdr:to>
      <xdr:col>2</xdr:col>
      <xdr:colOff>152400</xdr:colOff>
      <xdr:row>75</xdr:row>
      <xdr:rowOff>152400</xdr:rowOff>
    </xdr:to>
    <xdr:pic>
      <xdr:nvPicPr>
        <xdr:cNvPr id="692" name="Control 295">
          <a:extLst>
            <a:ext uri="{FF2B5EF4-FFF2-40B4-BE49-F238E27FC236}">
              <a16:creationId xmlns:a16="http://schemas.microsoft.com/office/drawing/2014/main" id="{00000000-0008-0000-0E00-0000B4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5716250"/>
          <a:ext cx="152400" cy="152400"/>
        </a:xfrm>
        <a:prstGeom prst="rect">
          <a:avLst/>
        </a:prstGeom>
        <a:noFill/>
        <a:ln w="9525">
          <a:miter lim="800000"/>
          <a:headEnd/>
          <a:tailEnd/>
        </a:ln>
      </xdr:spPr>
    </xdr:pic>
    <xdr:clientData/>
  </xdr:twoCellAnchor>
  <xdr:twoCellAnchor editAs="oneCell">
    <xdr:from>
      <xdr:col>0</xdr:col>
      <xdr:colOff>0</xdr:colOff>
      <xdr:row>76</xdr:row>
      <xdr:rowOff>0</xdr:rowOff>
    </xdr:from>
    <xdr:to>
      <xdr:col>0</xdr:col>
      <xdr:colOff>139700</xdr:colOff>
      <xdr:row>76</xdr:row>
      <xdr:rowOff>139700</xdr:rowOff>
    </xdr:to>
    <xdr:pic>
      <xdr:nvPicPr>
        <xdr:cNvPr id="693" name="Control 296">
          <a:extLst>
            <a:ext uri="{FF2B5EF4-FFF2-40B4-BE49-F238E27FC236}">
              <a16:creationId xmlns:a16="http://schemas.microsoft.com/office/drawing/2014/main" id="{00000000-0008-0000-0E00-0000B5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5925800"/>
          <a:ext cx="139700" cy="139700"/>
        </a:xfrm>
        <a:prstGeom prst="rect">
          <a:avLst/>
        </a:prstGeom>
        <a:noFill/>
        <a:ln w="9525">
          <a:miter lim="800000"/>
          <a:headEnd/>
          <a:tailEnd/>
        </a:ln>
      </xdr:spPr>
    </xdr:pic>
    <xdr:clientData/>
  </xdr:twoCellAnchor>
  <xdr:twoCellAnchor editAs="oneCell">
    <xdr:from>
      <xdr:col>2</xdr:col>
      <xdr:colOff>0</xdr:colOff>
      <xdr:row>76</xdr:row>
      <xdr:rowOff>0</xdr:rowOff>
    </xdr:from>
    <xdr:to>
      <xdr:col>2</xdr:col>
      <xdr:colOff>254000</xdr:colOff>
      <xdr:row>77</xdr:row>
      <xdr:rowOff>82550</xdr:rowOff>
    </xdr:to>
    <xdr:pic>
      <xdr:nvPicPr>
        <xdr:cNvPr id="694" name="Control 297">
          <a:extLst>
            <a:ext uri="{FF2B5EF4-FFF2-40B4-BE49-F238E27FC236}">
              <a16:creationId xmlns:a16="http://schemas.microsoft.com/office/drawing/2014/main" id="{00000000-0008-0000-0E00-0000B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5925800"/>
          <a:ext cx="254000" cy="273050"/>
        </a:xfrm>
        <a:prstGeom prst="rect">
          <a:avLst/>
        </a:prstGeom>
        <a:noFill/>
        <a:ln w="9525">
          <a:miter lim="800000"/>
          <a:headEnd/>
          <a:tailEnd/>
        </a:ln>
      </xdr:spPr>
    </xdr:pic>
    <xdr:clientData/>
  </xdr:twoCellAnchor>
  <xdr:twoCellAnchor editAs="oneCell">
    <xdr:from>
      <xdr:col>2</xdr:col>
      <xdr:colOff>0</xdr:colOff>
      <xdr:row>76</xdr:row>
      <xdr:rowOff>0</xdr:rowOff>
    </xdr:from>
    <xdr:to>
      <xdr:col>2</xdr:col>
      <xdr:colOff>152400</xdr:colOff>
      <xdr:row>76</xdr:row>
      <xdr:rowOff>152400</xdr:rowOff>
    </xdr:to>
    <xdr:pic>
      <xdr:nvPicPr>
        <xdr:cNvPr id="695" name="Control 298">
          <a:extLst>
            <a:ext uri="{FF2B5EF4-FFF2-40B4-BE49-F238E27FC236}">
              <a16:creationId xmlns:a16="http://schemas.microsoft.com/office/drawing/2014/main" id="{00000000-0008-0000-0E00-0000B7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5925800"/>
          <a:ext cx="152400" cy="152400"/>
        </a:xfrm>
        <a:prstGeom prst="rect">
          <a:avLst/>
        </a:prstGeom>
        <a:noFill/>
        <a:ln w="9525">
          <a:miter lim="800000"/>
          <a:headEnd/>
          <a:tailEnd/>
        </a:ln>
      </xdr:spPr>
    </xdr:pic>
    <xdr:clientData/>
  </xdr:twoCellAnchor>
  <xdr:twoCellAnchor editAs="oneCell">
    <xdr:from>
      <xdr:col>2</xdr:col>
      <xdr:colOff>0</xdr:colOff>
      <xdr:row>76</xdr:row>
      <xdr:rowOff>0</xdr:rowOff>
    </xdr:from>
    <xdr:to>
      <xdr:col>2</xdr:col>
      <xdr:colOff>152400</xdr:colOff>
      <xdr:row>76</xdr:row>
      <xdr:rowOff>152400</xdr:rowOff>
    </xdr:to>
    <xdr:pic>
      <xdr:nvPicPr>
        <xdr:cNvPr id="696" name="Control 299">
          <a:extLst>
            <a:ext uri="{FF2B5EF4-FFF2-40B4-BE49-F238E27FC236}">
              <a16:creationId xmlns:a16="http://schemas.microsoft.com/office/drawing/2014/main" id="{00000000-0008-0000-0E00-0000B8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5925800"/>
          <a:ext cx="152400" cy="152400"/>
        </a:xfrm>
        <a:prstGeom prst="rect">
          <a:avLst/>
        </a:prstGeom>
        <a:noFill/>
        <a:ln w="9525">
          <a:miter lim="800000"/>
          <a:headEnd/>
          <a:tailEnd/>
        </a:ln>
      </xdr:spPr>
    </xdr:pic>
    <xdr:clientData/>
  </xdr:twoCellAnchor>
  <xdr:twoCellAnchor editAs="oneCell">
    <xdr:from>
      <xdr:col>0</xdr:col>
      <xdr:colOff>0</xdr:colOff>
      <xdr:row>77</xdr:row>
      <xdr:rowOff>0</xdr:rowOff>
    </xdr:from>
    <xdr:to>
      <xdr:col>0</xdr:col>
      <xdr:colOff>139700</xdr:colOff>
      <xdr:row>77</xdr:row>
      <xdr:rowOff>139700</xdr:rowOff>
    </xdr:to>
    <xdr:pic>
      <xdr:nvPicPr>
        <xdr:cNvPr id="697" name="Control 300">
          <a:extLst>
            <a:ext uri="{FF2B5EF4-FFF2-40B4-BE49-F238E27FC236}">
              <a16:creationId xmlns:a16="http://schemas.microsoft.com/office/drawing/2014/main" id="{00000000-0008-0000-0E00-0000B9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6135350"/>
          <a:ext cx="139700" cy="139700"/>
        </a:xfrm>
        <a:prstGeom prst="rect">
          <a:avLst/>
        </a:prstGeom>
        <a:noFill/>
        <a:ln w="9525">
          <a:miter lim="800000"/>
          <a:headEnd/>
          <a:tailEnd/>
        </a:ln>
      </xdr:spPr>
    </xdr:pic>
    <xdr:clientData/>
  </xdr:twoCellAnchor>
  <xdr:twoCellAnchor editAs="oneCell">
    <xdr:from>
      <xdr:col>2</xdr:col>
      <xdr:colOff>0</xdr:colOff>
      <xdr:row>77</xdr:row>
      <xdr:rowOff>0</xdr:rowOff>
    </xdr:from>
    <xdr:to>
      <xdr:col>2</xdr:col>
      <xdr:colOff>254000</xdr:colOff>
      <xdr:row>78</xdr:row>
      <xdr:rowOff>82550</xdr:rowOff>
    </xdr:to>
    <xdr:pic>
      <xdr:nvPicPr>
        <xdr:cNvPr id="698" name="Control 301">
          <a:extLst>
            <a:ext uri="{FF2B5EF4-FFF2-40B4-BE49-F238E27FC236}">
              <a16:creationId xmlns:a16="http://schemas.microsoft.com/office/drawing/2014/main" id="{00000000-0008-0000-0E00-0000BA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6135350"/>
          <a:ext cx="254000" cy="273050"/>
        </a:xfrm>
        <a:prstGeom prst="rect">
          <a:avLst/>
        </a:prstGeom>
        <a:noFill/>
        <a:ln w="9525">
          <a:miter lim="800000"/>
          <a:headEnd/>
          <a:tailEnd/>
        </a:ln>
      </xdr:spPr>
    </xdr:pic>
    <xdr:clientData/>
  </xdr:twoCellAnchor>
  <xdr:twoCellAnchor editAs="oneCell">
    <xdr:from>
      <xdr:col>2</xdr:col>
      <xdr:colOff>0</xdr:colOff>
      <xdr:row>77</xdr:row>
      <xdr:rowOff>0</xdr:rowOff>
    </xdr:from>
    <xdr:to>
      <xdr:col>2</xdr:col>
      <xdr:colOff>152400</xdr:colOff>
      <xdr:row>77</xdr:row>
      <xdr:rowOff>152400</xdr:rowOff>
    </xdr:to>
    <xdr:pic>
      <xdr:nvPicPr>
        <xdr:cNvPr id="699" name="Control 302">
          <a:extLst>
            <a:ext uri="{FF2B5EF4-FFF2-40B4-BE49-F238E27FC236}">
              <a16:creationId xmlns:a16="http://schemas.microsoft.com/office/drawing/2014/main" id="{00000000-0008-0000-0E00-0000BB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6135350"/>
          <a:ext cx="152400" cy="152400"/>
        </a:xfrm>
        <a:prstGeom prst="rect">
          <a:avLst/>
        </a:prstGeom>
        <a:noFill/>
        <a:ln w="9525">
          <a:miter lim="800000"/>
          <a:headEnd/>
          <a:tailEnd/>
        </a:ln>
      </xdr:spPr>
    </xdr:pic>
    <xdr:clientData/>
  </xdr:twoCellAnchor>
  <xdr:twoCellAnchor editAs="oneCell">
    <xdr:from>
      <xdr:col>2</xdr:col>
      <xdr:colOff>0</xdr:colOff>
      <xdr:row>77</xdr:row>
      <xdr:rowOff>0</xdr:rowOff>
    </xdr:from>
    <xdr:to>
      <xdr:col>2</xdr:col>
      <xdr:colOff>152400</xdr:colOff>
      <xdr:row>77</xdr:row>
      <xdr:rowOff>152400</xdr:rowOff>
    </xdr:to>
    <xdr:pic>
      <xdr:nvPicPr>
        <xdr:cNvPr id="700" name="Control 303">
          <a:extLst>
            <a:ext uri="{FF2B5EF4-FFF2-40B4-BE49-F238E27FC236}">
              <a16:creationId xmlns:a16="http://schemas.microsoft.com/office/drawing/2014/main" id="{00000000-0008-0000-0E00-0000BC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6135350"/>
          <a:ext cx="152400" cy="152400"/>
        </a:xfrm>
        <a:prstGeom prst="rect">
          <a:avLst/>
        </a:prstGeom>
        <a:noFill/>
        <a:ln w="9525">
          <a:miter lim="800000"/>
          <a:headEnd/>
          <a:tailEnd/>
        </a:ln>
      </xdr:spPr>
    </xdr:pic>
    <xdr:clientData/>
  </xdr:twoCellAnchor>
  <xdr:twoCellAnchor editAs="oneCell">
    <xdr:from>
      <xdr:col>0</xdr:col>
      <xdr:colOff>0</xdr:colOff>
      <xdr:row>78</xdr:row>
      <xdr:rowOff>0</xdr:rowOff>
    </xdr:from>
    <xdr:to>
      <xdr:col>0</xdr:col>
      <xdr:colOff>139700</xdr:colOff>
      <xdr:row>78</xdr:row>
      <xdr:rowOff>139700</xdr:rowOff>
    </xdr:to>
    <xdr:pic>
      <xdr:nvPicPr>
        <xdr:cNvPr id="701" name="Control 304">
          <a:extLst>
            <a:ext uri="{FF2B5EF4-FFF2-40B4-BE49-F238E27FC236}">
              <a16:creationId xmlns:a16="http://schemas.microsoft.com/office/drawing/2014/main" id="{00000000-0008-0000-0E00-0000BD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6344900"/>
          <a:ext cx="139700" cy="139700"/>
        </a:xfrm>
        <a:prstGeom prst="rect">
          <a:avLst/>
        </a:prstGeom>
        <a:noFill/>
        <a:ln w="9525">
          <a:miter lim="800000"/>
          <a:headEnd/>
          <a:tailEnd/>
        </a:ln>
      </xdr:spPr>
    </xdr:pic>
    <xdr:clientData/>
  </xdr:twoCellAnchor>
  <xdr:twoCellAnchor editAs="oneCell">
    <xdr:from>
      <xdr:col>2</xdr:col>
      <xdr:colOff>0</xdr:colOff>
      <xdr:row>78</xdr:row>
      <xdr:rowOff>0</xdr:rowOff>
    </xdr:from>
    <xdr:to>
      <xdr:col>2</xdr:col>
      <xdr:colOff>254000</xdr:colOff>
      <xdr:row>79</xdr:row>
      <xdr:rowOff>82550</xdr:rowOff>
    </xdr:to>
    <xdr:pic>
      <xdr:nvPicPr>
        <xdr:cNvPr id="702" name="Control 305">
          <a:extLst>
            <a:ext uri="{FF2B5EF4-FFF2-40B4-BE49-F238E27FC236}">
              <a16:creationId xmlns:a16="http://schemas.microsoft.com/office/drawing/2014/main" id="{00000000-0008-0000-0E00-0000BE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6344900"/>
          <a:ext cx="254000" cy="273050"/>
        </a:xfrm>
        <a:prstGeom prst="rect">
          <a:avLst/>
        </a:prstGeom>
        <a:noFill/>
        <a:ln w="9525">
          <a:miter lim="800000"/>
          <a:headEnd/>
          <a:tailEnd/>
        </a:ln>
      </xdr:spPr>
    </xdr:pic>
    <xdr:clientData/>
  </xdr:twoCellAnchor>
  <xdr:twoCellAnchor editAs="oneCell">
    <xdr:from>
      <xdr:col>2</xdr:col>
      <xdr:colOff>0</xdr:colOff>
      <xdr:row>78</xdr:row>
      <xdr:rowOff>0</xdr:rowOff>
    </xdr:from>
    <xdr:to>
      <xdr:col>2</xdr:col>
      <xdr:colOff>152400</xdr:colOff>
      <xdr:row>78</xdr:row>
      <xdr:rowOff>152400</xdr:rowOff>
    </xdr:to>
    <xdr:pic>
      <xdr:nvPicPr>
        <xdr:cNvPr id="703" name="Control 306">
          <a:extLst>
            <a:ext uri="{FF2B5EF4-FFF2-40B4-BE49-F238E27FC236}">
              <a16:creationId xmlns:a16="http://schemas.microsoft.com/office/drawing/2014/main" id="{00000000-0008-0000-0E00-0000BF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6344900"/>
          <a:ext cx="152400" cy="152400"/>
        </a:xfrm>
        <a:prstGeom prst="rect">
          <a:avLst/>
        </a:prstGeom>
        <a:noFill/>
        <a:ln w="9525">
          <a:miter lim="800000"/>
          <a:headEnd/>
          <a:tailEnd/>
        </a:ln>
      </xdr:spPr>
    </xdr:pic>
    <xdr:clientData/>
  </xdr:twoCellAnchor>
  <xdr:twoCellAnchor editAs="oneCell">
    <xdr:from>
      <xdr:col>2</xdr:col>
      <xdr:colOff>0</xdr:colOff>
      <xdr:row>78</xdr:row>
      <xdr:rowOff>0</xdr:rowOff>
    </xdr:from>
    <xdr:to>
      <xdr:col>2</xdr:col>
      <xdr:colOff>152400</xdr:colOff>
      <xdr:row>78</xdr:row>
      <xdr:rowOff>152400</xdr:rowOff>
    </xdr:to>
    <xdr:pic>
      <xdr:nvPicPr>
        <xdr:cNvPr id="704" name="Control 307">
          <a:extLst>
            <a:ext uri="{FF2B5EF4-FFF2-40B4-BE49-F238E27FC236}">
              <a16:creationId xmlns:a16="http://schemas.microsoft.com/office/drawing/2014/main" id="{00000000-0008-0000-0E00-0000C0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6344900"/>
          <a:ext cx="152400" cy="152400"/>
        </a:xfrm>
        <a:prstGeom prst="rect">
          <a:avLst/>
        </a:prstGeom>
        <a:noFill/>
        <a:ln w="9525">
          <a:miter lim="800000"/>
          <a:headEnd/>
          <a:tailEnd/>
        </a:ln>
      </xdr:spPr>
    </xdr:pic>
    <xdr:clientData/>
  </xdr:twoCellAnchor>
  <xdr:twoCellAnchor editAs="oneCell">
    <xdr:from>
      <xdr:col>0</xdr:col>
      <xdr:colOff>0</xdr:colOff>
      <xdr:row>79</xdr:row>
      <xdr:rowOff>0</xdr:rowOff>
    </xdr:from>
    <xdr:to>
      <xdr:col>0</xdr:col>
      <xdr:colOff>139700</xdr:colOff>
      <xdr:row>79</xdr:row>
      <xdr:rowOff>139700</xdr:rowOff>
    </xdr:to>
    <xdr:pic>
      <xdr:nvPicPr>
        <xdr:cNvPr id="705" name="Control 308">
          <a:extLst>
            <a:ext uri="{FF2B5EF4-FFF2-40B4-BE49-F238E27FC236}">
              <a16:creationId xmlns:a16="http://schemas.microsoft.com/office/drawing/2014/main" id="{00000000-0008-0000-0E00-0000C1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6554450"/>
          <a:ext cx="139700" cy="139700"/>
        </a:xfrm>
        <a:prstGeom prst="rect">
          <a:avLst/>
        </a:prstGeom>
        <a:noFill/>
        <a:ln w="9525">
          <a:miter lim="800000"/>
          <a:headEnd/>
          <a:tailEnd/>
        </a:ln>
      </xdr:spPr>
    </xdr:pic>
    <xdr:clientData/>
  </xdr:twoCellAnchor>
  <xdr:twoCellAnchor editAs="oneCell">
    <xdr:from>
      <xdr:col>2</xdr:col>
      <xdr:colOff>0</xdr:colOff>
      <xdr:row>79</xdr:row>
      <xdr:rowOff>0</xdr:rowOff>
    </xdr:from>
    <xdr:to>
      <xdr:col>2</xdr:col>
      <xdr:colOff>254000</xdr:colOff>
      <xdr:row>80</xdr:row>
      <xdr:rowOff>82550</xdr:rowOff>
    </xdr:to>
    <xdr:pic>
      <xdr:nvPicPr>
        <xdr:cNvPr id="706" name="Control 309">
          <a:extLst>
            <a:ext uri="{FF2B5EF4-FFF2-40B4-BE49-F238E27FC236}">
              <a16:creationId xmlns:a16="http://schemas.microsoft.com/office/drawing/2014/main" id="{00000000-0008-0000-0E00-0000C2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6554450"/>
          <a:ext cx="254000" cy="273050"/>
        </a:xfrm>
        <a:prstGeom prst="rect">
          <a:avLst/>
        </a:prstGeom>
        <a:noFill/>
        <a:ln w="9525">
          <a:miter lim="800000"/>
          <a:headEnd/>
          <a:tailEnd/>
        </a:ln>
      </xdr:spPr>
    </xdr:pic>
    <xdr:clientData/>
  </xdr:twoCellAnchor>
  <xdr:twoCellAnchor editAs="oneCell">
    <xdr:from>
      <xdr:col>2</xdr:col>
      <xdr:colOff>0</xdr:colOff>
      <xdr:row>79</xdr:row>
      <xdr:rowOff>0</xdr:rowOff>
    </xdr:from>
    <xdr:to>
      <xdr:col>2</xdr:col>
      <xdr:colOff>152400</xdr:colOff>
      <xdr:row>79</xdr:row>
      <xdr:rowOff>152400</xdr:rowOff>
    </xdr:to>
    <xdr:pic>
      <xdr:nvPicPr>
        <xdr:cNvPr id="707" name="Control 310">
          <a:extLst>
            <a:ext uri="{FF2B5EF4-FFF2-40B4-BE49-F238E27FC236}">
              <a16:creationId xmlns:a16="http://schemas.microsoft.com/office/drawing/2014/main" id="{00000000-0008-0000-0E00-0000C3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6554450"/>
          <a:ext cx="152400" cy="152400"/>
        </a:xfrm>
        <a:prstGeom prst="rect">
          <a:avLst/>
        </a:prstGeom>
        <a:noFill/>
        <a:ln w="9525">
          <a:miter lim="800000"/>
          <a:headEnd/>
          <a:tailEnd/>
        </a:ln>
      </xdr:spPr>
    </xdr:pic>
    <xdr:clientData/>
  </xdr:twoCellAnchor>
  <xdr:twoCellAnchor editAs="oneCell">
    <xdr:from>
      <xdr:col>2</xdr:col>
      <xdr:colOff>0</xdr:colOff>
      <xdr:row>79</xdr:row>
      <xdr:rowOff>0</xdr:rowOff>
    </xdr:from>
    <xdr:to>
      <xdr:col>2</xdr:col>
      <xdr:colOff>152400</xdr:colOff>
      <xdr:row>79</xdr:row>
      <xdr:rowOff>152400</xdr:rowOff>
    </xdr:to>
    <xdr:pic>
      <xdr:nvPicPr>
        <xdr:cNvPr id="708" name="Control 311">
          <a:extLst>
            <a:ext uri="{FF2B5EF4-FFF2-40B4-BE49-F238E27FC236}">
              <a16:creationId xmlns:a16="http://schemas.microsoft.com/office/drawing/2014/main" id="{00000000-0008-0000-0E00-0000C4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6554450"/>
          <a:ext cx="152400" cy="152400"/>
        </a:xfrm>
        <a:prstGeom prst="rect">
          <a:avLst/>
        </a:prstGeom>
        <a:noFill/>
        <a:ln w="9525">
          <a:miter lim="800000"/>
          <a:headEnd/>
          <a:tailEnd/>
        </a:ln>
      </xdr:spPr>
    </xdr:pic>
    <xdr:clientData/>
  </xdr:twoCellAnchor>
  <xdr:twoCellAnchor editAs="oneCell">
    <xdr:from>
      <xdr:col>0</xdr:col>
      <xdr:colOff>0</xdr:colOff>
      <xdr:row>80</xdr:row>
      <xdr:rowOff>0</xdr:rowOff>
    </xdr:from>
    <xdr:to>
      <xdr:col>0</xdr:col>
      <xdr:colOff>139700</xdr:colOff>
      <xdr:row>80</xdr:row>
      <xdr:rowOff>139700</xdr:rowOff>
    </xdr:to>
    <xdr:pic>
      <xdr:nvPicPr>
        <xdr:cNvPr id="709" name="Control 312">
          <a:extLst>
            <a:ext uri="{FF2B5EF4-FFF2-40B4-BE49-F238E27FC236}">
              <a16:creationId xmlns:a16="http://schemas.microsoft.com/office/drawing/2014/main" id="{00000000-0008-0000-0E00-0000C5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6764000"/>
          <a:ext cx="139700" cy="139700"/>
        </a:xfrm>
        <a:prstGeom prst="rect">
          <a:avLst/>
        </a:prstGeom>
        <a:noFill/>
        <a:ln w="9525">
          <a:miter lim="800000"/>
          <a:headEnd/>
          <a:tailEnd/>
        </a:ln>
      </xdr:spPr>
    </xdr:pic>
    <xdr:clientData/>
  </xdr:twoCellAnchor>
  <xdr:twoCellAnchor editAs="oneCell">
    <xdr:from>
      <xdr:col>2</xdr:col>
      <xdr:colOff>0</xdr:colOff>
      <xdr:row>80</xdr:row>
      <xdr:rowOff>0</xdr:rowOff>
    </xdr:from>
    <xdr:to>
      <xdr:col>2</xdr:col>
      <xdr:colOff>254000</xdr:colOff>
      <xdr:row>81</xdr:row>
      <xdr:rowOff>82550</xdr:rowOff>
    </xdr:to>
    <xdr:pic>
      <xdr:nvPicPr>
        <xdr:cNvPr id="710" name="Control 313">
          <a:extLst>
            <a:ext uri="{FF2B5EF4-FFF2-40B4-BE49-F238E27FC236}">
              <a16:creationId xmlns:a16="http://schemas.microsoft.com/office/drawing/2014/main" id="{00000000-0008-0000-0E00-0000C6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6764000"/>
          <a:ext cx="254000" cy="273050"/>
        </a:xfrm>
        <a:prstGeom prst="rect">
          <a:avLst/>
        </a:prstGeom>
        <a:noFill/>
        <a:ln w="9525">
          <a:miter lim="800000"/>
          <a:headEnd/>
          <a:tailEnd/>
        </a:ln>
      </xdr:spPr>
    </xdr:pic>
    <xdr:clientData/>
  </xdr:twoCellAnchor>
  <xdr:twoCellAnchor editAs="oneCell">
    <xdr:from>
      <xdr:col>2</xdr:col>
      <xdr:colOff>0</xdr:colOff>
      <xdr:row>80</xdr:row>
      <xdr:rowOff>0</xdr:rowOff>
    </xdr:from>
    <xdr:to>
      <xdr:col>2</xdr:col>
      <xdr:colOff>152400</xdr:colOff>
      <xdr:row>80</xdr:row>
      <xdr:rowOff>152400</xdr:rowOff>
    </xdr:to>
    <xdr:pic>
      <xdr:nvPicPr>
        <xdr:cNvPr id="711" name="Control 314">
          <a:extLst>
            <a:ext uri="{FF2B5EF4-FFF2-40B4-BE49-F238E27FC236}">
              <a16:creationId xmlns:a16="http://schemas.microsoft.com/office/drawing/2014/main" id="{00000000-0008-0000-0E00-0000C7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6764000"/>
          <a:ext cx="152400" cy="152400"/>
        </a:xfrm>
        <a:prstGeom prst="rect">
          <a:avLst/>
        </a:prstGeom>
        <a:noFill/>
        <a:ln w="9525">
          <a:miter lim="800000"/>
          <a:headEnd/>
          <a:tailEnd/>
        </a:ln>
      </xdr:spPr>
    </xdr:pic>
    <xdr:clientData/>
  </xdr:twoCellAnchor>
  <xdr:twoCellAnchor editAs="oneCell">
    <xdr:from>
      <xdr:col>2</xdr:col>
      <xdr:colOff>0</xdr:colOff>
      <xdr:row>80</xdr:row>
      <xdr:rowOff>0</xdr:rowOff>
    </xdr:from>
    <xdr:to>
      <xdr:col>2</xdr:col>
      <xdr:colOff>152400</xdr:colOff>
      <xdr:row>80</xdr:row>
      <xdr:rowOff>152400</xdr:rowOff>
    </xdr:to>
    <xdr:pic>
      <xdr:nvPicPr>
        <xdr:cNvPr id="712" name="Control 315">
          <a:extLst>
            <a:ext uri="{FF2B5EF4-FFF2-40B4-BE49-F238E27FC236}">
              <a16:creationId xmlns:a16="http://schemas.microsoft.com/office/drawing/2014/main" id="{00000000-0008-0000-0E00-0000C8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6764000"/>
          <a:ext cx="152400" cy="152400"/>
        </a:xfrm>
        <a:prstGeom prst="rect">
          <a:avLst/>
        </a:prstGeom>
        <a:noFill/>
        <a:ln w="9525">
          <a:miter lim="800000"/>
          <a:headEnd/>
          <a:tailEnd/>
        </a:ln>
      </xdr:spPr>
    </xdr:pic>
    <xdr:clientData/>
  </xdr:twoCellAnchor>
  <xdr:twoCellAnchor editAs="oneCell">
    <xdr:from>
      <xdr:col>2</xdr:col>
      <xdr:colOff>0</xdr:colOff>
      <xdr:row>81</xdr:row>
      <xdr:rowOff>0</xdr:rowOff>
    </xdr:from>
    <xdr:to>
      <xdr:col>2</xdr:col>
      <xdr:colOff>254000</xdr:colOff>
      <xdr:row>82</xdr:row>
      <xdr:rowOff>82550</xdr:rowOff>
    </xdr:to>
    <xdr:pic>
      <xdr:nvPicPr>
        <xdr:cNvPr id="713" name="Control 316">
          <a:extLst>
            <a:ext uri="{FF2B5EF4-FFF2-40B4-BE49-F238E27FC236}">
              <a16:creationId xmlns:a16="http://schemas.microsoft.com/office/drawing/2014/main" id="{00000000-0008-0000-0E00-0000C9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6973550"/>
          <a:ext cx="254000" cy="273050"/>
        </a:xfrm>
        <a:prstGeom prst="rect">
          <a:avLst/>
        </a:prstGeom>
        <a:noFill/>
        <a:ln w="9525">
          <a:miter lim="800000"/>
          <a:headEnd/>
          <a:tailEnd/>
        </a:ln>
      </xdr:spPr>
    </xdr:pic>
    <xdr:clientData/>
  </xdr:twoCellAnchor>
  <xdr:twoCellAnchor editAs="oneCell">
    <xdr:from>
      <xdr:col>2</xdr:col>
      <xdr:colOff>0</xdr:colOff>
      <xdr:row>81</xdr:row>
      <xdr:rowOff>0</xdr:rowOff>
    </xdr:from>
    <xdr:to>
      <xdr:col>2</xdr:col>
      <xdr:colOff>152400</xdr:colOff>
      <xdr:row>81</xdr:row>
      <xdr:rowOff>152400</xdr:rowOff>
    </xdr:to>
    <xdr:pic>
      <xdr:nvPicPr>
        <xdr:cNvPr id="714" name="Control 317">
          <a:extLst>
            <a:ext uri="{FF2B5EF4-FFF2-40B4-BE49-F238E27FC236}">
              <a16:creationId xmlns:a16="http://schemas.microsoft.com/office/drawing/2014/main" id="{00000000-0008-0000-0E00-0000CA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6973550"/>
          <a:ext cx="152400" cy="152400"/>
        </a:xfrm>
        <a:prstGeom prst="rect">
          <a:avLst/>
        </a:prstGeom>
        <a:noFill/>
        <a:ln w="9525">
          <a:miter lim="800000"/>
          <a:headEnd/>
          <a:tailEnd/>
        </a:ln>
      </xdr:spPr>
    </xdr:pic>
    <xdr:clientData/>
  </xdr:twoCellAnchor>
  <xdr:twoCellAnchor editAs="oneCell">
    <xdr:from>
      <xdr:col>2</xdr:col>
      <xdr:colOff>0</xdr:colOff>
      <xdr:row>81</xdr:row>
      <xdr:rowOff>0</xdr:rowOff>
    </xdr:from>
    <xdr:to>
      <xdr:col>2</xdr:col>
      <xdr:colOff>152400</xdr:colOff>
      <xdr:row>81</xdr:row>
      <xdr:rowOff>152400</xdr:rowOff>
    </xdr:to>
    <xdr:pic>
      <xdr:nvPicPr>
        <xdr:cNvPr id="715" name="Control 318">
          <a:extLst>
            <a:ext uri="{FF2B5EF4-FFF2-40B4-BE49-F238E27FC236}">
              <a16:creationId xmlns:a16="http://schemas.microsoft.com/office/drawing/2014/main" id="{00000000-0008-0000-0E00-0000CB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6973550"/>
          <a:ext cx="152400" cy="152400"/>
        </a:xfrm>
        <a:prstGeom prst="rect">
          <a:avLst/>
        </a:prstGeom>
        <a:noFill/>
        <a:ln w="9525">
          <a:miter lim="800000"/>
          <a:headEnd/>
          <a:tailEnd/>
        </a:ln>
      </xdr:spPr>
    </xdr:pic>
    <xdr:clientData/>
  </xdr:twoCellAnchor>
  <xdr:twoCellAnchor editAs="oneCell">
    <xdr:from>
      <xdr:col>0</xdr:col>
      <xdr:colOff>0</xdr:colOff>
      <xdr:row>82</xdr:row>
      <xdr:rowOff>0</xdr:rowOff>
    </xdr:from>
    <xdr:to>
      <xdr:col>0</xdr:col>
      <xdr:colOff>139700</xdr:colOff>
      <xdr:row>82</xdr:row>
      <xdr:rowOff>139700</xdr:rowOff>
    </xdr:to>
    <xdr:pic>
      <xdr:nvPicPr>
        <xdr:cNvPr id="716" name="Control 319">
          <a:extLst>
            <a:ext uri="{FF2B5EF4-FFF2-40B4-BE49-F238E27FC236}">
              <a16:creationId xmlns:a16="http://schemas.microsoft.com/office/drawing/2014/main" id="{00000000-0008-0000-0E00-0000CC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7183100"/>
          <a:ext cx="139700" cy="139700"/>
        </a:xfrm>
        <a:prstGeom prst="rect">
          <a:avLst/>
        </a:prstGeom>
        <a:noFill/>
        <a:ln w="9525">
          <a:miter lim="800000"/>
          <a:headEnd/>
          <a:tailEnd/>
        </a:ln>
      </xdr:spPr>
    </xdr:pic>
    <xdr:clientData/>
  </xdr:twoCellAnchor>
  <xdr:twoCellAnchor editAs="oneCell">
    <xdr:from>
      <xdr:col>2</xdr:col>
      <xdr:colOff>0</xdr:colOff>
      <xdr:row>82</xdr:row>
      <xdr:rowOff>0</xdr:rowOff>
    </xdr:from>
    <xdr:to>
      <xdr:col>2</xdr:col>
      <xdr:colOff>254000</xdr:colOff>
      <xdr:row>83</xdr:row>
      <xdr:rowOff>82550</xdr:rowOff>
    </xdr:to>
    <xdr:pic>
      <xdr:nvPicPr>
        <xdr:cNvPr id="717" name="Control 320">
          <a:extLst>
            <a:ext uri="{FF2B5EF4-FFF2-40B4-BE49-F238E27FC236}">
              <a16:creationId xmlns:a16="http://schemas.microsoft.com/office/drawing/2014/main" id="{00000000-0008-0000-0E00-0000CD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7183100"/>
          <a:ext cx="254000" cy="273050"/>
        </a:xfrm>
        <a:prstGeom prst="rect">
          <a:avLst/>
        </a:prstGeom>
        <a:noFill/>
        <a:ln w="9525">
          <a:miter lim="800000"/>
          <a:headEnd/>
          <a:tailEnd/>
        </a:ln>
      </xdr:spPr>
    </xdr:pic>
    <xdr:clientData/>
  </xdr:twoCellAnchor>
  <xdr:twoCellAnchor editAs="oneCell">
    <xdr:from>
      <xdr:col>2</xdr:col>
      <xdr:colOff>0</xdr:colOff>
      <xdr:row>82</xdr:row>
      <xdr:rowOff>0</xdr:rowOff>
    </xdr:from>
    <xdr:to>
      <xdr:col>2</xdr:col>
      <xdr:colOff>152400</xdr:colOff>
      <xdr:row>82</xdr:row>
      <xdr:rowOff>152400</xdr:rowOff>
    </xdr:to>
    <xdr:pic>
      <xdr:nvPicPr>
        <xdr:cNvPr id="718" name="Control 321">
          <a:extLst>
            <a:ext uri="{FF2B5EF4-FFF2-40B4-BE49-F238E27FC236}">
              <a16:creationId xmlns:a16="http://schemas.microsoft.com/office/drawing/2014/main" id="{00000000-0008-0000-0E00-0000CE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7183100"/>
          <a:ext cx="152400" cy="152400"/>
        </a:xfrm>
        <a:prstGeom prst="rect">
          <a:avLst/>
        </a:prstGeom>
        <a:noFill/>
        <a:ln w="9525">
          <a:miter lim="800000"/>
          <a:headEnd/>
          <a:tailEnd/>
        </a:ln>
      </xdr:spPr>
    </xdr:pic>
    <xdr:clientData/>
  </xdr:twoCellAnchor>
  <xdr:twoCellAnchor editAs="oneCell">
    <xdr:from>
      <xdr:col>2</xdr:col>
      <xdr:colOff>0</xdr:colOff>
      <xdr:row>82</xdr:row>
      <xdr:rowOff>0</xdr:rowOff>
    </xdr:from>
    <xdr:to>
      <xdr:col>2</xdr:col>
      <xdr:colOff>152400</xdr:colOff>
      <xdr:row>82</xdr:row>
      <xdr:rowOff>152400</xdr:rowOff>
    </xdr:to>
    <xdr:pic>
      <xdr:nvPicPr>
        <xdr:cNvPr id="719" name="Control 322">
          <a:extLst>
            <a:ext uri="{FF2B5EF4-FFF2-40B4-BE49-F238E27FC236}">
              <a16:creationId xmlns:a16="http://schemas.microsoft.com/office/drawing/2014/main" id="{00000000-0008-0000-0E00-0000CF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7183100"/>
          <a:ext cx="152400" cy="152400"/>
        </a:xfrm>
        <a:prstGeom prst="rect">
          <a:avLst/>
        </a:prstGeom>
        <a:noFill/>
        <a:ln w="9525">
          <a:miter lim="800000"/>
          <a:headEnd/>
          <a:tailEnd/>
        </a:ln>
      </xdr:spPr>
    </xdr:pic>
    <xdr:clientData/>
  </xdr:twoCellAnchor>
  <xdr:twoCellAnchor editAs="oneCell">
    <xdr:from>
      <xdr:col>0</xdr:col>
      <xdr:colOff>0</xdr:colOff>
      <xdr:row>83</xdr:row>
      <xdr:rowOff>0</xdr:rowOff>
    </xdr:from>
    <xdr:to>
      <xdr:col>0</xdr:col>
      <xdr:colOff>139700</xdr:colOff>
      <xdr:row>83</xdr:row>
      <xdr:rowOff>139700</xdr:rowOff>
    </xdr:to>
    <xdr:pic>
      <xdr:nvPicPr>
        <xdr:cNvPr id="720" name="Control 323">
          <a:extLst>
            <a:ext uri="{FF2B5EF4-FFF2-40B4-BE49-F238E27FC236}">
              <a16:creationId xmlns:a16="http://schemas.microsoft.com/office/drawing/2014/main" id="{00000000-0008-0000-0E00-0000D0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7392650"/>
          <a:ext cx="139700" cy="139700"/>
        </a:xfrm>
        <a:prstGeom prst="rect">
          <a:avLst/>
        </a:prstGeom>
        <a:noFill/>
        <a:ln w="9525">
          <a:miter lim="800000"/>
          <a:headEnd/>
          <a:tailEnd/>
        </a:ln>
      </xdr:spPr>
    </xdr:pic>
    <xdr:clientData/>
  </xdr:twoCellAnchor>
  <xdr:twoCellAnchor editAs="oneCell">
    <xdr:from>
      <xdr:col>2</xdr:col>
      <xdr:colOff>0</xdr:colOff>
      <xdr:row>83</xdr:row>
      <xdr:rowOff>0</xdr:rowOff>
    </xdr:from>
    <xdr:to>
      <xdr:col>2</xdr:col>
      <xdr:colOff>254000</xdr:colOff>
      <xdr:row>84</xdr:row>
      <xdr:rowOff>82550</xdr:rowOff>
    </xdr:to>
    <xdr:pic>
      <xdr:nvPicPr>
        <xdr:cNvPr id="721" name="Control 324">
          <a:extLst>
            <a:ext uri="{FF2B5EF4-FFF2-40B4-BE49-F238E27FC236}">
              <a16:creationId xmlns:a16="http://schemas.microsoft.com/office/drawing/2014/main" id="{00000000-0008-0000-0E00-0000D1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7392650"/>
          <a:ext cx="254000" cy="273050"/>
        </a:xfrm>
        <a:prstGeom prst="rect">
          <a:avLst/>
        </a:prstGeom>
        <a:noFill/>
        <a:ln w="9525">
          <a:miter lim="800000"/>
          <a:headEnd/>
          <a:tailEnd/>
        </a:ln>
      </xdr:spPr>
    </xdr:pic>
    <xdr:clientData/>
  </xdr:twoCellAnchor>
  <xdr:twoCellAnchor editAs="oneCell">
    <xdr:from>
      <xdr:col>2</xdr:col>
      <xdr:colOff>0</xdr:colOff>
      <xdr:row>83</xdr:row>
      <xdr:rowOff>0</xdr:rowOff>
    </xdr:from>
    <xdr:to>
      <xdr:col>2</xdr:col>
      <xdr:colOff>152400</xdr:colOff>
      <xdr:row>83</xdr:row>
      <xdr:rowOff>152400</xdr:rowOff>
    </xdr:to>
    <xdr:pic>
      <xdr:nvPicPr>
        <xdr:cNvPr id="722" name="Control 325">
          <a:extLst>
            <a:ext uri="{FF2B5EF4-FFF2-40B4-BE49-F238E27FC236}">
              <a16:creationId xmlns:a16="http://schemas.microsoft.com/office/drawing/2014/main" id="{00000000-0008-0000-0E00-0000D2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7392650"/>
          <a:ext cx="152400" cy="152400"/>
        </a:xfrm>
        <a:prstGeom prst="rect">
          <a:avLst/>
        </a:prstGeom>
        <a:noFill/>
        <a:ln w="9525">
          <a:miter lim="800000"/>
          <a:headEnd/>
          <a:tailEnd/>
        </a:ln>
      </xdr:spPr>
    </xdr:pic>
    <xdr:clientData/>
  </xdr:twoCellAnchor>
  <xdr:twoCellAnchor editAs="oneCell">
    <xdr:from>
      <xdr:col>2</xdr:col>
      <xdr:colOff>0</xdr:colOff>
      <xdr:row>83</xdr:row>
      <xdr:rowOff>0</xdr:rowOff>
    </xdr:from>
    <xdr:to>
      <xdr:col>2</xdr:col>
      <xdr:colOff>152400</xdr:colOff>
      <xdr:row>83</xdr:row>
      <xdr:rowOff>152400</xdr:rowOff>
    </xdr:to>
    <xdr:pic>
      <xdr:nvPicPr>
        <xdr:cNvPr id="723" name="Control 326">
          <a:extLst>
            <a:ext uri="{FF2B5EF4-FFF2-40B4-BE49-F238E27FC236}">
              <a16:creationId xmlns:a16="http://schemas.microsoft.com/office/drawing/2014/main" id="{00000000-0008-0000-0E00-0000D3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7392650"/>
          <a:ext cx="152400" cy="152400"/>
        </a:xfrm>
        <a:prstGeom prst="rect">
          <a:avLst/>
        </a:prstGeom>
        <a:noFill/>
        <a:ln w="9525">
          <a:miter lim="800000"/>
          <a:headEnd/>
          <a:tailEnd/>
        </a:ln>
      </xdr:spPr>
    </xdr:pic>
    <xdr:clientData/>
  </xdr:twoCellAnchor>
  <xdr:twoCellAnchor editAs="oneCell">
    <xdr:from>
      <xdr:col>0</xdr:col>
      <xdr:colOff>0</xdr:colOff>
      <xdr:row>84</xdr:row>
      <xdr:rowOff>0</xdr:rowOff>
    </xdr:from>
    <xdr:to>
      <xdr:col>0</xdr:col>
      <xdr:colOff>139700</xdr:colOff>
      <xdr:row>84</xdr:row>
      <xdr:rowOff>139700</xdr:rowOff>
    </xdr:to>
    <xdr:pic>
      <xdr:nvPicPr>
        <xdr:cNvPr id="724" name="Control 327">
          <a:extLst>
            <a:ext uri="{FF2B5EF4-FFF2-40B4-BE49-F238E27FC236}">
              <a16:creationId xmlns:a16="http://schemas.microsoft.com/office/drawing/2014/main" id="{00000000-0008-0000-0E00-0000D4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7602200"/>
          <a:ext cx="139700" cy="139700"/>
        </a:xfrm>
        <a:prstGeom prst="rect">
          <a:avLst/>
        </a:prstGeom>
        <a:noFill/>
        <a:ln w="9525">
          <a:miter lim="800000"/>
          <a:headEnd/>
          <a:tailEnd/>
        </a:ln>
      </xdr:spPr>
    </xdr:pic>
    <xdr:clientData/>
  </xdr:twoCellAnchor>
  <xdr:twoCellAnchor editAs="oneCell">
    <xdr:from>
      <xdr:col>2</xdr:col>
      <xdr:colOff>0</xdr:colOff>
      <xdr:row>84</xdr:row>
      <xdr:rowOff>0</xdr:rowOff>
    </xdr:from>
    <xdr:to>
      <xdr:col>2</xdr:col>
      <xdr:colOff>254000</xdr:colOff>
      <xdr:row>85</xdr:row>
      <xdr:rowOff>82550</xdr:rowOff>
    </xdr:to>
    <xdr:pic>
      <xdr:nvPicPr>
        <xdr:cNvPr id="725" name="Control 328">
          <a:extLst>
            <a:ext uri="{FF2B5EF4-FFF2-40B4-BE49-F238E27FC236}">
              <a16:creationId xmlns:a16="http://schemas.microsoft.com/office/drawing/2014/main" id="{00000000-0008-0000-0E00-0000D5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7602200"/>
          <a:ext cx="254000" cy="273050"/>
        </a:xfrm>
        <a:prstGeom prst="rect">
          <a:avLst/>
        </a:prstGeom>
        <a:noFill/>
        <a:ln w="9525">
          <a:miter lim="800000"/>
          <a:headEnd/>
          <a:tailEnd/>
        </a:ln>
      </xdr:spPr>
    </xdr:pic>
    <xdr:clientData/>
  </xdr:twoCellAnchor>
  <xdr:twoCellAnchor editAs="oneCell">
    <xdr:from>
      <xdr:col>2</xdr:col>
      <xdr:colOff>0</xdr:colOff>
      <xdr:row>84</xdr:row>
      <xdr:rowOff>0</xdr:rowOff>
    </xdr:from>
    <xdr:to>
      <xdr:col>2</xdr:col>
      <xdr:colOff>152400</xdr:colOff>
      <xdr:row>84</xdr:row>
      <xdr:rowOff>152400</xdr:rowOff>
    </xdr:to>
    <xdr:pic>
      <xdr:nvPicPr>
        <xdr:cNvPr id="726" name="Control 329">
          <a:extLst>
            <a:ext uri="{FF2B5EF4-FFF2-40B4-BE49-F238E27FC236}">
              <a16:creationId xmlns:a16="http://schemas.microsoft.com/office/drawing/2014/main" id="{00000000-0008-0000-0E00-0000D6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7602200"/>
          <a:ext cx="152400" cy="152400"/>
        </a:xfrm>
        <a:prstGeom prst="rect">
          <a:avLst/>
        </a:prstGeom>
        <a:noFill/>
        <a:ln w="9525">
          <a:miter lim="800000"/>
          <a:headEnd/>
          <a:tailEnd/>
        </a:ln>
      </xdr:spPr>
    </xdr:pic>
    <xdr:clientData/>
  </xdr:twoCellAnchor>
  <xdr:twoCellAnchor editAs="oneCell">
    <xdr:from>
      <xdr:col>2</xdr:col>
      <xdr:colOff>0</xdr:colOff>
      <xdr:row>84</xdr:row>
      <xdr:rowOff>0</xdr:rowOff>
    </xdr:from>
    <xdr:to>
      <xdr:col>2</xdr:col>
      <xdr:colOff>152400</xdr:colOff>
      <xdr:row>84</xdr:row>
      <xdr:rowOff>152400</xdr:rowOff>
    </xdr:to>
    <xdr:pic>
      <xdr:nvPicPr>
        <xdr:cNvPr id="727" name="Control 330">
          <a:extLst>
            <a:ext uri="{FF2B5EF4-FFF2-40B4-BE49-F238E27FC236}">
              <a16:creationId xmlns:a16="http://schemas.microsoft.com/office/drawing/2014/main" id="{00000000-0008-0000-0E00-0000D7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7602200"/>
          <a:ext cx="152400" cy="152400"/>
        </a:xfrm>
        <a:prstGeom prst="rect">
          <a:avLst/>
        </a:prstGeom>
        <a:noFill/>
        <a:ln w="9525">
          <a:miter lim="800000"/>
          <a:headEnd/>
          <a:tailEnd/>
        </a:ln>
      </xdr:spPr>
    </xdr:pic>
    <xdr:clientData/>
  </xdr:twoCellAnchor>
  <xdr:twoCellAnchor editAs="oneCell">
    <xdr:from>
      <xdr:col>0</xdr:col>
      <xdr:colOff>0</xdr:colOff>
      <xdr:row>85</xdr:row>
      <xdr:rowOff>0</xdr:rowOff>
    </xdr:from>
    <xdr:to>
      <xdr:col>0</xdr:col>
      <xdr:colOff>139700</xdr:colOff>
      <xdr:row>85</xdr:row>
      <xdr:rowOff>139700</xdr:rowOff>
    </xdr:to>
    <xdr:pic>
      <xdr:nvPicPr>
        <xdr:cNvPr id="728" name="Control 331">
          <a:extLst>
            <a:ext uri="{FF2B5EF4-FFF2-40B4-BE49-F238E27FC236}">
              <a16:creationId xmlns:a16="http://schemas.microsoft.com/office/drawing/2014/main" id="{00000000-0008-0000-0E00-0000D8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7811750"/>
          <a:ext cx="139700" cy="139700"/>
        </a:xfrm>
        <a:prstGeom prst="rect">
          <a:avLst/>
        </a:prstGeom>
        <a:noFill/>
        <a:ln w="9525">
          <a:miter lim="800000"/>
          <a:headEnd/>
          <a:tailEnd/>
        </a:ln>
      </xdr:spPr>
    </xdr:pic>
    <xdr:clientData/>
  </xdr:twoCellAnchor>
  <xdr:twoCellAnchor editAs="oneCell">
    <xdr:from>
      <xdr:col>2</xdr:col>
      <xdr:colOff>0</xdr:colOff>
      <xdr:row>85</xdr:row>
      <xdr:rowOff>0</xdr:rowOff>
    </xdr:from>
    <xdr:to>
      <xdr:col>2</xdr:col>
      <xdr:colOff>254000</xdr:colOff>
      <xdr:row>86</xdr:row>
      <xdr:rowOff>82550</xdr:rowOff>
    </xdr:to>
    <xdr:pic>
      <xdr:nvPicPr>
        <xdr:cNvPr id="729" name="Control 332">
          <a:extLst>
            <a:ext uri="{FF2B5EF4-FFF2-40B4-BE49-F238E27FC236}">
              <a16:creationId xmlns:a16="http://schemas.microsoft.com/office/drawing/2014/main" id="{00000000-0008-0000-0E00-0000D9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7811750"/>
          <a:ext cx="254000" cy="273050"/>
        </a:xfrm>
        <a:prstGeom prst="rect">
          <a:avLst/>
        </a:prstGeom>
        <a:noFill/>
        <a:ln w="9525">
          <a:miter lim="800000"/>
          <a:headEnd/>
          <a:tailEnd/>
        </a:ln>
      </xdr:spPr>
    </xdr:pic>
    <xdr:clientData/>
  </xdr:twoCellAnchor>
  <xdr:twoCellAnchor editAs="oneCell">
    <xdr:from>
      <xdr:col>2</xdr:col>
      <xdr:colOff>0</xdr:colOff>
      <xdr:row>85</xdr:row>
      <xdr:rowOff>0</xdr:rowOff>
    </xdr:from>
    <xdr:to>
      <xdr:col>2</xdr:col>
      <xdr:colOff>152400</xdr:colOff>
      <xdr:row>85</xdr:row>
      <xdr:rowOff>152400</xdr:rowOff>
    </xdr:to>
    <xdr:pic>
      <xdr:nvPicPr>
        <xdr:cNvPr id="730" name="Control 333">
          <a:extLst>
            <a:ext uri="{FF2B5EF4-FFF2-40B4-BE49-F238E27FC236}">
              <a16:creationId xmlns:a16="http://schemas.microsoft.com/office/drawing/2014/main" id="{00000000-0008-0000-0E00-0000DA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7811750"/>
          <a:ext cx="152400" cy="152400"/>
        </a:xfrm>
        <a:prstGeom prst="rect">
          <a:avLst/>
        </a:prstGeom>
        <a:noFill/>
        <a:ln w="9525">
          <a:miter lim="800000"/>
          <a:headEnd/>
          <a:tailEnd/>
        </a:ln>
      </xdr:spPr>
    </xdr:pic>
    <xdr:clientData/>
  </xdr:twoCellAnchor>
  <xdr:twoCellAnchor editAs="oneCell">
    <xdr:from>
      <xdr:col>2</xdr:col>
      <xdr:colOff>0</xdr:colOff>
      <xdr:row>85</xdr:row>
      <xdr:rowOff>0</xdr:rowOff>
    </xdr:from>
    <xdr:to>
      <xdr:col>2</xdr:col>
      <xdr:colOff>152400</xdr:colOff>
      <xdr:row>85</xdr:row>
      <xdr:rowOff>152400</xdr:rowOff>
    </xdr:to>
    <xdr:pic>
      <xdr:nvPicPr>
        <xdr:cNvPr id="731" name="Control 334">
          <a:extLst>
            <a:ext uri="{FF2B5EF4-FFF2-40B4-BE49-F238E27FC236}">
              <a16:creationId xmlns:a16="http://schemas.microsoft.com/office/drawing/2014/main" id="{00000000-0008-0000-0E00-0000DB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7811750"/>
          <a:ext cx="152400" cy="152400"/>
        </a:xfrm>
        <a:prstGeom prst="rect">
          <a:avLst/>
        </a:prstGeom>
        <a:noFill/>
        <a:ln w="9525">
          <a:miter lim="800000"/>
          <a:headEnd/>
          <a:tailEnd/>
        </a:ln>
      </xdr:spPr>
    </xdr:pic>
    <xdr:clientData/>
  </xdr:twoCellAnchor>
  <xdr:twoCellAnchor editAs="oneCell">
    <xdr:from>
      <xdr:col>0</xdr:col>
      <xdr:colOff>0</xdr:colOff>
      <xdr:row>86</xdr:row>
      <xdr:rowOff>0</xdr:rowOff>
    </xdr:from>
    <xdr:to>
      <xdr:col>0</xdr:col>
      <xdr:colOff>139700</xdr:colOff>
      <xdr:row>86</xdr:row>
      <xdr:rowOff>139700</xdr:rowOff>
    </xdr:to>
    <xdr:pic>
      <xdr:nvPicPr>
        <xdr:cNvPr id="732" name="Control 335">
          <a:extLst>
            <a:ext uri="{FF2B5EF4-FFF2-40B4-BE49-F238E27FC236}">
              <a16:creationId xmlns:a16="http://schemas.microsoft.com/office/drawing/2014/main" id="{00000000-0008-0000-0E00-0000DC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8021300"/>
          <a:ext cx="139700" cy="139700"/>
        </a:xfrm>
        <a:prstGeom prst="rect">
          <a:avLst/>
        </a:prstGeom>
        <a:noFill/>
        <a:ln w="9525">
          <a:miter lim="800000"/>
          <a:headEnd/>
          <a:tailEnd/>
        </a:ln>
      </xdr:spPr>
    </xdr:pic>
    <xdr:clientData/>
  </xdr:twoCellAnchor>
  <xdr:twoCellAnchor editAs="oneCell">
    <xdr:from>
      <xdr:col>2</xdr:col>
      <xdr:colOff>0</xdr:colOff>
      <xdr:row>86</xdr:row>
      <xdr:rowOff>0</xdr:rowOff>
    </xdr:from>
    <xdr:to>
      <xdr:col>2</xdr:col>
      <xdr:colOff>254000</xdr:colOff>
      <xdr:row>87</xdr:row>
      <xdr:rowOff>82550</xdr:rowOff>
    </xdr:to>
    <xdr:pic>
      <xdr:nvPicPr>
        <xdr:cNvPr id="733" name="Control 336">
          <a:extLst>
            <a:ext uri="{FF2B5EF4-FFF2-40B4-BE49-F238E27FC236}">
              <a16:creationId xmlns:a16="http://schemas.microsoft.com/office/drawing/2014/main" id="{00000000-0008-0000-0E00-0000DD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8021300"/>
          <a:ext cx="254000" cy="273050"/>
        </a:xfrm>
        <a:prstGeom prst="rect">
          <a:avLst/>
        </a:prstGeom>
        <a:noFill/>
        <a:ln w="9525">
          <a:miter lim="800000"/>
          <a:headEnd/>
          <a:tailEnd/>
        </a:ln>
      </xdr:spPr>
    </xdr:pic>
    <xdr:clientData/>
  </xdr:twoCellAnchor>
  <xdr:twoCellAnchor editAs="oneCell">
    <xdr:from>
      <xdr:col>2</xdr:col>
      <xdr:colOff>0</xdr:colOff>
      <xdr:row>86</xdr:row>
      <xdr:rowOff>0</xdr:rowOff>
    </xdr:from>
    <xdr:to>
      <xdr:col>2</xdr:col>
      <xdr:colOff>152400</xdr:colOff>
      <xdr:row>86</xdr:row>
      <xdr:rowOff>152400</xdr:rowOff>
    </xdr:to>
    <xdr:pic>
      <xdr:nvPicPr>
        <xdr:cNvPr id="734" name="Control 337">
          <a:extLst>
            <a:ext uri="{FF2B5EF4-FFF2-40B4-BE49-F238E27FC236}">
              <a16:creationId xmlns:a16="http://schemas.microsoft.com/office/drawing/2014/main" id="{00000000-0008-0000-0E00-0000DE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8021300"/>
          <a:ext cx="152400" cy="152400"/>
        </a:xfrm>
        <a:prstGeom prst="rect">
          <a:avLst/>
        </a:prstGeom>
        <a:noFill/>
        <a:ln w="9525">
          <a:miter lim="800000"/>
          <a:headEnd/>
          <a:tailEnd/>
        </a:ln>
      </xdr:spPr>
    </xdr:pic>
    <xdr:clientData/>
  </xdr:twoCellAnchor>
  <xdr:twoCellAnchor editAs="oneCell">
    <xdr:from>
      <xdr:col>2</xdr:col>
      <xdr:colOff>0</xdr:colOff>
      <xdr:row>86</xdr:row>
      <xdr:rowOff>0</xdr:rowOff>
    </xdr:from>
    <xdr:to>
      <xdr:col>2</xdr:col>
      <xdr:colOff>152400</xdr:colOff>
      <xdr:row>86</xdr:row>
      <xdr:rowOff>152400</xdr:rowOff>
    </xdr:to>
    <xdr:pic>
      <xdr:nvPicPr>
        <xdr:cNvPr id="735" name="Control 338">
          <a:extLst>
            <a:ext uri="{FF2B5EF4-FFF2-40B4-BE49-F238E27FC236}">
              <a16:creationId xmlns:a16="http://schemas.microsoft.com/office/drawing/2014/main" id="{00000000-0008-0000-0E00-0000DF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8021300"/>
          <a:ext cx="152400" cy="152400"/>
        </a:xfrm>
        <a:prstGeom prst="rect">
          <a:avLst/>
        </a:prstGeom>
        <a:noFill/>
        <a:ln w="9525">
          <a:miter lim="800000"/>
          <a:headEnd/>
          <a:tailEnd/>
        </a:ln>
      </xdr:spPr>
    </xdr:pic>
    <xdr:clientData/>
  </xdr:twoCellAnchor>
  <xdr:twoCellAnchor editAs="oneCell">
    <xdr:from>
      <xdr:col>0</xdr:col>
      <xdr:colOff>0</xdr:colOff>
      <xdr:row>87</xdr:row>
      <xdr:rowOff>0</xdr:rowOff>
    </xdr:from>
    <xdr:to>
      <xdr:col>0</xdr:col>
      <xdr:colOff>139700</xdr:colOff>
      <xdr:row>87</xdr:row>
      <xdr:rowOff>139700</xdr:rowOff>
    </xdr:to>
    <xdr:pic>
      <xdr:nvPicPr>
        <xdr:cNvPr id="736" name="Control 339">
          <a:extLst>
            <a:ext uri="{FF2B5EF4-FFF2-40B4-BE49-F238E27FC236}">
              <a16:creationId xmlns:a16="http://schemas.microsoft.com/office/drawing/2014/main" id="{00000000-0008-0000-0E00-0000E0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8230850"/>
          <a:ext cx="139700" cy="139700"/>
        </a:xfrm>
        <a:prstGeom prst="rect">
          <a:avLst/>
        </a:prstGeom>
        <a:noFill/>
        <a:ln w="9525">
          <a:miter lim="800000"/>
          <a:headEnd/>
          <a:tailEnd/>
        </a:ln>
      </xdr:spPr>
    </xdr:pic>
    <xdr:clientData/>
  </xdr:twoCellAnchor>
  <xdr:twoCellAnchor editAs="oneCell">
    <xdr:from>
      <xdr:col>2</xdr:col>
      <xdr:colOff>0</xdr:colOff>
      <xdr:row>87</xdr:row>
      <xdr:rowOff>0</xdr:rowOff>
    </xdr:from>
    <xdr:to>
      <xdr:col>2</xdr:col>
      <xdr:colOff>254000</xdr:colOff>
      <xdr:row>88</xdr:row>
      <xdr:rowOff>82550</xdr:rowOff>
    </xdr:to>
    <xdr:pic>
      <xdr:nvPicPr>
        <xdr:cNvPr id="737" name="Control 340">
          <a:extLst>
            <a:ext uri="{FF2B5EF4-FFF2-40B4-BE49-F238E27FC236}">
              <a16:creationId xmlns:a16="http://schemas.microsoft.com/office/drawing/2014/main" id="{00000000-0008-0000-0E00-0000E1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8230850"/>
          <a:ext cx="254000" cy="273050"/>
        </a:xfrm>
        <a:prstGeom prst="rect">
          <a:avLst/>
        </a:prstGeom>
        <a:noFill/>
        <a:ln w="9525">
          <a:miter lim="800000"/>
          <a:headEnd/>
          <a:tailEnd/>
        </a:ln>
      </xdr:spPr>
    </xdr:pic>
    <xdr:clientData/>
  </xdr:twoCellAnchor>
  <xdr:twoCellAnchor editAs="oneCell">
    <xdr:from>
      <xdr:col>2</xdr:col>
      <xdr:colOff>0</xdr:colOff>
      <xdr:row>87</xdr:row>
      <xdr:rowOff>0</xdr:rowOff>
    </xdr:from>
    <xdr:to>
      <xdr:col>2</xdr:col>
      <xdr:colOff>152400</xdr:colOff>
      <xdr:row>87</xdr:row>
      <xdr:rowOff>152400</xdr:rowOff>
    </xdr:to>
    <xdr:pic>
      <xdr:nvPicPr>
        <xdr:cNvPr id="738" name="Control 341">
          <a:extLst>
            <a:ext uri="{FF2B5EF4-FFF2-40B4-BE49-F238E27FC236}">
              <a16:creationId xmlns:a16="http://schemas.microsoft.com/office/drawing/2014/main" id="{00000000-0008-0000-0E00-0000E2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8230850"/>
          <a:ext cx="152400" cy="152400"/>
        </a:xfrm>
        <a:prstGeom prst="rect">
          <a:avLst/>
        </a:prstGeom>
        <a:noFill/>
        <a:ln w="9525">
          <a:miter lim="800000"/>
          <a:headEnd/>
          <a:tailEnd/>
        </a:ln>
      </xdr:spPr>
    </xdr:pic>
    <xdr:clientData/>
  </xdr:twoCellAnchor>
  <xdr:twoCellAnchor editAs="oneCell">
    <xdr:from>
      <xdr:col>2</xdr:col>
      <xdr:colOff>0</xdr:colOff>
      <xdr:row>87</xdr:row>
      <xdr:rowOff>0</xdr:rowOff>
    </xdr:from>
    <xdr:to>
      <xdr:col>2</xdr:col>
      <xdr:colOff>152400</xdr:colOff>
      <xdr:row>87</xdr:row>
      <xdr:rowOff>152400</xdr:rowOff>
    </xdr:to>
    <xdr:pic>
      <xdr:nvPicPr>
        <xdr:cNvPr id="739" name="Control 342">
          <a:extLst>
            <a:ext uri="{FF2B5EF4-FFF2-40B4-BE49-F238E27FC236}">
              <a16:creationId xmlns:a16="http://schemas.microsoft.com/office/drawing/2014/main" id="{00000000-0008-0000-0E00-0000E3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8230850"/>
          <a:ext cx="152400" cy="152400"/>
        </a:xfrm>
        <a:prstGeom prst="rect">
          <a:avLst/>
        </a:prstGeom>
        <a:noFill/>
        <a:ln w="9525">
          <a:miter lim="800000"/>
          <a:headEnd/>
          <a:tailEnd/>
        </a:ln>
      </xdr:spPr>
    </xdr:pic>
    <xdr:clientData/>
  </xdr:twoCellAnchor>
  <xdr:twoCellAnchor editAs="oneCell">
    <xdr:from>
      <xdr:col>0</xdr:col>
      <xdr:colOff>0</xdr:colOff>
      <xdr:row>88</xdr:row>
      <xdr:rowOff>0</xdr:rowOff>
    </xdr:from>
    <xdr:to>
      <xdr:col>0</xdr:col>
      <xdr:colOff>139700</xdr:colOff>
      <xdr:row>88</xdr:row>
      <xdr:rowOff>139700</xdr:rowOff>
    </xdr:to>
    <xdr:pic>
      <xdr:nvPicPr>
        <xdr:cNvPr id="740" name="Control 343">
          <a:extLst>
            <a:ext uri="{FF2B5EF4-FFF2-40B4-BE49-F238E27FC236}">
              <a16:creationId xmlns:a16="http://schemas.microsoft.com/office/drawing/2014/main" id="{00000000-0008-0000-0E00-0000E4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8440400"/>
          <a:ext cx="139700" cy="139700"/>
        </a:xfrm>
        <a:prstGeom prst="rect">
          <a:avLst/>
        </a:prstGeom>
        <a:noFill/>
        <a:ln w="9525">
          <a:miter lim="800000"/>
          <a:headEnd/>
          <a:tailEnd/>
        </a:ln>
      </xdr:spPr>
    </xdr:pic>
    <xdr:clientData/>
  </xdr:twoCellAnchor>
  <xdr:twoCellAnchor editAs="oneCell">
    <xdr:from>
      <xdr:col>2</xdr:col>
      <xdr:colOff>0</xdr:colOff>
      <xdr:row>88</xdr:row>
      <xdr:rowOff>0</xdr:rowOff>
    </xdr:from>
    <xdr:to>
      <xdr:col>2</xdr:col>
      <xdr:colOff>254000</xdr:colOff>
      <xdr:row>89</xdr:row>
      <xdr:rowOff>82550</xdr:rowOff>
    </xdr:to>
    <xdr:pic>
      <xdr:nvPicPr>
        <xdr:cNvPr id="741" name="Control 344">
          <a:extLst>
            <a:ext uri="{FF2B5EF4-FFF2-40B4-BE49-F238E27FC236}">
              <a16:creationId xmlns:a16="http://schemas.microsoft.com/office/drawing/2014/main" id="{00000000-0008-0000-0E00-0000E5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8440400"/>
          <a:ext cx="254000" cy="273050"/>
        </a:xfrm>
        <a:prstGeom prst="rect">
          <a:avLst/>
        </a:prstGeom>
        <a:noFill/>
        <a:ln w="9525">
          <a:miter lim="800000"/>
          <a:headEnd/>
          <a:tailEnd/>
        </a:ln>
      </xdr:spPr>
    </xdr:pic>
    <xdr:clientData/>
  </xdr:twoCellAnchor>
  <xdr:twoCellAnchor editAs="oneCell">
    <xdr:from>
      <xdr:col>2</xdr:col>
      <xdr:colOff>0</xdr:colOff>
      <xdr:row>88</xdr:row>
      <xdr:rowOff>0</xdr:rowOff>
    </xdr:from>
    <xdr:to>
      <xdr:col>2</xdr:col>
      <xdr:colOff>152400</xdr:colOff>
      <xdr:row>88</xdr:row>
      <xdr:rowOff>152400</xdr:rowOff>
    </xdr:to>
    <xdr:pic>
      <xdr:nvPicPr>
        <xdr:cNvPr id="742" name="Control 345">
          <a:extLst>
            <a:ext uri="{FF2B5EF4-FFF2-40B4-BE49-F238E27FC236}">
              <a16:creationId xmlns:a16="http://schemas.microsoft.com/office/drawing/2014/main" id="{00000000-0008-0000-0E00-0000E6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8440400"/>
          <a:ext cx="152400" cy="152400"/>
        </a:xfrm>
        <a:prstGeom prst="rect">
          <a:avLst/>
        </a:prstGeom>
        <a:noFill/>
        <a:ln w="9525">
          <a:miter lim="800000"/>
          <a:headEnd/>
          <a:tailEnd/>
        </a:ln>
      </xdr:spPr>
    </xdr:pic>
    <xdr:clientData/>
  </xdr:twoCellAnchor>
  <xdr:twoCellAnchor editAs="oneCell">
    <xdr:from>
      <xdr:col>2</xdr:col>
      <xdr:colOff>0</xdr:colOff>
      <xdr:row>88</xdr:row>
      <xdr:rowOff>0</xdr:rowOff>
    </xdr:from>
    <xdr:to>
      <xdr:col>2</xdr:col>
      <xdr:colOff>152400</xdr:colOff>
      <xdr:row>88</xdr:row>
      <xdr:rowOff>152400</xdr:rowOff>
    </xdr:to>
    <xdr:pic>
      <xdr:nvPicPr>
        <xdr:cNvPr id="743" name="Control 346">
          <a:extLst>
            <a:ext uri="{FF2B5EF4-FFF2-40B4-BE49-F238E27FC236}">
              <a16:creationId xmlns:a16="http://schemas.microsoft.com/office/drawing/2014/main" id="{00000000-0008-0000-0E00-0000E7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8440400"/>
          <a:ext cx="152400" cy="152400"/>
        </a:xfrm>
        <a:prstGeom prst="rect">
          <a:avLst/>
        </a:prstGeom>
        <a:noFill/>
        <a:ln w="9525">
          <a:miter lim="800000"/>
          <a:headEnd/>
          <a:tailEnd/>
        </a:ln>
      </xdr:spPr>
    </xdr:pic>
    <xdr:clientData/>
  </xdr:twoCellAnchor>
  <xdr:twoCellAnchor editAs="oneCell">
    <xdr:from>
      <xdr:col>0</xdr:col>
      <xdr:colOff>0</xdr:colOff>
      <xdr:row>89</xdr:row>
      <xdr:rowOff>0</xdr:rowOff>
    </xdr:from>
    <xdr:to>
      <xdr:col>0</xdr:col>
      <xdr:colOff>139700</xdr:colOff>
      <xdr:row>89</xdr:row>
      <xdr:rowOff>139700</xdr:rowOff>
    </xdr:to>
    <xdr:pic>
      <xdr:nvPicPr>
        <xdr:cNvPr id="744" name="Control 347">
          <a:extLst>
            <a:ext uri="{FF2B5EF4-FFF2-40B4-BE49-F238E27FC236}">
              <a16:creationId xmlns:a16="http://schemas.microsoft.com/office/drawing/2014/main" id="{00000000-0008-0000-0E00-0000E8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8649950"/>
          <a:ext cx="139700" cy="139700"/>
        </a:xfrm>
        <a:prstGeom prst="rect">
          <a:avLst/>
        </a:prstGeom>
        <a:noFill/>
        <a:ln w="9525">
          <a:miter lim="800000"/>
          <a:headEnd/>
          <a:tailEnd/>
        </a:ln>
      </xdr:spPr>
    </xdr:pic>
    <xdr:clientData/>
  </xdr:twoCellAnchor>
  <xdr:twoCellAnchor editAs="oneCell">
    <xdr:from>
      <xdr:col>2</xdr:col>
      <xdr:colOff>0</xdr:colOff>
      <xdr:row>89</xdr:row>
      <xdr:rowOff>0</xdr:rowOff>
    </xdr:from>
    <xdr:to>
      <xdr:col>2</xdr:col>
      <xdr:colOff>254000</xdr:colOff>
      <xdr:row>90</xdr:row>
      <xdr:rowOff>82550</xdr:rowOff>
    </xdr:to>
    <xdr:pic>
      <xdr:nvPicPr>
        <xdr:cNvPr id="745" name="Control 348">
          <a:extLst>
            <a:ext uri="{FF2B5EF4-FFF2-40B4-BE49-F238E27FC236}">
              <a16:creationId xmlns:a16="http://schemas.microsoft.com/office/drawing/2014/main" id="{00000000-0008-0000-0E00-0000E9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8649950"/>
          <a:ext cx="254000" cy="273050"/>
        </a:xfrm>
        <a:prstGeom prst="rect">
          <a:avLst/>
        </a:prstGeom>
        <a:noFill/>
        <a:ln w="9525">
          <a:miter lim="800000"/>
          <a:headEnd/>
          <a:tailEnd/>
        </a:ln>
      </xdr:spPr>
    </xdr:pic>
    <xdr:clientData/>
  </xdr:twoCellAnchor>
  <xdr:twoCellAnchor editAs="oneCell">
    <xdr:from>
      <xdr:col>2</xdr:col>
      <xdr:colOff>0</xdr:colOff>
      <xdr:row>89</xdr:row>
      <xdr:rowOff>0</xdr:rowOff>
    </xdr:from>
    <xdr:to>
      <xdr:col>2</xdr:col>
      <xdr:colOff>152400</xdr:colOff>
      <xdr:row>89</xdr:row>
      <xdr:rowOff>152400</xdr:rowOff>
    </xdr:to>
    <xdr:pic>
      <xdr:nvPicPr>
        <xdr:cNvPr id="746" name="Control 349">
          <a:extLst>
            <a:ext uri="{FF2B5EF4-FFF2-40B4-BE49-F238E27FC236}">
              <a16:creationId xmlns:a16="http://schemas.microsoft.com/office/drawing/2014/main" id="{00000000-0008-0000-0E00-0000EA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8649950"/>
          <a:ext cx="152400" cy="152400"/>
        </a:xfrm>
        <a:prstGeom prst="rect">
          <a:avLst/>
        </a:prstGeom>
        <a:noFill/>
        <a:ln w="9525">
          <a:miter lim="800000"/>
          <a:headEnd/>
          <a:tailEnd/>
        </a:ln>
      </xdr:spPr>
    </xdr:pic>
    <xdr:clientData/>
  </xdr:twoCellAnchor>
  <xdr:twoCellAnchor editAs="oneCell">
    <xdr:from>
      <xdr:col>2</xdr:col>
      <xdr:colOff>0</xdr:colOff>
      <xdr:row>89</xdr:row>
      <xdr:rowOff>0</xdr:rowOff>
    </xdr:from>
    <xdr:to>
      <xdr:col>2</xdr:col>
      <xdr:colOff>152400</xdr:colOff>
      <xdr:row>89</xdr:row>
      <xdr:rowOff>152400</xdr:rowOff>
    </xdr:to>
    <xdr:pic>
      <xdr:nvPicPr>
        <xdr:cNvPr id="747" name="Control 350">
          <a:extLst>
            <a:ext uri="{FF2B5EF4-FFF2-40B4-BE49-F238E27FC236}">
              <a16:creationId xmlns:a16="http://schemas.microsoft.com/office/drawing/2014/main" id="{00000000-0008-0000-0E00-0000EB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8649950"/>
          <a:ext cx="152400" cy="152400"/>
        </a:xfrm>
        <a:prstGeom prst="rect">
          <a:avLst/>
        </a:prstGeom>
        <a:noFill/>
        <a:ln w="9525">
          <a:miter lim="800000"/>
          <a:headEnd/>
          <a:tailEnd/>
        </a:ln>
      </xdr:spPr>
    </xdr:pic>
    <xdr:clientData/>
  </xdr:twoCellAnchor>
  <xdr:twoCellAnchor editAs="oneCell">
    <xdr:from>
      <xdr:col>0</xdr:col>
      <xdr:colOff>0</xdr:colOff>
      <xdr:row>90</xdr:row>
      <xdr:rowOff>0</xdr:rowOff>
    </xdr:from>
    <xdr:to>
      <xdr:col>0</xdr:col>
      <xdr:colOff>139700</xdr:colOff>
      <xdr:row>90</xdr:row>
      <xdr:rowOff>139700</xdr:rowOff>
    </xdr:to>
    <xdr:pic>
      <xdr:nvPicPr>
        <xdr:cNvPr id="748" name="Control 351">
          <a:extLst>
            <a:ext uri="{FF2B5EF4-FFF2-40B4-BE49-F238E27FC236}">
              <a16:creationId xmlns:a16="http://schemas.microsoft.com/office/drawing/2014/main" id="{00000000-0008-0000-0E00-0000EC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8859500"/>
          <a:ext cx="139700" cy="139700"/>
        </a:xfrm>
        <a:prstGeom prst="rect">
          <a:avLst/>
        </a:prstGeom>
        <a:noFill/>
        <a:ln w="9525">
          <a:miter lim="800000"/>
          <a:headEnd/>
          <a:tailEnd/>
        </a:ln>
      </xdr:spPr>
    </xdr:pic>
    <xdr:clientData/>
  </xdr:twoCellAnchor>
  <xdr:twoCellAnchor editAs="oneCell">
    <xdr:from>
      <xdr:col>2</xdr:col>
      <xdr:colOff>0</xdr:colOff>
      <xdr:row>90</xdr:row>
      <xdr:rowOff>0</xdr:rowOff>
    </xdr:from>
    <xdr:to>
      <xdr:col>2</xdr:col>
      <xdr:colOff>254000</xdr:colOff>
      <xdr:row>91</xdr:row>
      <xdr:rowOff>82550</xdr:rowOff>
    </xdr:to>
    <xdr:pic>
      <xdr:nvPicPr>
        <xdr:cNvPr id="749" name="Control 352">
          <a:extLst>
            <a:ext uri="{FF2B5EF4-FFF2-40B4-BE49-F238E27FC236}">
              <a16:creationId xmlns:a16="http://schemas.microsoft.com/office/drawing/2014/main" id="{00000000-0008-0000-0E00-0000ED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8859500"/>
          <a:ext cx="254000" cy="273050"/>
        </a:xfrm>
        <a:prstGeom prst="rect">
          <a:avLst/>
        </a:prstGeom>
        <a:noFill/>
        <a:ln w="9525">
          <a:miter lim="800000"/>
          <a:headEnd/>
          <a:tailEnd/>
        </a:ln>
      </xdr:spPr>
    </xdr:pic>
    <xdr:clientData/>
  </xdr:twoCellAnchor>
  <xdr:twoCellAnchor editAs="oneCell">
    <xdr:from>
      <xdr:col>2</xdr:col>
      <xdr:colOff>0</xdr:colOff>
      <xdr:row>90</xdr:row>
      <xdr:rowOff>0</xdr:rowOff>
    </xdr:from>
    <xdr:to>
      <xdr:col>2</xdr:col>
      <xdr:colOff>152400</xdr:colOff>
      <xdr:row>90</xdr:row>
      <xdr:rowOff>152400</xdr:rowOff>
    </xdr:to>
    <xdr:pic>
      <xdr:nvPicPr>
        <xdr:cNvPr id="750" name="Control 353">
          <a:extLst>
            <a:ext uri="{FF2B5EF4-FFF2-40B4-BE49-F238E27FC236}">
              <a16:creationId xmlns:a16="http://schemas.microsoft.com/office/drawing/2014/main" id="{00000000-0008-0000-0E00-0000EE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8859500"/>
          <a:ext cx="152400" cy="152400"/>
        </a:xfrm>
        <a:prstGeom prst="rect">
          <a:avLst/>
        </a:prstGeom>
        <a:noFill/>
        <a:ln w="9525">
          <a:miter lim="800000"/>
          <a:headEnd/>
          <a:tailEnd/>
        </a:ln>
      </xdr:spPr>
    </xdr:pic>
    <xdr:clientData/>
  </xdr:twoCellAnchor>
  <xdr:twoCellAnchor editAs="oneCell">
    <xdr:from>
      <xdr:col>2</xdr:col>
      <xdr:colOff>0</xdr:colOff>
      <xdr:row>90</xdr:row>
      <xdr:rowOff>0</xdr:rowOff>
    </xdr:from>
    <xdr:to>
      <xdr:col>2</xdr:col>
      <xdr:colOff>152400</xdr:colOff>
      <xdr:row>90</xdr:row>
      <xdr:rowOff>152400</xdr:rowOff>
    </xdr:to>
    <xdr:pic>
      <xdr:nvPicPr>
        <xdr:cNvPr id="751" name="Control 354">
          <a:extLst>
            <a:ext uri="{FF2B5EF4-FFF2-40B4-BE49-F238E27FC236}">
              <a16:creationId xmlns:a16="http://schemas.microsoft.com/office/drawing/2014/main" id="{00000000-0008-0000-0E00-0000EF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8859500"/>
          <a:ext cx="152400" cy="152400"/>
        </a:xfrm>
        <a:prstGeom prst="rect">
          <a:avLst/>
        </a:prstGeom>
        <a:noFill/>
        <a:ln w="9525">
          <a:miter lim="800000"/>
          <a:headEnd/>
          <a:tailEnd/>
        </a:ln>
      </xdr:spPr>
    </xdr:pic>
    <xdr:clientData/>
  </xdr:twoCellAnchor>
  <xdr:twoCellAnchor editAs="oneCell">
    <xdr:from>
      <xdr:col>0</xdr:col>
      <xdr:colOff>0</xdr:colOff>
      <xdr:row>91</xdr:row>
      <xdr:rowOff>0</xdr:rowOff>
    </xdr:from>
    <xdr:to>
      <xdr:col>0</xdr:col>
      <xdr:colOff>139700</xdr:colOff>
      <xdr:row>91</xdr:row>
      <xdr:rowOff>139700</xdr:rowOff>
    </xdr:to>
    <xdr:pic>
      <xdr:nvPicPr>
        <xdr:cNvPr id="752" name="Control 355">
          <a:extLst>
            <a:ext uri="{FF2B5EF4-FFF2-40B4-BE49-F238E27FC236}">
              <a16:creationId xmlns:a16="http://schemas.microsoft.com/office/drawing/2014/main" id="{00000000-0008-0000-0E00-0000F0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9069050"/>
          <a:ext cx="139700" cy="139700"/>
        </a:xfrm>
        <a:prstGeom prst="rect">
          <a:avLst/>
        </a:prstGeom>
        <a:noFill/>
        <a:ln w="9525">
          <a:miter lim="800000"/>
          <a:headEnd/>
          <a:tailEnd/>
        </a:ln>
      </xdr:spPr>
    </xdr:pic>
    <xdr:clientData/>
  </xdr:twoCellAnchor>
  <xdr:twoCellAnchor editAs="oneCell">
    <xdr:from>
      <xdr:col>2</xdr:col>
      <xdr:colOff>0</xdr:colOff>
      <xdr:row>91</xdr:row>
      <xdr:rowOff>0</xdr:rowOff>
    </xdr:from>
    <xdr:to>
      <xdr:col>2</xdr:col>
      <xdr:colOff>254000</xdr:colOff>
      <xdr:row>92</xdr:row>
      <xdr:rowOff>82550</xdr:rowOff>
    </xdr:to>
    <xdr:pic>
      <xdr:nvPicPr>
        <xdr:cNvPr id="753" name="Control 356">
          <a:extLst>
            <a:ext uri="{FF2B5EF4-FFF2-40B4-BE49-F238E27FC236}">
              <a16:creationId xmlns:a16="http://schemas.microsoft.com/office/drawing/2014/main" id="{00000000-0008-0000-0E00-0000F1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9069050"/>
          <a:ext cx="254000" cy="273050"/>
        </a:xfrm>
        <a:prstGeom prst="rect">
          <a:avLst/>
        </a:prstGeom>
        <a:noFill/>
        <a:ln w="9525">
          <a:miter lim="800000"/>
          <a:headEnd/>
          <a:tailEnd/>
        </a:ln>
      </xdr:spPr>
    </xdr:pic>
    <xdr:clientData/>
  </xdr:twoCellAnchor>
  <xdr:twoCellAnchor editAs="oneCell">
    <xdr:from>
      <xdr:col>2</xdr:col>
      <xdr:colOff>0</xdr:colOff>
      <xdr:row>91</xdr:row>
      <xdr:rowOff>0</xdr:rowOff>
    </xdr:from>
    <xdr:to>
      <xdr:col>2</xdr:col>
      <xdr:colOff>152400</xdr:colOff>
      <xdr:row>91</xdr:row>
      <xdr:rowOff>152400</xdr:rowOff>
    </xdr:to>
    <xdr:pic>
      <xdr:nvPicPr>
        <xdr:cNvPr id="754" name="Control 357">
          <a:extLst>
            <a:ext uri="{FF2B5EF4-FFF2-40B4-BE49-F238E27FC236}">
              <a16:creationId xmlns:a16="http://schemas.microsoft.com/office/drawing/2014/main" id="{00000000-0008-0000-0E00-0000F2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9069050"/>
          <a:ext cx="152400" cy="152400"/>
        </a:xfrm>
        <a:prstGeom prst="rect">
          <a:avLst/>
        </a:prstGeom>
        <a:noFill/>
        <a:ln w="9525">
          <a:miter lim="800000"/>
          <a:headEnd/>
          <a:tailEnd/>
        </a:ln>
      </xdr:spPr>
    </xdr:pic>
    <xdr:clientData/>
  </xdr:twoCellAnchor>
  <xdr:twoCellAnchor editAs="oneCell">
    <xdr:from>
      <xdr:col>2</xdr:col>
      <xdr:colOff>0</xdr:colOff>
      <xdr:row>91</xdr:row>
      <xdr:rowOff>0</xdr:rowOff>
    </xdr:from>
    <xdr:to>
      <xdr:col>2</xdr:col>
      <xdr:colOff>152400</xdr:colOff>
      <xdr:row>91</xdr:row>
      <xdr:rowOff>152400</xdr:rowOff>
    </xdr:to>
    <xdr:pic>
      <xdr:nvPicPr>
        <xdr:cNvPr id="755" name="Control 358">
          <a:extLst>
            <a:ext uri="{FF2B5EF4-FFF2-40B4-BE49-F238E27FC236}">
              <a16:creationId xmlns:a16="http://schemas.microsoft.com/office/drawing/2014/main" id="{00000000-0008-0000-0E00-0000F3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9069050"/>
          <a:ext cx="152400" cy="152400"/>
        </a:xfrm>
        <a:prstGeom prst="rect">
          <a:avLst/>
        </a:prstGeom>
        <a:noFill/>
        <a:ln w="9525">
          <a:miter lim="800000"/>
          <a:headEnd/>
          <a:tailEnd/>
        </a:ln>
      </xdr:spPr>
    </xdr:pic>
    <xdr:clientData/>
  </xdr:twoCellAnchor>
  <xdr:twoCellAnchor editAs="oneCell">
    <xdr:from>
      <xdr:col>0</xdr:col>
      <xdr:colOff>0</xdr:colOff>
      <xdr:row>92</xdr:row>
      <xdr:rowOff>0</xdr:rowOff>
    </xdr:from>
    <xdr:to>
      <xdr:col>0</xdr:col>
      <xdr:colOff>139700</xdr:colOff>
      <xdr:row>92</xdr:row>
      <xdr:rowOff>139700</xdr:rowOff>
    </xdr:to>
    <xdr:pic>
      <xdr:nvPicPr>
        <xdr:cNvPr id="756" name="Control 359">
          <a:extLst>
            <a:ext uri="{FF2B5EF4-FFF2-40B4-BE49-F238E27FC236}">
              <a16:creationId xmlns:a16="http://schemas.microsoft.com/office/drawing/2014/main" id="{00000000-0008-0000-0E00-0000F4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9278600"/>
          <a:ext cx="139700" cy="139700"/>
        </a:xfrm>
        <a:prstGeom prst="rect">
          <a:avLst/>
        </a:prstGeom>
        <a:noFill/>
        <a:ln w="9525">
          <a:miter lim="800000"/>
          <a:headEnd/>
          <a:tailEnd/>
        </a:ln>
      </xdr:spPr>
    </xdr:pic>
    <xdr:clientData/>
  </xdr:twoCellAnchor>
  <xdr:twoCellAnchor editAs="oneCell">
    <xdr:from>
      <xdr:col>2</xdr:col>
      <xdr:colOff>0</xdr:colOff>
      <xdr:row>92</xdr:row>
      <xdr:rowOff>0</xdr:rowOff>
    </xdr:from>
    <xdr:to>
      <xdr:col>2</xdr:col>
      <xdr:colOff>254000</xdr:colOff>
      <xdr:row>93</xdr:row>
      <xdr:rowOff>82550</xdr:rowOff>
    </xdr:to>
    <xdr:pic>
      <xdr:nvPicPr>
        <xdr:cNvPr id="757" name="Control 360">
          <a:extLst>
            <a:ext uri="{FF2B5EF4-FFF2-40B4-BE49-F238E27FC236}">
              <a16:creationId xmlns:a16="http://schemas.microsoft.com/office/drawing/2014/main" id="{00000000-0008-0000-0E00-0000F5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9278600"/>
          <a:ext cx="254000" cy="273050"/>
        </a:xfrm>
        <a:prstGeom prst="rect">
          <a:avLst/>
        </a:prstGeom>
        <a:noFill/>
        <a:ln w="9525">
          <a:miter lim="800000"/>
          <a:headEnd/>
          <a:tailEnd/>
        </a:ln>
      </xdr:spPr>
    </xdr:pic>
    <xdr:clientData/>
  </xdr:twoCellAnchor>
  <xdr:twoCellAnchor editAs="oneCell">
    <xdr:from>
      <xdr:col>2</xdr:col>
      <xdr:colOff>0</xdr:colOff>
      <xdr:row>92</xdr:row>
      <xdr:rowOff>0</xdr:rowOff>
    </xdr:from>
    <xdr:to>
      <xdr:col>2</xdr:col>
      <xdr:colOff>152400</xdr:colOff>
      <xdr:row>92</xdr:row>
      <xdr:rowOff>152400</xdr:rowOff>
    </xdr:to>
    <xdr:pic>
      <xdr:nvPicPr>
        <xdr:cNvPr id="758" name="Control 361">
          <a:extLst>
            <a:ext uri="{FF2B5EF4-FFF2-40B4-BE49-F238E27FC236}">
              <a16:creationId xmlns:a16="http://schemas.microsoft.com/office/drawing/2014/main" id="{00000000-0008-0000-0E00-0000F6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9278600"/>
          <a:ext cx="152400" cy="152400"/>
        </a:xfrm>
        <a:prstGeom prst="rect">
          <a:avLst/>
        </a:prstGeom>
        <a:noFill/>
        <a:ln w="9525">
          <a:miter lim="800000"/>
          <a:headEnd/>
          <a:tailEnd/>
        </a:ln>
      </xdr:spPr>
    </xdr:pic>
    <xdr:clientData/>
  </xdr:twoCellAnchor>
  <xdr:twoCellAnchor editAs="oneCell">
    <xdr:from>
      <xdr:col>2</xdr:col>
      <xdr:colOff>0</xdr:colOff>
      <xdr:row>92</xdr:row>
      <xdr:rowOff>0</xdr:rowOff>
    </xdr:from>
    <xdr:to>
      <xdr:col>2</xdr:col>
      <xdr:colOff>152400</xdr:colOff>
      <xdr:row>92</xdr:row>
      <xdr:rowOff>152400</xdr:rowOff>
    </xdr:to>
    <xdr:pic>
      <xdr:nvPicPr>
        <xdr:cNvPr id="759" name="Control 362">
          <a:extLst>
            <a:ext uri="{FF2B5EF4-FFF2-40B4-BE49-F238E27FC236}">
              <a16:creationId xmlns:a16="http://schemas.microsoft.com/office/drawing/2014/main" id="{00000000-0008-0000-0E00-0000F7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9278600"/>
          <a:ext cx="152400" cy="152400"/>
        </a:xfrm>
        <a:prstGeom prst="rect">
          <a:avLst/>
        </a:prstGeom>
        <a:noFill/>
        <a:ln w="9525">
          <a:miter lim="800000"/>
          <a:headEnd/>
          <a:tailEnd/>
        </a:ln>
      </xdr:spPr>
    </xdr:pic>
    <xdr:clientData/>
  </xdr:twoCellAnchor>
  <xdr:twoCellAnchor editAs="oneCell">
    <xdr:from>
      <xdr:col>0</xdr:col>
      <xdr:colOff>0</xdr:colOff>
      <xdr:row>93</xdr:row>
      <xdr:rowOff>0</xdr:rowOff>
    </xdr:from>
    <xdr:to>
      <xdr:col>0</xdr:col>
      <xdr:colOff>139700</xdr:colOff>
      <xdr:row>93</xdr:row>
      <xdr:rowOff>139700</xdr:rowOff>
    </xdr:to>
    <xdr:pic>
      <xdr:nvPicPr>
        <xdr:cNvPr id="760" name="Control 363">
          <a:extLst>
            <a:ext uri="{FF2B5EF4-FFF2-40B4-BE49-F238E27FC236}">
              <a16:creationId xmlns:a16="http://schemas.microsoft.com/office/drawing/2014/main" id="{00000000-0008-0000-0E00-0000F8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9488150"/>
          <a:ext cx="139700" cy="139700"/>
        </a:xfrm>
        <a:prstGeom prst="rect">
          <a:avLst/>
        </a:prstGeom>
        <a:noFill/>
        <a:ln w="9525">
          <a:miter lim="800000"/>
          <a:headEnd/>
          <a:tailEnd/>
        </a:ln>
      </xdr:spPr>
    </xdr:pic>
    <xdr:clientData/>
  </xdr:twoCellAnchor>
  <xdr:twoCellAnchor editAs="oneCell">
    <xdr:from>
      <xdr:col>2</xdr:col>
      <xdr:colOff>0</xdr:colOff>
      <xdr:row>93</xdr:row>
      <xdr:rowOff>0</xdr:rowOff>
    </xdr:from>
    <xdr:to>
      <xdr:col>2</xdr:col>
      <xdr:colOff>254000</xdr:colOff>
      <xdr:row>94</xdr:row>
      <xdr:rowOff>82550</xdr:rowOff>
    </xdr:to>
    <xdr:pic>
      <xdr:nvPicPr>
        <xdr:cNvPr id="761" name="Control 364">
          <a:extLst>
            <a:ext uri="{FF2B5EF4-FFF2-40B4-BE49-F238E27FC236}">
              <a16:creationId xmlns:a16="http://schemas.microsoft.com/office/drawing/2014/main" id="{00000000-0008-0000-0E00-0000F9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9488150"/>
          <a:ext cx="254000" cy="273050"/>
        </a:xfrm>
        <a:prstGeom prst="rect">
          <a:avLst/>
        </a:prstGeom>
        <a:noFill/>
        <a:ln w="9525">
          <a:miter lim="800000"/>
          <a:headEnd/>
          <a:tailEnd/>
        </a:ln>
      </xdr:spPr>
    </xdr:pic>
    <xdr:clientData/>
  </xdr:twoCellAnchor>
  <xdr:twoCellAnchor editAs="oneCell">
    <xdr:from>
      <xdr:col>2</xdr:col>
      <xdr:colOff>0</xdr:colOff>
      <xdr:row>93</xdr:row>
      <xdr:rowOff>0</xdr:rowOff>
    </xdr:from>
    <xdr:to>
      <xdr:col>2</xdr:col>
      <xdr:colOff>152400</xdr:colOff>
      <xdr:row>93</xdr:row>
      <xdr:rowOff>152400</xdr:rowOff>
    </xdr:to>
    <xdr:pic>
      <xdr:nvPicPr>
        <xdr:cNvPr id="762" name="Control 365">
          <a:extLst>
            <a:ext uri="{FF2B5EF4-FFF2-40B4-BE49-F238E27FC236}">
              <a16:creationId xmlns:a16="http://schemas.microsoft.com/office/drawing/2014/main" id="{00000000-0008-0000-0E00-0000FA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9488150"/>
          <a:ext cx="152400" cy="152400"/>
        </a:xfrm>
        <a:prstGeom prst="rect">
          <a:avLst/>
        </a:prstGeom>
        <a:noFill/>
        <a:ln w="9525">
          <a:miter lim="800000"/>
          <a:headEnd/>
          <a:tailEnd/>
        </a:ln>
      </xdr:spPr>
    </xdr:pic>
    <xdr:clientData/>
  </xdr:twoCellAnchor>
  <xdr:twoCellAnchor editAs="oneCell">
    <xdr:from>
      <xdr:col>2</xdr:col>
      <xdr:colOff>0</xdr:colOff>
      <xdr:row>93</xdr:row>
      <xdr:rowOff>0</xdr:rowOff>
    </xdr:from>
    <xdr:to>
      <xdr:col>2</xdr:col>
      <xdr:colOff>152400</xdr:colOff>
      <xdr:row>93</xdr:row>
      <xdr:rowOff>152400</xdr:rowOff>
    </xdr:to>
    <xdr:pic>
      <xdr:nvPicPr>
        <xdr:cNvPr id="763" name="Control 366">
          <a:extLst>
            <a:ext uri="{FF2B5EF4-FFF2-40B4-BE49-F238E27FC236}">
              <a16:creationId xmlns:a16="http://schemas.microsoft.com/office/drawing/2014/main" id="{00000000-0008-0000-0E00-0000FB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9488150"/>
          <a:ext cx="152400" cy="152400"/>
        </a:xfrm>
        <a:prstGeom prst="rect">
          <a:avLst/>
        </a:prstGeom>
        <a:noFill/>
        <a:ln w="9525">
          <a:miter lim="800000"/>
          <a:headEnd/>
          <a:tailEnd/>
        </a:ln>
      </xdr:spPr>
    </xdr:pic>
    <xdr:clientData/>
  </xdr:twoCellAnchor>
  <xdr:twoCellAnchor editAs="oneCell">
    <xdr:from>
      <xdr:col>0</xdr:col>
      <xdr:colOff>0</xdr:colOff>
      <xdr:row>94</xdr:row>
      <xdr:rowOff>0</xdr:rowOff>
    </xdr:from>
    <xdr:to>
      <xdr:col>0</xdr:col>
      <xdr:colOff>139700</xdr:colOff>
      <xdr:row>94</xdr:row>
      <xdr:rowOff>139700</xdr:rowOff>
    </xdr:to>
    <xdr:pic>
      <xdr:nvPicPr>
        <xdr:cNvPr id="764" name="Control 367">
          <a:extLst>
            <a:ext uri="{FF2B5EF4-FFF2-40B4-BE49-F238E27FC236}">
              <a16:creationId xmlns:a16="http://schemas.microsoft.com/office/drawing/2014/main" id="{00000000-0008-0000-0E00-0000FC02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9697700"/>
          <a:ext cx="139700" cy="139700"/>
        </a:xfrm>
        <a:prstGeom prst="rect">
          <a:avLst/>
        </a:prstGeom>
        <a:noFill/>
        <a:ln w="9525">
          <a:miter lim="800000"/>
          <a:headEnd/>
          <a:tailEnd/>
        </a:ln>
      </xdr:spPr>
    </xdr:pic>
    <xdr:clientData/>
  </xdr:twoCellAnchor>
  <xdr:twoCellAnchor editAs="oneCell">
    <xdr:from>
      <xdr:col>2</xdr:col>
      <xdr:colOff>0</xdr:colOff>
      <xdr:row>94</xdr:row>
      <xdr:rowOff>0</xdr:rowOff>
    </xdr:from>
    <xdr:to>
      <xdr:col>2</xdr:col>
      <xdr:colOff>254000</xdr:colOff>
      <xdr:row>95</xdr:row>
      <xdr:rowOff>82550</xdr:rowOff>
    </xdr:to>
    <xdr:pic>
      <xdr:nvPicPr>
        <xdr:cNvPr id="765" name="Control 368">
          <a:extLst>
            <a:ext uri="{FF2B5EF4-FFF2-40B4-BE49-F238E27FC236}">
              <a16:creationId xmlns:a16="http://schemas.microsoft.com/office/drawing/2014/main" id="{00000000-0008-0000-0E00-0000FD02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9697700"/>
          <a:ext cx="254000" cy="273050"/>
        </a:xfrm>
        <a:prstGeom prst="rect">
          <a:avLst/>
        </a:prstGeom>
        <a:noFill/>
        <a:ln w="9525">
          <a:miter lim="800000"/>
          <a:headEnd/>
          <a:tailEnd/>
        </a:ln>
      </xdr:spPr>
    </xdr:pic>
    <xdr:clientData/>
  </xdr:twoCellAnchor>
  <xdr:twoCellAnchor editAs="oneCell">
    <xdr:from>
      <xdr:col>2</xdr:col>
      <xdr:colOff>0</xdr:colOff>
      <xdr:row>94</xdr:row>
      <xdr:rowOff>0</xdr:rowOff>
    </xdr:from>
    <xdr:to>
      <xdr:col>2</xdr:col>
      <xdr:colOff>152400</xdr:colOff>
      <xdr:row>94</xdr:row>
      <xdr:rowOff>152400</xdr:rowOff>
    </xdr:to>
    <xdr:pic>
      <xdr:nvPicPr>
        <xdr:cNvPr id="766" name="Control 369">
          <a:extLst>
            <a:ext uri="{FF2B5EF4-FFF2-40B4-BE49-F238E27FC236}">
              <a16:creationId xmlns:a16="http://schemas.microsoft.com/office/drawing/2014/main" id="{00000000-0008-0000-0E00-0000FE02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9697700"/>
          <a:ext cx="152400" cy="152400"/>
        </a:xfrm>
        <a:prstGeom prst="rect">
          <a:avLst/>
        </a:prstGeom>
        <a:noFill/>
        <a:ln w="9525">
          <a:miter lim="800000"/>
          <a:headEnd/>
          <a:tailEnd/>
        </a:ln>
      </xdr:spPr>
    </xdr:pic>
    <xdr:clientData/>
  </xdr:twoCellAnchor>
  <xdr:twoCellAnchor editAs="oneCell">
    <xdr:from>
      <xdr:col>2</xdr:col>
      <xdr:colOff>0</xdr:colOff>
      <xdr:row>94</xdr:row>
      <xdr:rowOff>0</xdr:rowOff>
    </xdr:from>
    <xdr:to>
      <xdr:col>2</xdr:col>
      <xdr:colOff>152400</xdr:colOff>
      <xdr:row>94</xdr:row>
      <xdr:rowOff>152400</xdr:rowOff>
    </xdr:to>
    <xdr:pic>
      <xdr:nvPicPr>
        <xdr:cNvPr id="767" name="Control 370">
          <a:extLst>
            <a:ext uri="{FF2B5EF4-FFF2-40B4-BE49-F238E27FC236}">
              <a16:creationId xmlns:a16="http://schemas.microsoft.com/office/drawing/2014/main" id="{00000000-0008-0000-0E00-0000FF02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9697700"/>
          <a:ext cx="152400" cy="152400"/>
        </a:xfrm>
        <a:prstGeom prst="rect">
          <a:avLst/>
        </a:prstGeom>
        <a:noFill/>
        <a:ln w="9525">
          <a:miter lim="800000"/>
          <a:headEnd/>
          <a:tailEnd/>
        </a:ln>
      </xdr:spPr>
    </xdr:pic>
    <xdr:clientData/>
  </xdr:twoCellAnchor>
  <xdr:twoCellAnchor editAs="oneCell">
    <xdr:from>
      <xdr:col>0</xdr:col>
      <xdr:colOff>0</xdr:colOff>
      <xdr:row>95</xdr:row>
      <xdr:rowOff>0</xdr:rowOff>
    </xdr:from>
    <xdr:to>
      <xdr:col>0</xdr:col>
      <xdr:colOff>139700</xdr:colOff>
      <xdr:row>95</xdr:row>
      <xdr:rowOff>139700</xdr:rowOff>
    </xdr:to>
    <xdr:pic>
      <xdr:nvPicPr>
        <xdr:cNvPr id="768" name="Control 371">
          <a:extLst>
            <a:ext uri="{FF2B5EF4-FFF2-40B4-BE49-F238E27FC236}">
              <a16:creationId xmlns:a16="http://schemas.microsoft.com/office/drawing/2014/main" id="{00000000-0008-0000-0E00-00000003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19907250"/>
          <a:ext cx="139700" cy="139700"/>
        </a:xfrm>
        <a:prstGeom prst="rect">
          <a:avLst/>
        </a:prstGeom>
        <a:noFill/>
        <a:ln w="9525">
          <a:miter lim="800000"/>
          <a:headEnd/>
          <a:tailEnd/>
        </a:ln>
      </xdr:spPr>
    </xdr:pic>
    <xdr:clientData/>
  </xdr:twoCellAnchor>
  <xdr:twoCellAnchor editAs="oneCell">
    <xdr:from>
      <xdr:col>2</xdr:col>
      <xdr:colOff>0</xdr:colOff>
      <xdr:row>95</xdr:row>
      <xdr:rowOff>0</xdr:rowOff>
    </xdr:from>
    <xdr:to>
      <xdr:col>2</xdr:col>
      <xdr:colOff>254000</xdr:colOff>
      <xdr:row>96</xdr:row>
      <xdr:rowOff>82550</xdr:rowOff>
    </xdr:to>
    <xdr:pic>
      <xdr:nvPicPr>
        <xdr:cNvPr id="769" name="Control 372">
          <a:extLst>
            <a:ext uri="{FF2B5EF4-FFF2-40B4-BE49-F238E27FC236}">
              <a16:creationId xmlns:a16="http://schemas.microsoft.com/office/drawing/2014/main" id="{00000000-0008-0000-0E00-000001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19907250"/>
          <a:ext cx="254000" cy="273050"/>
        </a:xfrm>
        <a:prstGeom prst="rect">
          <a:avLst/>
        </a:prstGeom>
        <a:noFill/>
        <a:ln w="9525">
          <a:miter lim="800000"/>
          <a:headEnd/>
          <a:tailEnd/>
        </a:ln>
      </xdr:spPr>
    </xdr:pic>
    <xdr:clientData/>
  </xdr:twoCellAnchor>
  <xdr:twoCellAnchor editAs="oneCell">
    <xdr:from>
      <xdr:col>2</xdr:col>
      <xdr:colOff>0</xdr:colOff>
      <xdr:row>95</xdr:row>
      <xdr:rowOff>0</xdr:rowOff>
    </xdr:from>
    <xdr:to>
      <xdr:col>2</xdr:col>
      <xdr:colOff>152400</xdr:colOff>
      <xdr:row>95</xdr:row>
      <xdr:rowOff>152400</xdr:rowOff>
    </xdr:to>
    <xdr:pic>
      <xdr:nvPicPr>
        <xdr:cNvPr id="770" name="Control 373">
          <a:extLst>
            <a:ext uri="{FF2B5EF4-FFF2-40B4-BE49-F238E27FC236}">
              <a16:creationId xmlns:a16="http://schemas.microsoft.com/office/drawing/2014/main" id="{00000000-0008-0000-0E00-00000203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19907250"/>
          <a:ext cx="152400" cy="152400"/>
        </a:xfrm>
        <a:prstGeom prst="rect">
          <a:avLst/>
        </a:prstGeom>
        <a:noFill/>
        <a:ln w="9525">
          <a:miter lim="800000"/>
          <a:headEnd/>
          <a:tailEnd/>
        </a:ln>
      </xdr:spPr>
    </xdr:pic>
    <xdr:clientData/>
  </xdr:twoCellAnchor>
  <xdr:twoCellAnchor editAs="oneCell">
    <xdr:from>
      <xdr:col>2</xdr:col>
      <xdr:colOff>0</xdr:colOff>
      <xdr:row>95</xdr:row>
      <xdr:rowOff>0</xdr:rowOff>
    </xdr:from>
    <xdr:to>
      <xdr:col>2</xdr:col>
      <xdr:colOff>152400</xdr:colOff>
      <xdr:row>95</xdr:row>
      <xdr:rowOff>152400</xdr:rowOff>
    </xdr:to>
    <xdr:pic>
      <xdr:nvPicPr>
        <xdr:cNvPr id="771" name="Control 374">
          <a:extLst>
            <a:ext uri="{FF2B5EF4-FFF2-40B4-BE49-F238E27FC236}">
              <a16:creationId xmlns:a16="http://schemas.microsoft.com/office/drawing/2014/main" id="{00000000-0008-0000-0E00-00000303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19907250"/>
          <a:ext cx="152400" cy="152400"/>
        </a:xfrm>
        <a:prstGeom prst="rect">
          <a:avLst/>
        </a:prstGeom>
        <a:noFill/>
        <a:ln w="9525">
          <a:miter lim="800000"/>
          <a:headEnd/>
          <a:tailEnd/>
        </a:ln>
      </xdr:spPr>
    </xdr:pic>
    <xdr:clientData/>
  </xdr:twoCellAnchor>
  <xdr:twoCellAnchor editAs="oneCell">
    <xdr:from>
      <xdr:col>0</xdr:col>
      <xdr:colOff>0</xdr:colOff>
      <xdr:row>96</xdr:row>
      <xdr:rowOff>0</xdr:rowOff>
    </xdr:from>
    <xdr:to>
      <xdr:col>0</xdr:col>
      <xdr:colOff>139700</xdr:colOff>
      <xdr:row>96</xdr:row>
      <xdr:rowOff>139700</xdr:rowOff>
    </xdr:to>
    <xdr:pic>
      <xdr:nvPicPr>
        <xdr:cNvPr id="772" name="Control 375">
          <a:extLst>
            <a:ext uri="{FF2B5EF4-FFF2-40B4-BE49-F238E27FC236}">
              <a16:creationId xmlns:a16="http://schemas.microsoft.com/office/drawing/2014/main" id="{00000000-0008-0000-0E00-00000403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0116800"/>
          <a:ext cx="139700" cy="139700"/>
        </a:xfrm>
        <a:prstGeom prst="rect">
          <a:avLst/>
        </a:prstGeom>
        <a:noFill/>
        <a:ln w="9525">
          <a:miter lim="800000"/>
          <a:headEnd/>
          <a:tailEnd/>
        </a:ln>
      </xdr:spPr>
    </xdr:pic>
    <xdr:clientData/>
  </xdr:twoCellAnchor>
  <xdr:twoCellAnchor editAs="oneCell">
    <xdr:from>
      <xdr:col>2</xdr:col>
      <xdr:colOff>0</xdr:colOff>
      <xdr:row>96</xdr:row>
      <xdr:rowOff>0</xdr:rowOff>
    </xdr:from>
    <xdr:to>
      <xdr:col>2</xdr:col>
      <xdr:colOff>254000</xdr:colOff>
      <xdr:row>97</xdr:row>
      <xdr:rowOff>82550</xdr:rowOff>
    </xdr:to>
    <xdr:pic>
      <xdr:nvPicPr>
        <xdr:cNvPr id="773" name="Control 376">
          <a:extLst>
            <a:ext uri="{FF2B5EF4-FFF2-40B4-BE49-F238E27FC236}">
              <a16:creationId xmlns:a16="http://schemas.microsoft.com/office/drawing/2014/main" id="{00000000-0008-0000-0E00-000005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0116800"/>
          <a:ext cx="254000" cy="273050"/>
        </a:xfrm>
        <a:prstGeom prst="rect">
          <a:avLst/>
        </a:prstGeom>
        <a:noFill/>
        <a:ln w="9525">
          <a:miter lim="800000"/>
          <a:headEnd/>
          <a:tailEnd/>
        </a:ln>
      </xdr:spPr>
    </xdr:pic>
    <xdr:clientData/>
  </xdr:twoCellAnchor>
  <xdr:twoCellAnchor editAs="oneCell">
    <xdr:from>
      <xdr:col>2</xdr:col>
      <xdr:colOff>0</xdr:colOff>
      <xdr:row>96</xdr:row>
      <xdr:rowOff>0</xdr:rowOff>
    </xdr:from>
    <xdr:to>
      <xdr:col>2</xdr:col>
      <xdr:colOff>152400</xdr:colOff>
      <xdr:row>96</xdr:row>
      <xdr:rowOff>152400</xdr:rowOff>
    </xdr:to>
    <xdr:pic>
      <xdr:nvPicPr>
        <xdr:cNvPr id="774" name="Control 377">
          <a:extLst>
            <a:ext uri="{FF2B5EF4-FFF2-40B4-BE49-F238E27FC236}">
              <a16:creationId xmlns:a16="http://schemas.microsoft.com/office/drawing/2014/main" id="{00000000-0008-0000-0E00-00000603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0116800"/>
          <a:ext cx="152400" cy="152400"/>
        </a:xfrm>
        <a:prstGeom prst="rect">
          <a:avLst/>
        </a:prstGeom>
        <a:noFill/>
        <a:ln w="9525">
          <a:miter lim="800000"/>
          <a:headEnd/>
          <a:tailEnd/>
        </a:ln>
      </xdr:spPr>
    </xdr:pic>
    <xdr:clientData/>
  </xdr:twoCellAnchor>
  <xdr:twoCellAnchor editAs="oneCell">
    <xdr:from>
      <xdr:col>2</xdr:col>
      <xdr:colOff>0</xdr:colOff>
      <xdr:row>96</xdr:row>
      <xdr:rowOff>0</xdr:rowOff>
    </xdr:from>
    <xdr:to>
      <xdr:col>2</xdr:col>
      <xdr:colOff>152400</xdr:colOff>
      <xdr:row>96</xdr:row>
      <xdr:rowOff>152400</xdr:rowOff>
    </xdr:to>
    <xdr:pic>
      <xdr:nvPicPr>
        <xdr:cNvPr id="775" name="Control 378">
          <a:extLst>
            <a:ext uri="{FF2B5EF4-FFF2-40B4-BE49-F238E27FC236}">
              <a16:creationId xmlns:a16="http://schemas.microsoft.com/office/drawing/2014/main" id="{00000000-0008-0000-0E00-00000703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0116800"/>
          <a:ext cx="152400" cy="152400"/>
        </a:xfrm>
        <a:prstGeom prst="rect">
          <a:avLst/>
        </a:prstGeom>
        <a:noFill/>
        <a:ln w="9525">
          <a:miter lim="800000"/>
          <a:headEnd/>
          <a:tailEnd/>
        </a:ln>
      </xdr:spPr>
    </xdr:pic>
    <xdr:clientData/>
  </xdr:twoCellAnchor>
  <xdr:twoCellAnchor editAs="oneCell">
    <xdr:from>
      <xdr:col>0</xdr:col>
      <xdr:colOff>0</xdr:colOff>
      <xdr:row>97</xdr:row>
      <xdr:rowOff>0</xdr:rowOff>
    </xdr:from>
    <xdr:to>
      <xdr:col>0</xdr:col>
      <xdr:colOff>139700</xdr:colOff>
      <xdr:row>97</xdr:row>
      <xdr:rowOff>139700</xdr:rowOff>
    </xdr:to>
    <xdr:pic>
      <xdr:nvPicPr>
        <xdr:cNvPr id="776" name="Control 379">
          <a:extLst>
            <a:ext uri="{FF2B5EF4-FFF2-40B4-BE49-F238E27FC236}">
              <a16:creationId xmlns:a16="http://schemas.microsoft.com/office/drawing/2014/main" id="{00000000-0008-0000-0E00-00000803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0326350"/>
          <a:ext cx="139700" cy="139700"/>
        </a:xfrm>
        <a:prstGeom prst="rect">
          <a:avLst/>
        </a:prstGeom>
        <a:noFill/>
        <a:ln w="9525">
          <a:miter lim="800000"/>
          <a:headEnd/>
          <a:tailEnd/>
        </a:ln>
      </xdr:spPr>
    </xdr:pic>
    <xdr:clientData/>
  </xdr:twoCellAnchor>
  <xdr:twoCellAnchor editAs="oneCell">
    <xdr:from>
      <xdr:col>2</xdr:col>
      <xdr:colOff>0</xdr:colOff>
      <xdr:row>97</xdr:row>
      <xdr:rowOff>0</xdr:rowOff>
    </xdr:from>
    <xdr:to>
      <xdr:col>2</xdr:col>
      <xdr:colOff>254000</xdr:colOff>
      <xdr:row>98</xdr:row>
      <xdr:rowOff>82550</xdr:rowOff>
    </xdr:to>
    <xdr:pic>
      <xdr:nvPicPr>
        <xdr:cNvPr id="777" name="Control 380">
          <a:extLst>
            <a:ext uri="{FF2B5EF4-FFF2-40B4-BE49-F238E27FC236}">
              <a16:creationId xmlns:a16="http://schemas.microsoft.com/office/drawing/2014/main" id="{00000000-0008-0000-0E00-000009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0326350"/>
          <a:ext cx="254000" cy="273050"/>
        </a:xfrm>
        <a:prstGeom prst="rect">
          <a:avLst/>
        </a:prstGeom>
        <a:noFill/>
        <a:ln w="9525">
          <a:miter lim="800000"/>
          <a:headEnd/>
          <a:tailEnd/>
        </a:ln>
      </xdr:spPr>
    </xdr:pic>
    <xdr:clientData/>
  </xdr:twoCellAnchor>
  <xdr:twoCellAnchor editAs="oneCell">
    <xdr:from>
      <xdr:col>2</xdr:col>
      <xdr:colOff>0</xdr:colOff>
      <xdr:row>97</xdr:row>
      <xdr:rowOff>0</xdr:rowOff>
    </xdr:from>
    <xdr:to>
      <xdr:col>2</xdr:col>
      <xdr:colOff>152400</xdr:colOff>
      <xdr:row>97</xdr:row>
      <xdr:rowOff>152400</xdr:rowOff>
    </xdr:to>
    <xdr:pic>
      <xdr:nvPicPr>
        <xdr:cNvPr id="778" name="Control 381">
          <a:extLst>
            <a:ext uri="{FF2B5EF4-FFF2-40B4-BE49-F238E27FC236}">
              <a16:creationId xmlns:a16="http://schemas.microsoft.com/office/drawing/2014/main" id="{00000000-0008-0000-0E00-00000A03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0326350"/>
          <a:ext cx="152400" cy="152400"/>
        </a:xfrm>
        <a:prstGeom prst="rect">
          <a:avLst/>
        </a:prstGeom>
        <a:noFill/>
        <a:ln w="9525">
          <a:miter lim="800000"/>
          <a:headEnd/>
          <a:tailEnd/>
        </a:ln>
      </xdr:spPr>
    </xdr:pic>
    <xdr:clientData/>
  </xdr:twoCellAnchor>
  <xdr:twoCellAnchor editAs="oneCell">
    <xdr:from>
      <xdr:col>2</xdr:col>
      <xdr:colOff>0</xdr:colOff>
      <xdr:row>97</xdr:row>
      <xdr:rowOff>0</xdr:rowOff>
    </xdr:from>
    <xdr:to>
      <xdr:col>2</xdr:col>
      <xdr:colOff>152400</xdr:colOff>
      <xdr:row>97</xdr:row>
      <xdr:rowOff>152400</xdr:rowOff>
    </xdr:to>
    <xdr:pic>
      <xdr:nvPicPr>
        <xdr:cNvPr id="779" name="Control 382">
          <a:extLst>
            <a:ext uri="{FF2B5EF4-FFF2-40B4-BE49-F238E27FC236}">
              <a16:creationId xmlns:a16="http://schemas.microsoft.com/office/drawing/2014/main" id="{00000000-0008-0000-0E00-00000B03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0326350"/>
          <a:ext cx="152400" cy="152400"/>
        </a:xfrm>
        <a:prstGeom prst="rect">
          <a:avLst/>
        </a:prstGeom>
        <a:noFill/>
        <a:ln w="9525">
          <a:miter lim="800000"/>
          <a:headEnd/>
          <a:tailEnd/>
        </a:ln>
      </xdr:spPr>
    </xdr:pic>
    <xdr:clientData/>
  </xdr:twoCellAnchor>
  <xdr:twoCellAnchor editAs="oneCell">
    <xdr:from>
      <xdr:col>0</xdr:col>
      <xdr:colOff>0</xdr:colOff>
      <xdr:row>98</xdr:row>
      <xdr:rowOff>0</xdr:rowOff>
    </xdr:from>
    <xdr:to>
      <xdr:col>0</xdr:col>
      <xdr:colOff>139700</xdr:colOff>
      <xdr:row>98</xdr:row>
      <xdr:rowOff>139700</xdr:rowOff>
    </xdr:to>
    <xdr:pic>
      <xdr:nvPicPr>
        <xdr:cNvPr id="780" name="Control 383">
          <a:extLst>
            <a:ext uri="{FF2B5EF4-FFF2-40B4-BE49-F238E27FC236}">
              <a16:creationId xmlns:a16="http://schemas.microsoft.com/office/drawing/2014/main" id="{00000000-0008-0000-0E00-00000C03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0535900"/>
          <a:ext cx="139700" cy="139700"/>
        </a:xfrm>
        <a:prstGeom prst="rect">
          <a:avLst/>
        </a:prstGeom>
        <a:noFill/>
        <a:ln w="9525">
          <a:miter lim="800000"/>
          <a:headEnd/>
          <a:tailEnd/>
        </a:ln>
      </xdr:spPr>
    </xdr:pic>
    <xdr:clientData/>
  </xdr:twoCellAnchor>
  <xdr:twoCellAnchor editAs="oneCell">
    <xdr:from>
      <xdr:col>2</xdr:col>
      <xdr:colOff>0</xdr:colOff>
      <xdr:row>98</xdr:row>
      <xdr:rowOff>0</xdr:rowOff>
    </xdr:from>
    <xdr:to>
      <xdr:col>2</xdr:col>
      <xdr:colOff>254000</xdr:colOff>
      <xdr:row>99</xdr:row>
      <xdr:rowOff>82550</xdr:rowOff>
    </xdr:to>
    <xdr:pic>
      <xdr:nvPicPr>
        <xdr:cNvPr id="781" name="Control 384">
          <a:extLst>
            <a:ext uri="{FF2B5EF4-FFF2-40B4-BE49-F238E27FC236}">
              <a16:creationId xmlns:a16="http://schemas.microsoft.com/office/drawing/2014/main" id="{00000000-0008-0000-0E00-00000D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0535900"/>
          <a:ext cx="254000" cy="273050"/>
        </a:xfrm>
        <a:prstGeom prst="rect">
          <a:avLst/>
        </a:prstGeom>
        <a:noFill/>
        <a:ln w="9525">
          <a:miter lim="800000"/>
          <a:headEnd/>
          <a:tailEnd/>
        </a:ln>
      </xdr:spPr>
    </xdr:pic>
    <xdr:clientData/>
  </xdr:twoCellAnchor>
  <xdr:twoCellAnchor editAs="oneCell">
    <xdr:from>
      <xdr:col>2</xdr:col>
      <xdr:colOff>0</xdr:colOff>
      <xdr:row>98</xdr:row>
      <xdr:rowOff>0</xdr:rowOff>
    </xdr:from>
    <xdr:to>
      <xdr:col>2</xdr:col>
      <xdr:colOff>152400</xdr:colOff>
      <xdr:row>98</xdr:row>
      <xdr:rowOff>152400</xdr:rowOff>
    </xdr:to>
    <xdr:pic>
      <xdr:nvPicPr>
        <xdr:cNvPr id="782" name="Control 385">
          <a:extLst>
            <a:ext uri="{FF2B5EF4-FFF2-40B4-BE49-F238E27FC236}">
              <a16:creationId xmlns:a16="http://schemas.microsoft.com/office/drawing/2014/main" id="{00000000-0008-0000-0E00-00000E03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0535900"/>
          <a:ext cx="152400" cy="152400"/>
        </a:xfrm>
        <a:prstGeom prst="rect">
          <a:avLst/>
        </a:prstGeom>
        <a:noFill/>
        <a:ln w="9525">
          <a:miter lim="800000"/>
          <a:headEnd/>
          <a:tailEnd/>
        </a:ln>
      </xdr:spPr>
    </xdr:pic>
    <xdr:clientData/>
  </xdr:twoCellAnchor>
  <xdr:twoCellAnchor editAs="oneCell">
    <xdr:from>
      <xdr:col>2</xdr:col>
      <xdr:colOff>0</xdr:colOff>
      <xdr:row>98</xdr:row>
      <xdr:rowOff>0</xdr:rowOff>
    </xdr:from>
    <xdr:to>
      <xdr:col>2</xdr:col>
      <xdr:colOff>152400</xdr:colOff>
      <xdr:row>98</xdr:row>
      <xdr:rowOff>152400</xdr:rowOff>
    </xdr:to>
    <xdr:pic>
      <xdr:nvPicPr>
        <xdr:cNvPr id="783" name="Control 386">
          <a:extLst>
            <a:ext uri="{FF2B5EF4-FFF2-40B4-BE49-F238E27FC236}">
              <a16:creationId xmlns:a16="http://schemas.microsoft.com/office/drawing/2014/main" id="{00000000-0008-0000-0E00-00000F03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0535900"/>
          <a:ext cx="152400" cy="152400"/>
        </a:xfrm>
        <a:prstGeom prst="rect">
          <a:avLst/>
        </a:prstGeom>
        <a:noFill/>
        <a:ln w="9525">
          <a:miter lim="800000"/>
          <a:headEnd/>
          <a:tailEnd/>
        </a:ln>
      </xdr:spPr>
    </xdr:pic>
    <xdr:clientData/>
  </xdr:twoCellAnchor>
  <xdr:twoCellAnchor editAs="oneCell">
    <xdr:from>
      <xdr:col>0</xdr:col>
      <xdr:colOff>0</xdr:colOff>
      <xdr:row>99</xdr:row>
      <xdr:rowOff>0</xdr:rowOff>
    </xdr:from>
    <xdr:to>
      <xdr:col>0</xdr:col>
      <xdr:colOff>139700</xdr:colOff>
      <xdr:row>99</xdr:row>
      <xdr:rowOff>139700</xdr:rowOff>
    </xdr:to>
    <xdr:pic>
      <xdr:nvPicPr>
        <xdr:cNvPr id="784" name="Control 387">
          <a:extLst>
            <a:ext uri="{FF2B5EF4-FFF2-40B4-BE49-F238E27FC236}">
              <a16:creationId xmlns:a16="http://schemas.microsoft.com/office/drawing/2014/main" id="{00000000-0008-0000-0E00-00001003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0745450"/>
          <a:ext cx="139700" cy="139700"/>
        </a:xfrm>
        <a:prstGeom prst="rect">
          <a:avLst/>
        </a:prstGeom>
        <a:noFill/>
        <a:ln w="9525">
          <a:miter lim="800000"/>
          <a:headEnd/>
          <a:tailEnd/>
        </a:ln>
      </xdr:spPr>
    </xdr:pic>
    <xdr:clientData/>
  </xdr:twoCellAnchor>
  <xdr:twoCellAnchor editAs="oneCell">
    <xdr:from>
      <xdr:col>2</xdr:col>
      <xdr:colOff>0</xdr:colOff>
      <xdr:row>99</xdr:row>
      <xdr:rowOff>0</xdr:rowOff>
    </xdr:from>
    <xdr:to>
      <xdr:col>2</xdr:col>
      <xdr:colOff>254000</xdr:colOff>
      <xdr:row>100</xdr:row>
      <xdr:rowOff>82550</xdr:rowOff>
    </xdr:to>
    <xdr:pic>
      <xdr:nvPicPr>
        <xdr:cNvPr id="785" name="Control 388">
          <a:extLst>
            <a:ext uri="{FF2B5EF4-FFF2-40B4-BE49-F238E27FC236}">
              <a16:creationId xmlns:a16="http://schemas.microsoft.com/office/drawing/2014/main" id="{00000000-0008-0000-0E00-000011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0745450"/>
          <a:ext cx="254000" cy="273050"/>
        </a:xfrm>
        <a:prstGeom prst="rect">
          <a:avLst/>
        </a:prstGeom>
        <a:noFill/>
        <a:ln w="9525">
          <a:miter lim="800000"/>
          <a:headEnd/>
          <a:tailEnd/>
        </a:ln>
      </xdr:spPr>
    </xdr:pic>
    <xdr:clientData/>
  </xdr:twoCellAnchor>
  <xdr:twoCellAnchor editAs="oneCell">
    <xdr:from>
      <xdr:col>2</xdr:col>
      <xdr:colOff>0</xdr:colOff>
      <xdr:row>99</xdr:row>
      <xdr:rowOff>0</xdr:rowOff>
    </xdr:from>
    <xdr:to>
      <xdr:col>2</xdr:col>
      <xdr:colOff>152400</xdr:colOff>
      <xdr:row>99</xdr:row>
      <xdr:rowOff>152400</xdr:rowOff>
    </xdr:to>
    <xdr:pic>
      <xdr:nvPicPr>
        <xdr:cNvPr id="786" name="Control 389">
          <a:extLst>
            <a:ext uri="{FF2B5EF4-FFF2-40B4-BE49-F238E27FC236}">
              <a16:creationId xmlns:a16="http://schemas.microsoft.com/office/drawing/2014/main" id="{00000000-0008-0000-0E00-00001203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0745450"/>
          <a:ext cx="152400" cy="152400"/>
        </a:xfrm>
        <a:prstGeom prst="rect">
          <a:avLst/>
        </a:prstGeom>
        <a:noFill/>
        <a:ln w="9525">
          <a:miter lim="800000"/>
          <a:headEnd/>
          <a:tailEnd/>
        </a:ln>
      </xdr:spPr>
    </xdr:pic>
    <xdr:clientData/>
  </xdr:twoCellAnchor>
  <xdr:twoCellAnchor editAs="oneCell">
    <xdr:from>
      <xdr:col>2</xdr:col>
      <xdr:colOff>0</xdr:colOff>
      <xdr:row>99</xdr:row>
      <xdr:rowOff>0</xdr:rowOff>
    </xdr:from>
    <xdr:to>
      <xdr:col>2</xdr:col>
      <xdr:colOff>152400</xdr:colOff>
      <xdr:row>99</xdr:row>
      <xdr:rowOff>152400</xdr:rowOff>
    </xdr:to>
    <xdr:pic>
      <xdr:nvPicPr>
        <xdr:cNvPr id="787" name="Control 390">
          <a:extLst>
            <a:ext uri="{FF2B5EF4-FFF2-40B4-BE49-F238E27FC236}">
              <a16:creationId xmlns:a16="http://schemas.microsoft.com/office/drawing/2014/main" id="{00000000-0008-0000-0E00-00001303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0745450"/>
          <a:ext cx="152400" cy="152400"/>
        </a:xfrm>
        <a:prstGeom prst="rect">
          <a:avLst/>
        </a:prstGeom>
        <a:noFill/>
        <a:ln w="9525">
          <a:miter lim="800000"/>
          <a:headEnd/>
          <a:tailEnd/>
        </a:ln>
      </xdr:spPr>
    </xdr:pic>
    <xdr:clientData/>
  </xdr:twoCellAnchor>
  <xdr:twoCellAnchor editAs="oneCell">
    <xdr:from>
      <xdr:col>0</xdr:col>
      <xdr:colOff>0</xdr:colOff>
      <xdr:row>100</xdr:row>
      <xdr:rowOff>0</xdr:rowOff>
    </xdr:from>
    <xdr:to>
      <xdr:col>0</xdr:col>
      <xdr:colOff>139700</xdr:colOff>
      <xdr:row>100</xdr:row>
      <xdr:rowOff>139700</xdr:rowOff>
    </xdr:to>
    <xdr:pic>
      <xdr:nvPicPr>
        <xdr:cNvPr id="788" name="Control 391">
          <a:extLst>
            <a:ext uri="{FF2B5EF4-FFF2-40B4-BE49-F238E27FC236}">
              <a16:creationId xmlns:a16="http://schemas.microsoft.com/office/drawing/2014/main" id="{00000000-0008-0000-0E00-00001403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0955000"/>
          <a:ext cx="139700" cy="139700"/>
        </a:xfrm>
        <a:prstGeom prst="rect">
          <a:avLst/>
        </a:prstGeom>
        <a:noFill/>
        <a:ln w="9525">
          <a:miter lim="800000"/>
          <a:headEnd/>
          <a:tailEnd/>
        </a:ln>
      </xdr:spPr>
    </xdr:pic>
    <xdr:clientData/>
  </xdr:twoCellAnchor>
  <xdr:twoCellAnchor editAs="oneCell">
    <xdr:from>
      <xdr:col>2</xdr:col>
      <xdr:colOff>0</xdr:colOff>
      <xdr:row>100</xdr:row>
      <xdr:rowOff>0</xdr:rowOff>
    </xdr:from>
    <xdr:to>
      <xdr:col>2</xdr:col>
      <xdr:colOff>254000</xdr:colOff>
      <xdr:row>101</xdr:row>
      <xdr:rowOff>82550</xdr:rowOff>
    </xdr:to>
    <xdr:pic>
      <xdr:nvPicPr>
        <xdr:cNvPr id="789" name="Control 392">
          <a:extLst>
            <a:ext uri="{FF2B5EF4-FFF2-40B4-BE49-F238E27FC236}">
              <a16:creationId xmlns:a16="http://schemas.microsoft.com/office/drawing/2014/main" id="{00000000-0008-0000-0E00-000015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0955000"/>
          <a:ext cx="254000" cy="273050"/>
        </a:xfrm>
        <a:prstGeom prst="rect">
          <a:avLst/>
        </a:prstGeom>
        <a:noFill/>
        <a:ln w="9525">
          <a:miter lim="800000"/>
          <a:headEnd/>
          <a:tailEnd/>
        </a:ln>
      </xdr:spPr>
    </xdr:pic>
    <xdr:clientData/>
  </xdr:twoCellAnchor>
  <xdr:twoCellAnchor editAs="oneCell">
    <xdr:from>
      <xdr:col>2</xdr:col>
      <xdr:colOff>0</xdr:colOff>
      <xdr:row>100</xdr:row>
      <xdr:rowOff>0</xdr:rowOff>
    </xdr:from>
    <xdr:to>
      <xdr:col>2</xdr:col>
      <xdr:colOff>152400</xdr:colOff>
      <xdr:row>100</xdr:row>
      <xdr:rowOff>152400</xdr:rowOff>
    </xdr:to>
    <xdr:pic>
      <xdr:nvPicPr>
        <xdr:cNvPr id="790" name="Control 393">
          <a:extLst>
            <a:ext uri="{FF2B5EF4-FFF2-40B4-BE49-F238E27FC236}">
              <a16:creationId xmlns:a16="http://schemas.microsoft.com/office/drawing/2014/main" id="{00000000-0008-0000-0E00-00001603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0955000"/>
          <a:ext cx="152400" cy="152400"/>
        </a:xfrm>
        <a:prstGeom prst="rect">
          <a:avLst/>
        </a:prstGeom>
        <a:noFill/>
        <a:ln w="9525">
          <a:miter lim="800000"/>
          <a:headEnd/>
          <a:tailEnd/>
        </a:ln>
      </xdr:spPr>
    </xdr:pic>
    <xdr:clientData/>
  </xdr:twoCellAnchor>
  <xdr:twoCellAnchor editAs="oneCell">
    <xdr:from>
      <xdr:col>2</xdr:col>
      <xdr:colOff>0</xdr:colOff>
      <xdr:row>100</xdr:row>
      <xdr:rowOff>0</xdr:rowOff>
    </xdr:from>
    <xdr:to>
      <xdr:col>2</xdr:col>
      <xdr:colOff>152400</xdr:colOff>
      <xdr:row>100</xdr:row>
      <xdr:rowOff>152400</xdr:rowOff>
    </xdr:to>
    <xdr:pic>
      <xdr:nvPicPr>
        <xdr:cNvPr id="791" name="Control 394">
          <a:extLst>
            <a:ext uri="{FF2B5EF4-FFF2-40B4-BE49-F238E27FC236}">
              <a16:creationId xmlns:a16="http://schemas.microsoft.com/office/drawing/2014/main" id="{00000000-0008-0000-0E00-000017030000}"/>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20955000"/>
          <a:ext cx="152400" cy="152400"/>
        </a:xfrm>
        <a:prstGeom prst="rect">
          <a:avLst/>
        </a:prstGeom>
        <a:noFill/>
        <a:ln w="9525">
          <a:miter lim="800000"/>
          <a:headEnd/>
          <a:tailEnd/>
        </a:ln>
      </xdr:spPr>
    </xdr:pic>
    <xdr:clientData/>
  </xdr:twoCellAnchor>
  <xdr:twoCellAnchor editAs="oneCell">
    <xdr:from>
      <xdr:col>2</xdr:col>
      <xdr:colOff>0</xdr:colOff>
      <xdr:row>101</xdr:row>
      <xdr:rowOff>0</xdr:rowOff>
    </xdr:from>
    <xdr:to>
      <xdr:col>2</xdr:col>
      <xdr:colOff>254000</xdr:colOff>
      <xdr:row>102</xdr:row>
      <xdr:rowOff>82550</xdr:rowOff>
    </xdr:to>
    <xdr:pic>
      <xdr:nvPicPr>
        <xdr:cNvPr id="792" name="Control 395">
          <a:extLst>
            <a:ext uri="{FF2B5EF4-FFF2-40B4-BE49-F238E27FC236}">
              <a16:creationId xmlns:a16="http://schemas.microsoft.com/office/drawing/2014/main" id="{00000000-0008-0000-0E00-00001803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62350" y="21164550"/>
          <a:ext cx="254000" cy="273050"/>
        </a:xfrm>
        <a:prstGeom prst="rect">
          <a:avLst/>
        </a:prstGeom>
        <a:noFill/>
        <a:ln w="9525">
          <a:miter lim="800000"/>
          <a:headEnd/>
          <a:tailEnd/>
        </a:ln>
      </xdr:spPr>
    </xdr:pic>
    <xdr:clientData/>
  </xdr:twoCellAnchor>
  <xdr:twoCellAnchor editAs="oneCell">
    <xdr:from>
      <xdr:col>2</xdr:col>
      <xdr:colOff>0</xdr:colOff>
      <xdr:row>101</xdr:row>
      <xdr:rowOff>0</xdr:rowOff>
    </xdr:from>
    <xdr:to>
      <xdr:col>2</xdr:col>
      <xdr:colOff>152400</xdr:colOff>
      <xdr:row>101</xdr:row>
      <xdr:rowOff>152400</xdr:rowOff>
    </xdr:to>
    <xdr:pic>
      <xdr:nvPicPr>
        <xdr:cNvPr id="793" name="Control 396">
          <a:extLst>
            <a:ext uri="{FF2B5EF4-FFF2-40B4-BE49-F238E27FC236}">
              <a16:creationId xmlns:a16="http://schemas.microsoft.com/office/drawing/2014/main" id="{00000000-0008-0000-0E00-00001903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62350" y="21164550"/>
          <a:ext cx="152400" cy="152400"/>
        </a:xfrm>
        <a:prstGeom prst="rect">
          <a:avLst/>
        </a:prstGeom>
        <a:noFill/>
        <a:ln w="9525">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1123950</xdr:colOff>
          <xdr:row>1</xdr:row>
          <xdr:rowOff>266700</xdr:rowOff>
        </xdr:from>
        <xdr:to>
          <xdr:col>3</xdr:col>
          <xdr:colOff>619125</xdr:colOff>
          <xdr:row>2</xdr:row>
          <xdr:rowOff>133350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B00-00002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Arial"/>
                  <a:cs typeface="Arial"/>
                </a:rPr>
                <a:t>High Detail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733425</xdr:colOff>
          <xdr:row>1</xdr:row>
          <xdr:rowOff>247650</xdr:rowOff>
        </xdr:from>
        <xdr:to>
          <xdr:col>3</xdr:col>
          <xdr:colOff>1457325</xdr:colOff>
          <xdr:row>2</xdr:row>
          <xdr:rowOff>123825</xdr:rowOff>
        </xdr:to>
        <xdr:sp macro="" textlink="">
          <xdr:nvSpPr>
            <xdr:cNvPr id="4133" name="Button 37" hidden="1">
              <a:extLst>
                <a:ext uri="{63B3BB69-23CF-44E3-9099-C40C66FF867C}">
                  <a14:compatExt spid="_x0000_s4133"/>
                </a:ext>
                <a:ext uri="{FF2B5EF4-FFF2-40B4-BE49-F238E27FC236}">
                  <a16:creationId xmlns:a16="http://schemas.microsoft.com/office/drawing/2014/main" id="{00000000-0008-0000-0B00-00002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100" b="0" i="0" u="none" strike="noStrike" baseline="0">
                  <a:solidFill>
                    <a:srgbClr val="000000"/>
                  </a:solidFill>
                  <a:latin typeface="Arial"/>
                  <a:cs typeface="Arial"/>
                </a:rPr>
                <a:t>Low Detail</a:t>
              </a:r>
            </a:p>
          </xdr:txBody>
        </xdr:sp>
        <xdr:clientData fPrintsWithSheet="0"/>
      </xdr:twoCellAnchor>
    </mc:Choice>
    <mc:Fallback/>
  </mc:AlternateContent>
  <xdr:twoCellAnchor editAs="oneCell">
    <xdr:from>
      <xdr:col>4</xdr:col>
      <xdr:colOff>496661</xdr:colOff>
      <xdr:row>0</xdr:row>
      <xdr:rowOff>1361</xdr:rowOff>
    </xdr:from>
    <xdr:to>
      <xdr:col>4</xdr:col>
      <xdr:colOff>1211036</xdr:colOff>
      <xdr:row>1</xdr:row>
      <xdr:rowOff>455843</xdr:rowOff>
    </xdr:to>
    <xdr:pic>
      <xdr:nvPicPr>
        <xdr:cNvPr id="6" name="Picture 5">
          <a:extLst>
            <a:ext uri="{FF2B5EF4-FFF2-40B4-BE49-F238E27FC236}">
              <a16:creationId xmlns:a16="http://schemas.microsoft.com/office/drawing/2014/main" id="{00000000-0008-0000-0800-000006000000}"/>
            </a:ext>
            <a:ext uri="{147F2762-F138-4A5C-976F-8EAC2B608ADB}">
              <a16:predDERef xmlns:a16="http://schemas.microsoft.com/office/drawing/2014/main" pred="{00000000-0008-0000-0B00-00002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64336" y="1361"/>
          <a:ext cx="714375" cy="6354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1735560</xdr:colOff>
      <xdr:row>1</xdr:row>
      <xdr:rowOff>310260</xdr:rowOff>
    </xdr:from>
    <xdr:to>
      <xdr:col>0</xdr:col>
      <xdr:colOff>1738440</xdr:colOff>
      <xdr:row>1</xdr:row>
      <xdr:rowOff>316740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100-000002000000}"/>
                </a:ext>
              </a:extLst>
            </xdr14:cNvPr>
            <xdr14:cNvContentPartPr/>
          </xdr14:nvContentPartPr>
          <xdr14:nvPr macro=""/>
          <xdr14:xfrm>
            <a:off x="1735560" y="500760"/>
            <a:ext cx="2880" cy="6480"/>
          </xdr14:xfrm>
        </xdr:contentPart>
      </mc:Choice>
      <mc:Fallback xmlns="">
        <xdr:pic>
          <xdr:nvPicPr>
            <xdr:cNvPr id="2" name="Ink 1">
              <a:extLst>
                <a:ext uri="{FF2B5EF4-FFF2-40B4-BE49-F238E27FC236}">
                  <a16:creationId xmlns:a16="http://schemas.microsoft.com/office/drawing/2014/main" id="{91238EF3-F291-D1FE-1919-67EC6F11AD5C}"/>
                </a:ext>
              </a:extLst>
            </xdr:cNvPr>
            <xdr:cNvPicPr/>
          </xdr:nvPicPr>
          <xdr:blipFill>
            <a:blip xmlns:r="http://schemas.openxmlformats.org/officeDocument/2006/relationships" r:embed="rId2"/>
            <a:stretch>
              <a:fillRect/>
            </a:stretch>
          </xdr:blipFill>
          <xdr:spPr>
            <a:xfrm>
              <a:off x="1726560" y="491760"/>
              <a:ext cx="20520" cy="24120"/>
            </a:xfrm>
            <a:prstGeom prst="rect">
              <a:avLst/>
            </a:prstGeom>
          </xdr:spPr>
        </xdr:pic>
      </mc:Fallback>
    </mc:AlternateContent>
    <xdr:clientData/>
  </xdr:twoCellAnchor>
  <xdr:twoCellAnchor editAs="oneCell">
    <xdr:from>
      <xdr:col>0</xdr:col>
      <xdr:colOff>1698480</xdr:colOff>
      <xdr:row>1</xdr:row>
      <xdr:rowOff>217380</xdr:rowOff>
    </xdr:from>
    <xdr:to>
      <xdr:col>0</xdr:col>
      <xdr:colOff>1708920</xdr:colOff>
      <xdr:row>1</xdr:row>
      <xdr:rowOff>262020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1100-000003000000}"/>
                </a:ext>
              </a:extLst>
            </xdr14:cNvPr>
            <xdr14:cNvContentPartPr/>
          </xdr14:nvContentPartPr>
          <xdr14:nvPr macro=""/>
          <xdr14:xfrm>
            <a:off x="1698480" y="407880"/>
            <a:ext cx="10440" cy="44640"/>
          </xdr14:xfrm>
        </xdr:contentPart>
      </mc:Choice>
      <mc:Fallback xmlns="">
        <xdr:pic>
          <xdr:nvPicPr>
            <xdr:cNvPr id="3" name="Ink 2">
              <a:extLst>
                <a:ext uri="{FF2B5EF4-FFF2-40B4-BE49-F238E27FC236}">
                  <a16:creationId xmlns:a16="http://schemas.microsoft.com/office/drawing/2014/main" id="{8066CFA6-ACE0-547C-2896-A7F76F43349D}"/>
                </a:ext>
              </a:extLst>
            </xdr:cNvPr>
            <xdr:cNvPicPr/>
          </xdr:nvPicPr>
          <xdr:blipFill>
            <a:blip xmlns:r="http://schemas.openxmlformats.org/officeDocument/2006/relationships" r:embed="rId4"/>
            <a:stretch>
              <a:fillRect/>
            </a:stretch>
          </xdr:blipFill>
          <xdr:spPr>
            <a:xfrm>
              <a:off x="1689480" y="399240"/>
              <a:ext cx="28080" cy="6228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229771</xdr:colOff>
      <xdr:row>0</xdr:row>
      <xdr:rowOff>54290</xdr:rowOff>
    </xdr:from>
    <xdr:to>
      <xdr:col>2</xdr:col>
      <xdr:colOff>266427</xdr:colOff>
      <xdr:row>5</xdr:row>
      <xdr:rowOff>13931</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9771" y="54290"/>
          <a:ext cx="3695616" cy="883566"/>
        </a:xfrm>
        <a:prstGeom prst="rect">
          <a:avLst/>
        </a:prstGeom>
      </xdr:spPr>
    </xdr:pic>
    <xdr:clientData/>
  </xdr:twoCellAnchor>
  <xdr:twoCellAnchor>
    <xdr:from>
      <xdr:col>4</xdr:col>
      <xdr:colOff>2295525</xdr:colOff>
      <xdr:row>0</xdr:row>
      <xdr:rowOff>171450</xdr:rowOff>
    </xdr:from>
    <xdr:to>
      <xdr:col>10</xdr:col>
      <xdr:colOff>371475</xdr:colOff>
      <xdr:row>4</xdr:row>
      <xdr:rowOff>28575</xdr:rowOff>
    </xdr:to>
    <xdr:sp macro="" textlink="">
      <xdr:nvSpPr>
        <xdr:cNvPr id="3" name="Oval 2">
          <a:extLst>
            <a:ext uri="{FF2B5EF4-FFF2-40B4-BE49-F238E27FC236}">
              <a16:creationId xmlns:a16="http://schemas.microsoft.com/office/drawing/2014/main" id="{00000000-0008-0000-1400-000003000000}"/>
            </a:ext>
          </a:extLst>
        </xdr:cNvPr>
        <xdr:cNvSpPr/>
      </xdr:nvSpPr>
      <xdr:spPr>
        <a:xfrm>
          <a:off x="7981950" y="171450"/>
          <a:ext cx="6696075" cy="60007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a:t>Draft : what's missing? What</a:t>
          </a:r>
          <a:r>
            <a:rPr lang="en-AU" sz="1100" baseline="0"/>
            <a:t> is useful?</a:t>
          </a:r>
        </a:p>
        <a:p>
          <a:pPr algn="l"/>
          <a:endParaRPr lang="en-AU" sz="1100"/>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2-07-26T06:54:26.629"/>
    </inkml:context>
    <inkml:brush xml:id="br0">
      <inkml:brushProperty name="width" value="0.05" units="cm"/>
      <inkml:brushProperty name="height" value="0.05" units="cm"/>
    </inkml:brush>
  </inkml:definitions>
  <inkml:trace contextRef="#ctx0" brushRef="#br0">78 22 7831 0 0,'0'0'603'0'0,"0"-1"-396"0"0,-3-2-184 0 0,0 1 1 0 0,1 0-1 0 0,-1 1 1 0 0,0-1-1 0 0,0 0 1 0 0,0 1-1 0 0,0-1 1 0 0,0 1-1 0 0,0 0 1 0 0,0 0-1 0 0,0 0 1 0 0,-6 0-1 0 0,7 1 25 0 0,0 0 0 0 0,0 0 0 0 0,0 1 0 0 0,0-1 0 0 0,0 0 0 0 0,0 1 0 0 0,0 0 0 0 0,0-1 0 0 0,-2 2 0 0 0,-8 2-997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2-08-18T06:39:51.771"/>
    </inkml:context>
    <inkml:brush xml:id="br0">
      <inkml:brushProperty name="width" value="0.05" units="cm"/>
      <inkml:brushProperty name="height" value="0.05" units="cm"/>
    </inkml:brush>
  </inkml:definitions>
  <inkml:trace contextRef="#ctx0" brushRef="#br0">4 17 8751 0 0,'-2'-8'776'0'0,"0"-1"232"0"0,9 25-1008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2-08-18T06:39:54.109"/>
    </inkml:context>
    <inkml:brush xml:id="br0">
      <inkml:brushProperty name="width" value="0.05" units="cm"/>
      <inkml:brushProperty name="height" value="0.05" units="cm"/>
    </inkml:brush>
  </inkml:definitions>
  <inkml:trace contextRef="#ctx0" brushRef="#br0">10 123 3223 0 0,'-3'-13'271'0'0,"0"0"0"0"0,0-15 0 0 0,2 23 337 0 0,1 0 0 0 0,0 0 1 0 0,0 1-1 0 0,1-1 0 0 0,0 0 0 0 0,0 0 1 0 0,0 0-1 0 0,3-7 0 0 0,6 2 696 0 0,-9 10-1259 0 0,-1-1 0 0 0,1 1 0 0 0,-1 0-1 0 0,1 0 1 0 0,-1-1 0 0 0,0 1 0 0 0,1 0 0 0 0,-1-1 0 0 0,1 1 0 0 0,-1-1-1 0 0,0 1 1 0 0,1-1 0 0 0,-1 1 0 0 0,0-1 0 0 0,1 1 0 0 0,-1-1 0 0 0,2 15 114 0 0,-2-11-180 0 0,1 0-1 0 0,-1-1 1 0 0,0 1-1 0 0,0 0 1 0 0,0-1-1 0 0,-1 6 1 0 0,-2 7-667 0 0,-3 1-219 0 0</inkml:trace>
</inkml:ink>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PL" id="{08EA3130-2B03-4DB4-91F9-6F28477756DF}"/>
  <namedSheetView name="View1" id="{506D8904-2473-4CCA-BDD0-14DB859D85D1}"/>
</namedSheetViews>
</file>

<file path=xl/persons/person.xml><?xml version="1.0" encoding="utf-8"?>
<personList xmlns="http://schemas.microsoft.com/office/spreadsheetml/2018/threadedcomments" xmlns:x="http://schemas.openxmlformats.org/spreadsheetml/2006/main">
  <person displayName="McMahon, Denise" id="{64914525-8249-4887-9809-66A0E57D569C}" userId="he70589@health.wa.gov.au" providerId="PeoplePicker"/>
  <person displayName="Lee, Alex" id="{35288A1A-E218-41FD-B8D5-8937FB53E141}" userId="Alex.Lee@health.wa.gov.au" providerId="PeoplePicker"/>
  <person displayName="Li, Peter" id="{88A7E721-9BB2-489E-B70C-5E428B5A8471}" userId="Peter.Li@health.wa.gov.au" providerId="PeoplePicker"/>
  <person displayName="Weber, Ben" id="{29CE2F96-9689-4429-B332-7E90F142CFE3}" userId="Ben.Weber@health.wa.gov.au" providerId="PeoplePicker"/>
  <person displayName="McMahon, Denise" id="{7C536178-6F98-4DCB-AFDB-51F522C4670D}" userId="Denise.McMahon@health.wa.gov.au" providerId="PeoplePicker"/>
  <person displayName="Gillett, Richard" id="{60F2DDD5-3D1F-4678-846B-A76C4D23B098}" userId="Richard.Gillett@health.wa.gov.au" providerId="PeoplePicker"/>
  <person displayName="Weber, Ben" id="{5A40EB21-9CD8-43BE-8D47-33CCB2C2B46D}" userId="S::he68731@health.wa.gov.au::d739e0e0-bfbb-4817-bf1e-13b518c066cc" providerId="AD"/>
  <person displayName="McMahon, Denise" id="{1E6394EA-80EA-45D1-99BA-2C6879023A5C}" userId="S::he70589@health.wa.gov.au::b1acbd48-f830-474d-a679-7e07d51660fe" providerId="AD"/>
  <person displayName="Gillett, Richard" id="{6A28A37B-A44B-4A07-ABB3-22278F5F8A12}" userId="S::he129975@health.wa.gov.au::f751afb3-89ee-4adb-bf46-b352b62550b4" providerId="AD"/>
  <person displayName="Chan, Jaclyn" id="{2B5A71B8-4E26-412B-A676-54D32E72616C}" userId="S::he145085@health.wa.gov.au::4df799a1-3b90-4d95-92a7-655cf74e68d5" providerId="AD"/>
  <person displayName="Lee, Alex" id="{4B843D90-E8F0-4801-9E0D-74AD3A68EEB1}" userId="S::he201550@health.wa.gov.au::8f1b1d60-9edd-452e-93c9-890a526ea2a0" providerId="AD"/>
  <person displayName="Li, Peter" id="{F2466528-7F1E-43CF-8C53-242994614404}" userId="S::he205857@health.wa.gov.au::ee963b09-5e5f-40fe-8cba-f096ecb03566"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Gillett, Richard" refreshedDate="45636.556268287037" createdVersion="7" refreshedVersion="8" minRefreshableVersion="3" recordCount="211" xr:uid="{A1CA1D99-188B-4998-8B97-93E1B0663881}">
  <cacheSource type="worksheet">
    <worksheetSource name="wacor_data_dictionary"/>
  </cacheSource>
  <cacheFields count="40">
    <cacheField name="field_id" numFmtId="0">
      <sharedItems count="211">
        <s v="eventid"/>
        <s v="acs"/>
        <s v="adr"/>
        <s v="age"/>
        <s v="cagssite"/>
        <s v="crh30"/>
        <s v="bmi"/>
        <s v="db"/>
        <s v="dfu30"/>
        <s v="po"/>
        <s v="ncrpo"/>
        <s v="dis"/>
        <s v="dbm"/>
        <s v="pvd1"/>
        <s v="pvd2"/>
        <s v="doa"/>
        <s v="dpcabg"/>
        <s v="dod"/>
        <s v="dppci"/>
        <s v="pcr"/>
        <s v="npcr"/>
        <s v="dop"/>
        <s v="def"/>
        <s v="eft"/>
        <s v="ef"/>
        <s v="efes"/>
        <s v="egfr"/>
        <s v="egfri"/>
        <s v="ed"/>
        <s v="eftp"/>
        <s v="hid"/>
        <s v="iht"/>
        <s v="dso"/>
        <s v="tso"/>
        <s v="ntso"/>
        <s v="spr"/>
        <s v="ihpcip"/>
        <s v="phn"/>
        <s v="dbd"/>
        <s v="tbd"/>
        <s v="sor"/>
        <s v="dbdt"/>
        <s v="hname"/>
        <s v="dfmc"/>
        <s v="tfmc"/>
        <s v="sofmc"/>
        <s v="fmctr"/>
        <s v="fmctd"/>
        <s v="decgd"/>
        <s v="tecgd"/>
        <s v="fmctecg"/>
        <s v="ecgdb"/>
        <s v="htm"/>
        <s v="ihbl"/>
        <s v="ihcab"/>
        <s v="ihmi"/>
        <s v="ihpci"/>
        <s v="ihst"/>
        <s v="ihstr"/>
        <s v="inds"/>
        <s v="lr1_isr"/>
        <s v="lr1_isrst"/>
        <s v="lr1_lesion"/>
        <s v="lr1_lst"/>
        <s v="lr1_sit"/>
        <s v="lr2_isr"/>
        <s v="lr2_isrst"/>
        <s v="lr2_lesion"/>
        <s v="lr2_lst"/>
        <s v="lr2_sit"/>
        <s v="lr3_isr"/>
        <s v="lr3_isrst"/>
        <s v="lr3_lesion"/>
        <s v="lr3_lst"/>
        <s v="lr3_sit"/>
        <s v="lr4_isr"/>
        <s v="lr4_isrst"/>
        <s v="lr4_lesion"/>
        <s v="lr4_lst"/>
        <s v="lr4_sit"/>
        <s v="lr5_isr"/>
        <s v="lr5_isrst"/>
        <s v="tak"/>
        <s v="dap"/>
        <s v="tft"/>
        <s v="lr5_lesion"/>
        <s v="los"/>
        <s v="dmort30"/>
        <s v="ihtvr"/>
        <s v="lr5_lst"/>
        <s v="lr5_sit"/>
        <s v="ihpcab"/>
        <s v="ihtvcab"/>
        <s v="rhdte"/>
        <s v="pc30"/>
        <s v="pci30"/>
        <s v="cab30"/>
        <s v="pci30_2"/>
        <s v="cab30_2"/>
        <s v="pci30_3"/>
        <s v="cab30_3"/>
        <s v="pci30_4"/>
        <s v="cab30_4"/>
        <s v="pci30_5"/>
        <s v="cab30_5"/>
        <s v="pci30_6"/>
        <s v="cab30_6"/>
        <s v="wa_dbd"/>
        <s v="wa_tbd"/>
        <s v="ncrhid"/>
        <s v="wa_cardiogenic_shock_hmds"/>
        <s v="inp"/>
        <s v="st30"/>
        <s v="oca"/>
        <s v="patientid"/>
        <s v="crh30_2"/>
        <s v="rhdte_2"/>
        <s v="pc30_2"/>
        <s v="crh30_3"/>
        <s v="rhdte_3"/>
        <s v="pc30_3"/>
        <s v="crh30_4"/>
        <s v="tvcab30"/>
        <s v="rhdte_4"/>
        <s v="pc30_4"/>
        <s v="crh30_5"/>
        <s v="rhdte_5"/>
        <s v="pc30_5"/>
        <s v="crh30_6"/>
        <s v="rhdte_6"/>
        <s v="tvcab30_2"/>
        <s v="pc30_6"/>
        <s v="wa_cath_arrival_time"/>
        <s v="wa_cath_arrival_date"/>
        <s v="wa_amb_handover_date"/>
        <s v="wa_amb_handover_time"/>
        <s v="wa_ward_admission_time"/>
        <s v="wa_ward_admission_date"/>
        <s v="tvcab30_3"/>
        <s v="wa_ed_arrival_time"/>
        <s v="wa_ed_arrival_date"/>
        <s v="pcabg"/>
        <s v="pci"/>
        <s v="tvr30_4"/>
        <s v="ihstrt"/>
        <s v="crehab"/>
        <s v="tvcab30_4"/>
        <s v="dasp"/>
        <s v="doap"/>
        <s v="dstp"/>
        <s v="doll"/>
        <s v="nstr"/>
        <s v="nstrt"/>
        <s v="acst"/>
        <s v="tvcab30_5"/>
        <s v="ihtlr"/>
        <s v="pel"/>
        <s v="ihblsite"/>
        <s v="pint"/>
        <s v="tvr30_6"/>
        <s v="tlr30_6"/>
        <s v="mortc"/>
        <s v="tvcab30_6"/>
        <s v="pintr"/>
        <s v="stat30"/>
        <s v="mort30r"/>
        <s v="tvr30"/>
        <s v="tlr30"/>
        <s v="tvr30_2"/>
        <s v="tlr30_2"/>
        <s v="tvr30_3"/>
        <s v="tlr30_3"/>
        <s v="tlr30_4"/>
        <s v="firstname"/>
        <s v="lastname"/>
        <s v="ppci"/>
        <s v="email"/>
        <s v="role"/>
        <s v="userdeactivate"/>
        <s v="ncrpatientid"/>
        <s v="pubpri"/>
        <s v="sex"/>
        <s v="tvr30_5"/>
        <s v="shock"/>
        <s v="state"/>
        <s v="toa"/>
        <s v="top"/>
        <s v="volume"/>
        <s v="vsr"/>
        <s v="wkg"/>
        <s v="sitedeact"/>
        <s v="tlr30_5"/>
        <s v="wa_diabetes_hmds"/>
        <s v="wa_in_hospital-ami"/>
        <s v="adrt_1"/>
        <s v="adrt_2"/>
        <s v="adrt_3"/>
        <s v="adrt_4"/>
        <s v="adrt_5"/>
        <s v="adrt_6"/>
        <s v="adrt_7"/>
        <s v="adrt_8"/>
        <s v="adrt_9"/>
        <s v="aria"/>
        <s v="fut"/>
        <s v="gos"/>
        <s v="mi30"/>
        <s v="pcode"/>
        <s v="seifa"/>
        <s v="smk"/>
        <s v="vsrt"/>
      </sharedItems>
    </cacheField>
    <cacheField name="label" numFmtId="0">
      <sharedItems containsBlank="1" count="151">
        <s v="n/a"/>
        <s v="Was the patient  suffering from an acute coronary syndrome (ACS) in the 7 day period leading up to and including the index PCI?"/>
        <s v="Adjunctive Device Required"/>
        <s v="Patient age"/>
        <s v="CAGS on-site vs CAGS not on-site"/>
        <s v="Cardiac rehospitalisation"/>
        <s v="Body Mass Index [kg/m^2]"/>
        <s v="Diabetes"/>
        <s v="Date of Follow-up"/>
        <s v="Primary Operator"/>
        <s v="NCR Primary Operator"/>
        <s v="Discharge status"/>
        <s v="Diabetes management type"/>
        <s v="Peripheral vascular disease history 1 - with intervention"/>
        <s v="Peripheral vascular disease history 2 - broader definition"/>
        <s v="Date of arrival at PCI hospital"/>
        <s v="When was the most recent CABG?"/>
        <s v="Date of discharge / hospital mortality"/>
        <s v="When was the most recent PCI?"/>
        <s v="Last pre-procedure creatinine (µmol/L)_x000a__x000a_OR"/>
        <s v="Creatinine result not available"/>
        <s v="PCI procedure date"/>
        <s v="Date of LVEF test"/>
        <s v="LVEF test type"/>
        <s v="Ejection fraction (EF) test result _x000a_Digitally Derived %"/>
        <s v="Ejection fraction (EF) test result Estimated"/>
        <s v="Estimated Glomerular Filtration Rate (Cockcroft-Gault formula)"/>
        <s v="Estimated Glomerular Filtration Rate Imported"/>
        <s v="ED vs no ED"/>
        <s v="LVEF test performed"/>
        <s v="State Hospital ID"/>
        <s v="Inter-hospital transfer"/>
        <s v="Date of ACS symptom onset"/>
        <s v="Time of ACS symptom onset"/>
        <s v="Onset time not available"/>
        <s v="Self presenter"/>
        <s v="Planned subsequent PCI"/>
        <s v="Pre -Hospital notification"/>
        <s v="Balloon/device date"/>
        <s v="Balloon/device time"/>
        <s v="Symptom Onset to reperfusion"/>
        <s v="Door to balloon/device time [mins]"/>
        <s v="Hospital Name"/>
        <s v="Date of first medical contact"/>
        <s v="Time of first medical contact"/>
        <s v="Symptom Onset to FMC"/>
        <s v="FMC to reperfusion [mins]"/>
        <s v="FMC to door [mins]"/>
        <s v="Date of diagnostic ECG"/>
        <s v="Time of diagnostic ECG"/>
        <s v="FMC to Diagnostic ECG[mins]"/>
        <s v="Diagnostic ECG to balloon [mins]"/>
        <s v="Patient height [cm]"/>
        <s v="In-hospital bleeding"/>
        <s v="In-hospital cardiothoracic surgery"/>
        <s v="In-hospital MI"/>
        <s v="Subsequent PCI (in this admission)"/>
        <s v="In hospital stent thrombosis"/>
        <s v="In-hospital stroke"/>
        <s v="Indigenous status"/>
        <s v="In-stent restenosis (ISR)"/>
        <s v="Stent thrombosis"/>
        <s v="Lesion location"/>
        <s v="Lesion successfully treated"/>
        <s v="Type of stent(s) implanted"/>
        <s v="Total entrance radiation dose (Air Kerma)"/>
        <s v="Total exam Dose Area Product in mGy/m2"/>
        <s v="Total fluoroscopy time in mins"/>
        <s v="Length of Stay"/>
        <s v="Date of death"/>
        <s v="In-hospital Target Vessel (PCI)"/>
        <s v="Planned cardiothoracic surgery"/>
        <s v="In-hospital TVR (CABG)"/>
        <s v="Cardiac rehospitalisation Date"/>
        <s v="Planned cardiac rehospitalisation"/>
        <s v="PCI rehospitalisation"/>
        <s v="CABG Rehospitalisation"/>
        <s v="WA balloon/device date"/>
        <s v="WA balloon/device time"/>
        <s v="NCR Hospital ID"/>
        <m/>
        <s v="Inpatient at Time of ACS"/>
        <s v="New stent-thrombosis"/>
        <s v="Out-of-hospital cardiac arrest"/>
        <s v="PatientID State Code"/>
        <s v="Target Vessel CABG"/>
        <s v="Cath lab arrival time "/>
        <s v="Cath lab arrival date"/>
        <s v="Ambulance handover date"/>
        <s v="Ambulance handover time"/>
        <s v="Ward admission time"/>
        <s v="Ward admission date"/>
        <s v="PCI centre Emergency Department arrival time"/>
        <s v="PCI centre Emergency Department arrival date"/>
        <s v="Previous CABG"/>
        <s v="PCI indication"/>
        <s v="Target Vessel revascularisation (PCI)"/>
        <s v="In-hospital stroke type"/>
        <s v="Cardiac rehabilitation referral"/>
        <s v="Aspirin prescribed at discharge"/>
        <s v="Other antiplatelet prescribed at discharge"/>
        <s v="Statin prescribed at discharge"/>
        <s v="Other Lipid Lowering Therapies prescribed at discharge"/>
        <s v="New stroke"/>
        <s v="new stroke type"/>
        <s v="Type of ACS (select ONE):"/>
        <s v="In-hospital target LESION revascularisation"/>
        <s v="Percutaneous entry location"/>
        <s v="In-hospital bleeding site"/>
        <s v="Pre-procedure intubation"/>
        <s v="Target LESION revascularisation (TLR)"/>
        <s v="In hospital primary cause of death (cardiac/non-cardiac)"/>
        <s v="Procedural intubation required"/>
        <s v="Follow-up status"/>
        <s v="Out of hospital primary cause of death (cardiac/non-cardiac)"/>
        <s v="First Name"/>
        <s v="Last  name"/>
        <s v="Previous PCI"/>
        <s v="Email address"/>
        <s v="Role"/>
        <s v="User Status - Deactivated"/>
        <s v="PatientID NCR"/>
        <s v="Public/Private"/>
        <s v="sex"/>
        <s v="Cardiogenic shock"/>
        <s v="State"/>
        <s v="Time of arrival at PCI hospital"/>
        <s v="PCI Procedure time"/>
        <s v="PCI annual case volume"/>
        <s v="Mechanical circulatory support"/>
        <s v="Patient weight [kg]"/>
        <s v="Site Status - Deactivated"/>
        <s v="Diabetes (HMDS)"/>
        <s v="In hospital myocardial infarction"/>
        <s v="Adjunctive Device Type"/>
        <s v="Accessibility/Remoteness Index of Australia"/>
        <s v="Functional test result"/>
        <s v="Grade of Stenossi"/>
        <s v="New MI"/>
        <s v="Postcode"/>
        <s v="Socio-Economic Indexes for Areas"/>
        <s v="Smoking status"/>
        <s v="Type of mechanical ventricular support:"/>
        <s v="Cardiogenic shock (HMDS)" u="1"/>
        <s v="PCI centre Emergency Department arrial time" u="1"/>
        <s v="Ejection fraction (EF) test result _x000a_Digitially Derived %" u="1"/>
        <s v="PCI centre Emergency Department arrial date" u="1"/>
        <s v="Sympton Onset to reperfusion" u="1"/>
        <s v="Acute coronary syndrome (ACS)" u="1"/>
        <s v="Primary cause of death" u="1"/>
        <s v="Ejection fraction (EF) test result _x000a_Digitially Derived %_x000a__x000a_OR" u="1"/>
      </sharedItems>
    </cacheField>
    <cacheField name="ncr_field" numFmtId="0">
      <sharedItems containsBlank="1"/>
    </cacheField>
    <cacheField name="wa_definition" numFmtId="0">
      <sharedItems containsBlank="1" longText="1"/>
    </cacheField>
    <cacheField name="ncr_question_and_supporting_definition" numFmtId="0">
      <sharedItems containsBlank="1" longText="1"/>
    </cacheField>
    <cacheField name="ncr_comments" numFmtId="0">
      <sharedItems containsBlank="1" longText="1"/>
    </cacheField>
    <cacheField name="format" numFmtId="0">
      <sharedItems containsMixedTypes="1" containsNumber="1" containsInteger="1" minValue="4" maxValue="4"/>
    </cacheField>
    <cacheField name="permitted_values" numFmtId="0">
      <sharedItems containsBlank="1" longText="1"/>
    </cacheField>
    <cacheField name="range_(min)" numFmtId="0">
      <sharedItems containsBlank="1" containsMixedTypes="1" containsNumber="1" containsInteger="1" minValue="-1" maxValue="1"/>
    </cacheField>
    <cacheField name="range_(max)" numFmtId="0">
      <sharedItems containsDate="1" containsBlank="1" containsMixedTypes="1" minDate="1899-12-30T23:59:00" maxDate="1900-01-05T18:16:04"/>
    </cacheField>
    <cacheField name="definition_progress" numFmtId="0">
      <sharedItems containsBlank="1"/>
    </cacheField>
    <cacheField name="guide_for_use" numFmtId="0">
      <sharedItems containsBlank="1" longText="1"/>
    </cacheField>
    <cacheField name="wa_development_comments" numFmtId="0">
      <sharedItems containsBlank="1" longText="1"/>
    </cacheField>
    <cacheField name="Query for Cardiologists" numFmtId="0">
      <sharedItems containsBlank="1"/>
    </cacheField>
    <cacheField name="ncr_required" numFmtId="0">
      <sharedItems containsBlank="1" count="48">
        <s v="System generated"/>
        <s v="Always"/>
        <s v=""/>
        <s v="Derived variable"/>
        <s v="Optional"/>
        <s v="If db =1"/>
        <s v="If pvd2 is NULL"/>
        <s v="If pvd1 is NULL"/>
        <s v="If pcabg =1"/>
        <s v="If ppci=1"/>
        <s v="If npcr is NULL"/>
        <s v="If pcr is NULL"/>
        <s v="If eftp=1"/>
        <s v="If efpt is 1 and efes is NULL"/>
        <s v="If eftp =1 and ef is NULL"/>
        <s v="If ACST=3"/>
        <s v="If acs=1"/>
        <s v="If IHPCI=1"/>
        <s v="Derived"/>
        <s v="If STAT30=1"/>
        <s v="If ihcab=1"/>
        <s v="If crh30=1"/>
        <m/>
        <s v="If STAT30≥0"/>
        <s v="if cab30=1"/>
        <s v="N/A"/>
        <s v="No.  _x000a__x000a_Should we make this columns options 'Required for WA', 'Required for NCR' etc…?"/>
        <s v="No"/>
        <s v="No "/>
        <s v="If IHSTR=1"/>
        <s v="If DIS&lt;6"/>
        <s v="If NSTR=1"/>
        <s v="If IHTVR=1"/>
        <s v="If IHBL is &gt;= 1"/>
        <s v="If DIS=6"/>
        <s v="If dis=1-5"/>
        <s v="if pci30=1"/>
        <s v="if tvr30=1"/>
        <s v="Not in use on commencement"/>
        <s v="Only when user deactivated"/>
        <s v="Hospital is allocated in NCR if no longer active"/>
        <s v="If adr = 1"/>
        <s v="If Postcode = null"/>
        <s v="If PCI = 11 , 12 or 13"/>
        <s v="Field cannot be blank when ARIA and SEIFA are null."/>
        <s v="vsr = 1"/>
        <s v="Mandatory" u="1"/>
        <s v="Hopital is allocated in NCR if no longer active" u="1"/>
      </sharedItems>
    </cacheField>
    <cacheField name="validations" numFmtId="0">
      <sharedItems containsBlank="1" longText="1"/>
    </cacheField>
    <cacheField name="collection_system(s)" numFmtId="0">
      <sharedItems containsBlank="1"/>
    </cacheField>
    <cacheField name="Cardiobase Angioplasty" numFmtId="0">
      <sharedItems containsBlank="1"/>
    </cacheField>
    <cacheField name="Cardiobase RiskScore" numFmtId="0">
      <sharedItems containsBlank="1"/>
    </cacheField>
    <cacheField name="HMDC" numFmtId="0">
      <sharedItems containsBlank="1"/>
    </cacheField>
    <cacheField name="EDDC" numFmtId="0">
      <sharedItems containsBlank="1"/>
    </cacheField>
    <cacheField name="SJA (Ambulance)" numFmtId="0">
      <sharedItems containsBlank="1"/>
    </cacheField>
    <cacheField name="HIH (Snowflake)" numFmtId="0">
      <sharedItems containsBlank="1"/>
    </cacheField>
    <cacheField name="Derived" numFmtId="0">
      <sharedItems containsBlank="1"/>
    </cacheField>
    <cacheField name="Death Registry" numFmtId="0">
      <sharedItems containsBlank="1"/>
    </cacheField>
    <cacheField name="NACS" numFmtId="0">
      <sharedItems containsBlank="1"/>
    </cacheField>
    <cacheField name="Development" numFmtId="0">
      <sharedItems containsBlank="1"/>
    </cacheField>
    <cacheField name="collection_method_status" numFmtId="0">
      <sharedItems containsBlank="1" count="7">
        <m/>
        <s v="70 = data source in production"/>
        <s v="40 = data source testing"/>
        <s v="50 = data source mapping"/>
        <s v="10 = potential data source identified"/>
        <s v="60 = data source finalised"/>
        <s v="0 = idea"/>
      </sharedItems>
    </cacheField>
    <cacheField name="meteor_reference" numFmtId="0">
      <sharedItems containsBlank="1" containsMixedTypes="1" containsNumber="1" containsInteger="1" minValue="270194" maxValue="746669"/>
    </cacheField>
    <cacheField name="wa_health_link" numFmtId="0">
      <sharedItems containsBlank="1"/>
    </cacheField>
    <cacheField name="tranche" numFmtId="0">
      <sharedItems containsBlank="1" containsMixedTypes="1" containsNumber="1" containsInteger="1" minValue="0" maxValue="5" count="10">
        <m/>
        <s v="2c"/>
        <n v="1"/>
        <s v="2a"/>
        <s v="2d"/>
        <s v="2z"/>
        <n v="3"/>
        <s v="2b"/>
        <n v="5"/>
        <n v="0"/>
      </sharedItems>
    </cacheField>
    <cacheField name="date_submitted_ncr" numFmtId="0">
      <sharedItems containsDate="1" containsBlank="1" containsMixedTypes="1" minDate="2022-07-22T00:00:00" maxDate="2022-07-23T00:00:00"/>
    </cacheField>
    <cacheField name="who" numFmtId="0">
      <sharedItems containsBlank="1" containsMixedTypes="1" containsNumber="1" containsInteger="1" minValue="0" maxValue="0"/>
    </cacheField>
    <cacheField name="ColumnMerges" numFmtId="0">
      <sharedItems containsBlank="1"/>
    </cacheField>
    <cacheField name="PCI Data Set" numFmtId="0">
      <sharedItems containsString="0" containsBlank="1" containsNumber="1" containsInteger="1" minValue="0" maxValue="1" count="3">
        <n v="1"/>
        <n v="0"/>
        <m/>
      </sharedItems>
    </cacheField>
    <cacheField name="Cardiovascular" numFmtId="0">
      <sharedItems containsBlank="1" containsMixedTypes="1" containsNumber="1" containsInteger="1" minValue="1" maxValue="1"/>
    </cacheField>
    <cacheField name="Location" numFmtId="0">
      <sharedItems containsBlank="1"/>
    </cacheField>
    <cacheField name="Needed for indicator?" numFmtId="0">
      <sharedItems count="2">
        <s v="No"/>
        <s v="Yes"/>
      </sharedItems>
    </cacheField>
    <cacheField name="How is the column made?" numFmtId="0">
      <sharedItems containsBlank="1" longText="1"/>
    </cacheField>
    <cacheField name="Column meets NCR comments and permitted value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1">
  <r>
    <x v="0"/>
    <x v="0"/>
    <s v="Yes"/>
    <m/>
    <s v=""/>
    <s v="Generated when a new Event is created.  Generate a new eventid when a new row is accepted from the ncr tab: admission_preprocedural "/>
    <s v="NNNNNN"/>
    <s v=""/>
    <s v=""/>
    <s v=""/>
    <m/>
    <m/>
    <s v=""/>
    <m/>
    <x v="0"/>
    <m/>
    <s v=""/>
    <m/>
    <m/>
    <m/>
    <m/>
    <m/>
    <m/>
    <m/>
    <m/>
    <m/>
    <m/>
    <x v="0"/>
    <m/>
    <m/>
    <x v="0"/>
    <m/>
    <m/>
    <m/>
    <x v="0"/>
    <m/>
    <m/>
    <x v="0"/>
    <m/>
    <m/>
  </r>
  <r>
    <x v="1"/>
    <x v="1"/>
    <s v="Yes"/>
    <m/>
    <s v="Was the patient  suffering from an acute coronary syndrome (ACS) in the 7 day period leading up to and including the index PCI?_x000a__x000a_ACS encompasses clinical features comprising chest pain or overwhelming shortness of breath, defined by accompanying clinical, ECG and biochemical features. Specifically, ACS refers to unstable angina, non ST-Elevation Myocardial Infarction (NSTEMI) and/or ST-Elevation Myocardial Infarction (STEMI)."/>
    <s v="Reject file if NULL from the ncr tab: procedure "/>
    <s v="N"/>
    <s v="0=No _x000a_1=Yes"/>
    <s v="0"/>
    <s v="1"/>
    <m/>
    <s v="Where the clinician has documented STEMI, NSTEMI or unstable angina in the clinical record (within either the casenotes, Cardiobase system, webpas or other clinical system the episode is recognised as having the appropriate ACS type based on the documented evidence.)"/>
    <s v="Needs multiple sources and business rules: _x000a__x000a_Component 1 from Cardiobase.[Indication] field:_x000a__x000a_Aborted Infarct; Acute Coronary Syndrome; Acute InStent Thrombosis; Crescendo Angina; In-Stent Thrombosis; Late Presentation MI; Late Presentation STEMI; Post Aborted Infarct; Post Infarct Angina; Post Myocardial Infarction; Post Thrombolysis; Rescue Angioplasty; Stent Thrombosis; Stuttering Ami; Acute myocardial infarction; Angina; Angina - Unstable; Myocardial Infarction &gt; 6hrs; NSTEMI; Past MI; PCI - Primary; PCI - Rescue; Post MI with Thrombolysis; Recent MI (24 hours - 7 days); STEMI; STEMI - Missed; STEMI - Threatened; STEMI - Thrombolysed; Thrombosis - Acute Stent; Unstable Angina_x000a__x000a_Component 2 from HMDS:_x000a__x000a_AND/OR any of the following ICD-10 diagnosis codes in HMDS:_x000a__x000a_I20.0 Unstable angina; I21.0 Acute transmural MI of anterior wall; I21.1 Acute transmural MI of inferior wall; I21.2 Acute transmural MI of other sites; I21.3 Acute transmural MI of unspecified site; I21.4 Acute subendocardial MI; I21.9 Acute myocardial infarction, unspecified; I22.0 Subsequent MI of anterior wall; I22.1 Subsequent MI of inferior wall; I22.8 Subsequent MI of other sites; I22.9 Subsequent MI of unspecified site._x000a__x000a_Referenced from:_x000a_19 12 12 HMDS request - ACS and PCI counts (3).docx (sharepoint.com);_x000a_WA Cardiac Outcomes - 19 11 07 WACCA conversation - ACS codes.msg - All Documents (sharepoint.com);_x000a_Indication_acs_acst.xlsx (sharepoint.com)"/>
    <m/>
    <x v="1"/>
    <m/>
    <s v="Cardiobase Angioplasty"/>
    <s v="Cardiobase Angioplasty"/>
    <m/>
    <m/>
    <m/>
    <m/>
    <m/>
    <m/>
    <m/>
    <m/>
    <m/>
    <x v="1"/>
    <m/>
    <m/>
    <x v="1"/>
    <m/>
    <s v="RG/FC"/>
    <s v="wa_acs_hmdc_x000a_acs_x000a__x000a_"/>
    <x v="0"/>
    <m/>
    <m/>
    <x v="1"/>
    <s v="Document with caveat"/>
    <m/>
  </r>
  <r>
    <x v="2"/>
    <x v="2"/>
    <s v="Yes"/>
    <s v="Indicate if any adjunctive devices were used during the current PCI procedure "/>
    <s v="Adjunctive device types include, but are not limited to:  Intravascular ultrasound, Optical coherence tomography, Thrombus aspiration device, Rotational atherectomy, Pressure Wire/or any other devices used to facilitate balloon inflation or stent implantation during the current PCI.  "/>
    <m/>
    <s v="N"/>
    <s v="0=No_x000a_1=Yes"/>
    <n v="0"/>
    <n v="1"/>
    <m/>
    <m/>
    <m/>
    <m/>
    <x v="1"/>
    <s v="Field cannot be blank._x000a_Reject file if NULL"/>
    <s v=""/>
    <m/>
    <m/>
    <m/>
    <m/>
    <m/>
    <m/>
    <m/>
    <m/>
    <m/>
    <m/>
    <x v="0"/>
    <m/>
    <m/>
    <x v="0"/>
    <m/>
    <m/>
    <m/>
    <x v="1"/>
    <m/>
    <m/>
    <x v="0"/>
    <m/>
    <m/>
  </r>
  <r>
    <x v="3"/>
    <x v="3"/>
    <s v="Yes"/>
    <s v="The patient's age, at the time of the procedure, in years."/>
    <s v="How old is the patient at the date of procedure?  The age of the patient in integer format."/>
    <s v="Reject file if NULL_x000a_Reject if &lt;18   from the ncr tab: admission_preprocedural "/>
    <s v="NN (years)"/>
    <s v="Age at DOP for PCI"/>
    <s v="18"/>
    <s v="110"/>
    <m/>
    <s v="The age range for the registry is from a minimum of 18 years and older, to a maximum of 110 years._x000a__x000a_The patient's age is derived from the age at admission (HMDS) and is adjusted for patients who have a birthday after HMDS.[Admission Date] and before or on the PCI Procedure Date (dop)._x000a__x000a_This adjustment is defined in WACOR_business_rules.xlsx (sharepoint.com)"/>
    <s v="Business rule._x000a__x000a_METEOR ref will require refinement for WACOR._x000a__x000a_Minutiae we should clarify with NCR if maximum is &lt;=109.9999 or =110 (i.e. a patient could be 110 years and 364 days)._x000a__x000a_ETL0701 - ETL0703,_x000a_ETL0816,_x000a_ETL1104, ETL1114,_x000a_ETL1201, ETL1208, ETL1213 -  ETL1216"/>
    <m/>
    <x v="2"/>
    <m/>
    <s v="Derived"/>
    <m/>
    <m/>
    <m/>
    <m/>
    <m/>
    <m/>
    <s v="Derived"/>
    <m/>
    <m/>
    <m/>
    <x v="1"/>
    <n v="303794"/>
    <m/>
    <x v="2"/>
    <d v="2022-07-22T00:00:00"/>
    <m/>
    <m/>
    <x v="0"/>
    <m/>
    <m/>
    <x v="0"/>
    <m/>
    <m/>
  </r>
  <r>
    <x v="4"/>
    <x v="4"/>
    <s v="Yes"/>
    <m/>
    <s v=""/>
    <s v="from the NCR tab: site "/>
    <s v=""/>
    <s v=""/>
    <s v=""/>
    <s v=""/>
    <m/>
    <m/>
    <s v=""/>
    <m/>
    <x v="1"/>
    <m/>
    <s v=""/>
    <m/>
    <m/>
    <m/>
    <m/>
    <m/>
    <m/>
    <m/>
    <m/>
    <m/>
    <m/>
    <x v="0"/>
    <m/>
    <m/>
    <x v="0"/>
    <m/>
    <m/>
    <m/>
    <x v="0"/>
    <m/>
    <m/>
    <x v="0"/>
    <m/>
    <m/>
  </r>
  <r>
    <x v="5"/>
    <x v="5"/>
    <s v="Yes"/>
    <m/>
    <s v="Did the patient have a cardiac rehospitalisation within 30 days? Indicate whether the patient had a cardiac rehospitalisation, where a cardiac rehospitalisation is defined as an in-patient admission that includes, but is not limited to any of the following circumstances: heart failure; acute coronary syndrome (e.g. STEMI, NSTEMI; recurrent or unstable angina); arrhythmia; elective (non emergency) PCI or CABG etc._x000a__x000a_Include rehospitalisations with a primary diagnosis that has the following ICD-10 AM codes:_x000a_I00 – I02: Acute rheumatic fever_x000a_I05 – I09: Chronic rheumatic heart disease_x000a_I10 – I15: Hypertensive diseases_x000a_I20 – I25: Ischaemic heart disease_x000a_I30 – I52: Other forms of heart disease_x000a_I70 – I72: Atherosclerosis, aortic aneurysm and dissection_x000a_I74: Arterial embolism and thrombosis_x000a_I77.0: Arteriovenous fistula, acquired_x000a_R00: Abnormalities of heart beat_x000a_R01: Cardiac murmurs and other cardiac sounds_x000a_R03: Abnormal blood pressure reading_x000a_R07: Pain in throat and chest_x000a_All other ICD-10 codes should be classified as non-cardiac"/>
    <s v="Up to 6 rehospitalisations be entered.  _x000a_ Fields are coded in data extract as CRH30, CRH30_2, CRH30_3-5..,Reject file if crh30 is NULL and stat30≥0_x000a_Reject file if crh30 contains data and stat30=-1_x000a_Reject file if dis=6 and crh30 contains data from the ncr tab: follow_up "/>
    <s v="N"/>
    <s v="_x000a_0=No_x000a_1=Yes_x000a_-1=Unknown"/>
    <s v="-1"/>
    <s v="1"/>
    <m/>
    <m/>
    <s v="The WA definition should clarify if the 30 day readmission period should start counting from the date of the end of the separation, the end of the hospital stay or the end of the provider stay (i.e. noting that some patients who are discharged and admitted to a rehab hospital should not appear as a 'rehospitalisation' (noting that these would not typically include the cardiac code in the primary diagnostic position)."/>
    <m/>
    <x v="1"/>
    <m/>
    <s v="HMDC"/>
    <m/>
    <m/>
    <s v="HMDC"/>
    <m/>
    <m/>
    <m/>
    <m/>
    <m/>
    <m/>
    <m/>
    <x v="1"/>
    <m/>
    <m/>
    <x v="3"/>
    <m/>
    <s v="PL"/>
    <s v="wa_CRH30_hmdc"/>
    <x v="0"/>
    <n v="1"/>
    <m/>
    <x v="1"/>
    <s v="From Disease Register HMDC_READM_CARDIAC"/>
    <m/>
  </r>
  <r>
    <x v="6"/>
    <x v="6"/>
    <s v="Yes"/>
    <s v="BMI stands for Body Mass Index and it is a measure of body fat based on an individual's weight and height. The formula to calculate BMI is:_x000a__x000a_BMI = weight (kg) / (height (m))^2_x000a__x000a_In this equation, weight is the person's weight in kilograms, and height is their height in meters. The resulting BMI value can be used to determine whether an individual is underweight, normal weight, overweight, or obese based on established BMI categories."/>
    <s v=" - -"/>
    <s v="BMI = WKG/(HTM/100)^2_x000a_Derived - no import on this field_x000a_from the NCR tab: admission_preprocedural "/>
    <s v="NN.N (kg/m2)"/>
    <s v=""/>
    <s v=""/>
    <s v=""/>
    <m/>
    <m/>
    <m/>
    <m/>
    <x v="3"/>
    <m/>
    <s v="Derived"/>
    <m/>
    <m/>
    <m/>
    <m/>
    <m/>
    <m/>
    <s v="Derived"/>
    <m/>
    <m/>
    <m/>
    <x v="0"/>
    <m/>
    <m/>
    <x v="0"/>
    <m/>
    <m/>
    <m/>
    <x v="2"/>
    <m/>
    <m/>
    <x v="0"/>
    <m/>
    <m/>
  </r>
  <r>
    <x v="7"/>
    <x v="7"/>
    <s v="Yes"/>
    <m/>
    <s v="Does the patient have a diagnosis of diabetes? Indicate if the patient has been diagnosed with diabetes mellitus regardless of duration of disease and, this includes a medical diagnosis made during the current admission."/>
    <s v="Reject file if NULL from the ncr tab: admission_preprocedural "/>
    <s v="N"/>
    <s v="0=No_x000a_1=Yes"/>
    <s v="0"/>
    <s v="1"/>
    <m/>
    <m/>
    <s v="Business rule to take value from whichever is more specific or populated, RiskScore/HMDS/Other_x000a__x000a_HMDS ICD Codes for Diabetes : E10.XX, E11.XX, E.13.XX and E14.XX where XX corresponds to a comorbidity code (e.g. 10.64 is Type I DM with hypoglycaemia) Please refer to the following link for ICD10AM comorbidity coding in a SQL query: https://github.com/AUS-DOH-Safety-and-Quality/Diabetes/blob/main/Diabetes%20all%20diagnosis%20inpatients.sql"/>
    <m/>
    <x v="1"/>
    <m/>
    <s v="Cardiobase Angioplasty, HMDC, HIH"/>
    <s v="Cardiobase Angioplasty"/>
    <m/>
    <s v="HMDC"/>
    <m/>
    <m/>
    <s v="HIH"/>
    <m/>
    <m/>
    <m/>
    <m/>
    <x v="1"/>
    <n v="270194"/>
    <m/>
    <x v="3"/>
    <m/>
    <m/>
    <s v="wa_diabetes_hmdc_x000a_wa_diabetes_cbap_x000a__x000a_wa_diabetes_merged"/>
    <x v="0"/>
    <n v="1"/>
    <s v="Cardiovascular Filters"/>
    <x v="0"/>
    <s v="Merged result from HMDC and Cardiobase Angioplasty_x000a__x000a_"/>
    <s v="Yes"/>
  </r>
  <r>
    <x v="8"/>
    <x v="8"/>
    <s v="Yes"/>
    <s v="This is the census date 30 days after discharge, used to ascertain the patient's living or deceased status, it does not always indicate a follow up appointment took place on that date."/>
    <s v="On what date was the follow-up undertaken? All patients must be followed up (or attempted to be followed up) at 30 days post discharge from the PCI admission. Indicate the date the follow-up was undertaken. "/>
    <s v="Reject file if dfu30 is NULL AND dis=1-5_x000a_Reject file if dis=6 and dfu30 contains data_x000a_Reject file if dfu30 &lt;dod from the ncr tab: follow_up "/>
    <s v="DD/MM/YYYY"/>
    <s v="DD/MM/YYYY"/>
    <s v=""/>
    <s v=""/>
    <m/>
    <s v="This is the census date 30 days after discharge, used to ascertain the patient's living or deceased status, it does not always indicate a follow up appointment took place on that date."/>
    <s v="WACOR data dictionary should clarify this means any of : face to face (e.g. OPD), primary care, community care or telehealth._x000a__x000a_Cardiologist/NCR question, does follow up refer to medically led, nurse led, allied-health, or other?"/>
    <m/>
    <x v="1"/>
    <m/>
    <m/>
    <m/>
    <m/>
    <s v="HMDC"/>
    <m/>
    <m/>
    <m/>
    <m/>
    <m/>
    <s v="NACS"/>
    <m/>
    <x v="0"/>
    <m/>
    <m/>
    <x v="4"/>
    <m/>
    <m/>
    <m/>
    <x v="0"/>
    <m/>
    <m/>
    <x v="0"/>
    <m/>
    <m/>
  </r>
  <r>
    <x v="9"/>
    <x v="9"/>
    <s v="Yes"/>
    <m/>
    <s v="Who was the interventional cardiologist responsible the for the PCI? The unique code of the cardiologist/clinician who is ultimately responsible for the PCI as allocated by the State Registry."/>
    <s v="Alpha is for state e.g. NSW N213366, VIC V1236999 from the ncr tab: admission_preprocedural "/>
    <s v="free text"/>
    <s v=""/>
    <s v=""/>
    <s v=""/>
    <m/>
    <m/>
    <s v="WA PCI Dataset  (formerly WACOR) generated, needs independent lookup table linked to practitioner.  Needs separate table."/>
    <m/>
    <x v="4"/>
    <m/>
    <s v="WA PCI Dataset generated"/>
    <m/>
    <m/>
    <m/>
    <m/>
    <m/>
    <m/>
    <m/>
    <m/>
    <m/>
    <m/>
    <x v="0"/>
    <m/>
    <m/>
    <x v="0"/>
    <m/>
    <m/>
    <m/>
    <x v="2"/>
    <m/>
    <m/>
    <x v="0"/>
    <m/>
    <m/>
  </r>
  <r>
    <x v="10"/>
    <x v="10"/>
    <s v="Yes"/>
    <m/>
    <s v="Derived from site state + po"/>
    <s v="from the NCR tab: admission_preprocedural "/>
    <s v="Nxxxxxxx"/>
    <s v=""/>
    <s v=""/>
    <s v=""/>
    <m/>
    <m/>
    <s v=""/>
    <m/>
    <x v="3"/>
    <m/>
    <s v="Derived"/>
    <m/>
    <m/>
    <m/>
    <m/>
    <m/>
    <m/>
    <s v="Derived"/>
    <m/>
    <m/>
    <m/>
    <x v="0"/>
    <m/>
    <m/>
    <x v="0"/>
    <m/>
    <m/>
    <m/>
    <x v="2"/>
    <m/>
    <m/>
    <x v="0"/>
    <m/>
    <m/>
  </r>
  <r>
    <x v="11"/>
    <x v="11"/>
    <s v="Yes"/>
    <m/>
    <s v="Under what conditions was the patient from the hospital? Indicate under what conditions the patient was discharged from the hospital following the index admission. Select one of the following options: _x000a_Note:  Patients who died during their index admission without being discharged from the acute care setting should be coded as hospital mortality._x000a_- Home: Discharged to home, with no planned contact before routine review;_x000a_- Hospital in the Home: Discharged to home, with planned visits to home by medical or paramedical staff; _x000a_- Rehabilitation Unit/Hospital: Discharged for inpatient rehabilitation; _x000a_- Local or referring hospital: Discharged to another hospital for continuing care not related to any complications arising from the index PCI;_x000a_- Tertiary referral centre: Discharged to another hospital or centre for tertiary care related to a complication arising from the index PCI (e.g.  patient had PCI complications that required advanced medical treatment/investigation that could not be performed by the PCI hospital);_x000a_- Hospital Mortality:  Patient died in-hospital during or after the index PCI procedure, but prior to discharge."/>
    <s v="Reject file if ihbl&gt;6 and dis=1-5_x000a_Reject file if dis = NULL from the ncr tab: discharge "/>
    <n v="4"/>
    <s v="1=Home _x000a_2=Hospital in the Home_x000a_3=Rehab Unit/Hospital _x000a_4=Local or referring hospital_x000a_5=Tertiary Referral Centre_x000a_6=Hospital Mortality"/>
    <s v="1"/>
    <s v="6"/>
    <m/>
    <m/>
    <s v="HMDC. [Mode of Separation] and HMDC. [Care Type]_x000a__x000a_To identify where patients are transferred for rehab, we need to identify the following episode of care being a rehab episode._x000a_Care Type in HMDC will identify if the episode of care at the transferred hospital is for Rehabilitation i.e. a value of 22 in Care Type = Rehabilitation Care (Subacute). _x000a__x000a_Mode of Separation combined with Discharged to field (4 digit establishment number) will only identify the type and actual hospital the patient transferred to i.e. Acute Hospital, 0106 (FSH) not whether episode was for Rehab. _x000a__x000a__x000a_Note regarding discussion on RITH, Whilst RITH is considered a new service model, note that the NCR data dictionary only specifies inpatient rehabilitation.   If RITH is sought in future, note that this may require RITH linkage for patients treated for Rehab as hospital in the home.  HMDC no longer allows RITH to be recorded as inpatient activity - other sources of this data need to be sought. _x000a__x000a__x000a_"/>
    <s v="Discuss"/>
    <x v="1"/>
    <m/>
    <s v="HMDC"/>
    <m/>
    <m/>
    <s v="HMDC"/>
    <m/>
    <m/>
    <m/>
    <m/>
    <m/>
    <m/>
    <m/>
    <x v="1"/>
    <m/>
    <m/>
    <x v="3"/>
    <s v="70 = data source in production"/>
    <s v="PL"/>
    <s v="wa_dis_hmdc"/>
    <x v="0"/>
    <m/>
    <m/>
    <x v="1"/>
    <s v="HMDC | NCR Mapping_x000a_From HMDC Mode_of_separation _x000a_8 Deceased | 6 Hospital Mortality_x000a_9 Home | 1 Home_x000a__x000a_From HMDC Care_type of next admission_x000a_22 Rehab Centre | 3 Rehab hospital_x000a_21 Acute care AND establishment_code IN (0101, 0105, 0106) | 5 Tertiary Referral Centre_x000a_21 Acute care AND establishment_code NOT IN (0101, 0105, 0106) | 4 Local / Referring hospital_x000a_23-32 Other care types | 4_x000a__x000a_From HMDC days_of_hospital_in_the_home_care_x000a_ 2 Hospital in the Home, also days &gt; 0  "/>
    <m/>
  </r>
  <r>
    <x v="12"/>
    <x v="12"/>
    <s v="Yes"/>
    <m/>
    <s v="Where Diabetes is coded 1=Yes, indicate the management type. Indicate the diabetes management type:_x000a_- Oral: Patient requires oral hypoglycaemic medication to control their condition_x000a_- Insulin: Patient requires insulin to control their condition with or without oral therapy_x000a_- Diet: Patient has received dietary advice appropriate to their condition but is not taking medication to lower blood sugar"/>
    <s v="Reject file if db=0, and data is in dbm_x000a_Reject file if db=1 AND dbm is NULL from the ncr tab: admission_preprocedural "/>
    <s v="N"/>
    <s v="1=Oral_x000a_2= Insulin_x000a_3=Diet"/>
    <s v="1"/>
    <s v="3"/>
    <m/>
    <m/>
    <s v="HIH Results Hub - needs clarification &amp; SME input (SMA)_x000a__x000a_Ipharmacy may offer a secondary source._x000a__x000a_METEOR ref will require refinement for WACOR."/>
    <m/>
    <x v="5"/>
    <m/>
    <s v="Cardiobase Angioplasty, HMDC, HIH"/>
    <s v="Cardiobase Angioplasty"/>
    <m/>
    <s v="HMDC"/>
    <m/>
    <m/>
    <s v="HIH"/>
    <m/>
    <m/>
    <m/>
    <m/>
    <x v="0"/>
    <n v="270236"/>
    <m/>
    <x v="0"/>
    <m/>
    <m/>
    <m/>
    <x v="2"/>
    <m/>
    <m/>
    <x v="0"/>
    <m/>
    <m/>
  </r>
  <r>
    <x v="13"/>
    <x v="13"/>
    <s v="Yes"/>
    <m/>
    <s v="Does the patient have a history of PVD with intervention? Note: only respond to PVD1 or PVD2Indicate if the patient displays evidence of either chronic or acute PVD. The presence of PVD must be demonstrated by vascular reconstruction or amputation for arterial insufficiency, bypass surgery or percutaneous intervention._x000a__x000a_Note: This definition of PVD must be accompanied with intervention such as reconstruction, amputation, surgery or percutaneous intervention.  Includes the aorta, extremities and carotid vessels. If no intervention select the broader option of PVD 2."/>
    <s v="Can only have data in pvd1 OR pvd2 not both Reject file if PVD1 and PVD2 both have data_x000a_Reject file if PVD1 and PVD2 are both NULL from the ncr tab: admission_preprocedural "/>
    <s v="N"/>
    <s v="0=No_x000a_1=Yes"/>
    <s v="0"/>
    <s v="1"/>
    <m/>
    <m/>
    <s v="Derivable with history from HMDS, and/or NACS, and/or Cardiobase - needs additional variables to be added to explain why this field is set to  TRUE and originating data source._x000a__x000a_METEOR ref will require refinement for WACOR._x000a__x000a_Refer to PCI procedure list, CABG procedure list._x000a__x000a_Question for cardiologist colleagues, include TAVI, (? any revascularisation), amputation._x000a__x000a_ICD-10 Codes PVD: I73, I73.8, I73.9, I70.2x_x000a_ICD-10 Codes for procedure: _x000a_PCI procedure list, CABG procedure list plus 38640-00 [664] - Reoperation for other cardiac procedure, not elsewhere classified, 35202-00 [763] - Reoperation of arteries or veins, not elsewhere classified_x000a__x000a_Implemented in ETL0704_x000a__x000a_Requires vascular clinician review - PARK for now as not required for QI"/>
    <s v="Yes"/>
    <x v="6"/>
    <m/>
    <s v="Cardiobase Angioplasty, HMDC"/>
    <s v="Cardiobase Angioplasty"/>
    <m/>
    <s v="HMDC"/>
    <m/>
    <m/>
    <m/>
    <m/>
    <m/>
    <m/>
    <m/>
    <x v="2"/>
    <n v="746669"/>
    <m/>
    <x v="5"/>
    <m/>
    <s v="PL"/>
    <m/>
    <x v="2"/>
    <m/>
    <m/>
    <x v="0"/>
    <m/>
    <m/>
  </r>
  <r>
    <x v="14"/>
    <x v="14"/>
    <s v="Yes"/>
    <m/>
    <s v="Does the patient have a history of PVD with or without intervention?  Note: only respond to PVD1 or PVD2Indicate if the patient has a current or previous history of peripheral vascular disease (includes subclavian, iliac, femoral, and upper- and lower-extremity vessels; excludes renal, coronary, cerebral, and mesenteric vessels and aneurysms). This can include: Claudication on exertion, Amputation for arterial vascular insufficiency, Vascular reconstruction, bypass surgery, or percutaneous revascularization in the arteries of the extremities, Positive non-invasive test (e.g., ankle brachial index &lt;= 0.9, ultrasound, MR or CT imaging of &gt;50% diameter stenosis in any peripheral artery (i.e., subclavian, femoral, iliac) or angiographic imaging)"/>
    <s v="Can only have data in pvd1 OR pvd2 not both Reject file if PVD1 and PVD2 both have data_x000a_Reject file if PVD1 and PVD2 are both NULL  from the ncr tab: admission_preprocedural "/>
    <s v="N"/>
    <s v="0=No_x000a_1=Yes"/>
    <s v="0"/>
    <s v="1"/>
    <m/>
    <m/>
    <s v="Derivable with history from HMDS, and/or NACS, and/or Cardiobase - needs additional variables to be added to explain why this field is set to  TRUE and originating data source._x000a__x000a_ICD-10 Codes PVD: I73, I73.8, I73.9, I70.2x, T81.x, T82.x, T82.8x, T82.9_x000a__x000a_Implemented in ETL0704_x000a__x000a_Requires vascular clinician review - PARK for now as not required for QI"/>
    <m/>
    <x v="7"/>
    <m/>
    <s v="Cardiobase Angioplasty, HMDC"/>
    <s v="Cardiobase Angioplasty"/>
    <m/>
    <s v="HMDC"/>
    <m/>
    <m/>
    <m/>
    <m/>
    <m/>
    <m/>
    <m/>
    <x v="2"/>
    <m/>
    <m/>
    <x v="5"/>
    <m/>
    <s v="PL"/>
    <m/>
    <x v="2"/>
    <m/>
    <s v="Cardiovascular Disease Type - &quot;Peripheral arterial disease&quot;?_x000a__x000a_HMDC_PVD - https://hsswa.australia-east.azure.snowflakecomputing.com/console#/internal/worksheet"/>
    <x v="0"/>
    <m/>
    <m/>
  </r>
  <r>
    <x v="15"/>
    <x v="15"/>
    <s v="Yes"/>
    <m/>
    <s v="On what date did the patient arrive at the PCI hospital? _x000a__x000a_Date the patient was admitted or transferred to the PCI hospital."/>
    <s v="Reject file if NULL_x000a_Reject file if doa, toa, dop, top and patientID are all the same across multiple entries from the ncr tab: admission_preprocedural "/>
    <s v="DD/MM/YYYY"/>
    <s v=""/>
    <s v=""/>
    <s v=""/>
    <m/>
    <s v="This field refers to date of arrival at the PCI hospital, which is not always the same as the date of admission."/>
    <s v="hmds - needs clarification with webpas team on direct admissions to cath lab, or business rule to take date &amp; time of arrival at cath lab as this field. Would need from Cardiobase - needs discussion with vendor/CardioBase leads._x000a__x000a_ETL0701 - ETL0703,_x000a_ETL0813,_x000a_ETL1102, ETL1111_x000a_ETL1206"/>
    <s v="Yes"/>
    <x v="1"/>
    <m/>
    <s v="HMDC"/>
    <m/>
    <m/>
    <s v="HMDC"/>
    <m/>
    <m/>
    <m/>
    <m/>
    <m/>
    <m/>
    <m/>
    <x v="1"/>
    <m/>
    <m/>
    <x v="2"/>
    <d v="2022-07-22T00:00:00"/>
    <s v="BW"/>
    <m/>
    <x v="0"/>
    <m/>
    <m/>
    <x v="1"/>
    <m/>
    <m/>
  </r>
  <r>
    <x v="16"/>
    <x v="16"/>
    <s v="Yes"/>
    <m/>
    <s v="If Previous CABG is coded 1=Yes, on what date? The date on which patient had their most recent CABG in DD/ MM /YYYY format. Note: If only the year is known or estimated, this will suffice, enter as 01/01/YYYY."/>
    <s v="DPCABG must be ≤DOPReject file if DPCABG is &gt;DOP_x000a_Reject file if pcabg =0 AND dpcabg has data_x000a_Reject file if pcabg = 1 AND dpcabg is NULL from the NCR tab: admission_preprocedural "/>
    <s v="DD/MM/YYYY"/>
    <m/>
    <s v=""/>
    <s v=""/>
    <m/>
    <s v="This definition is for patients who have had a previous procedure at hospitals within Western Australia only.   _x000a__x000a_For patients who have had procedures outside of the state, this may be recorded on the catheterisation laboratory system, however this may not be captured in all cases."/>
    <s v="Derivable if pt had procedure within WA, HMDS_x000a__x000a_See above ICD-10 procedure code list for CABG_x000a__x000a_Implemented in ETL0705"/>
    <m/>
    <x v="8"/>
    <m/>
    <s v="Cardiobase Angioplasty, HMDC"/>
    <s v="Cardiobase Angioplasty"/>
    <m/>
    <s v="HMDC"/>
    <m/>
    <m/>
    <m/>
    <m/>
    <m/>
    <m/>
    <m/>
    <x v="1"/>
    <m/>
    <m/>
    <x v="3"/>
    <m/>
    <s v="PL"/>
    <s v="wa_date_p_cabg_hmdc_x000a_wa_date_PriorCABG_cbap_x000a__x000a_wa_date_p_cabg_merged"/>
    <x v="0"/>
    <s v="?"/>
    <s v="HMDC_CABG - https://hsswa.australia-east.azure.snowflakecomputing.com/console#/internal/worksheet"/>
    <x v="0"/>
    <s v="From the source of wa_p_cabg_merged_x000a_Either HMDC or CBAP_x000a_Take the associated prior CABG date_x000a_If both true take cardiobase entry"/>
    <s v="Yes, rows present with p_cabg flag yes with null value"/>
  </r>
  <r>
    <x v="17"/>
    <x v="17"/>
    <s v="Yes"/>
    <m/>
    <s v="On what date was the patient discharged or date of in hospital mortality? Indicate the date the patient was discharged from the PCI hospital admission (or the date of death where the patient died during the index admission). Note: For a patient who dies in-hospital without being discharged from the acute care setting the discharge and death date are the same."/>
    <s v="DOD must be ≥ DOPReject file if dod &lt; dop_x000a_Reject file if dod = NULL from the ncr tab: discharge "/>
    <s v="DD/MM/YYYY"/>
    <s v="DD/MM/YYYY"/>
    <s v=""/>
    <s v=""/>
    <m/>
    <s v="This data element only describes those patients who die in hospital._x000a__x000a_The date of death is recorded on the hospital administrative system as the end of their episode of care.  This is derived from the national data element mode of separation.  "/>
    <s v="HMDS _x000a_HMDC.[separation_date] in conjunction with HMDC.[mode_of_separation]?"/>
    <m/>
    <x v="1"/>
    <s v="_x000a_                                                                                                                                                                                                                                                                The date of death is recorded on The hospital administrative system as The end of their episode of care.  This is derived from The national data element mode of separation."/>
    <s v="HMDC"/>
    <m/>
    <m/>
    <s v="HMDC"/>
    <m/>
    <m/>
    <m/>
    <m/>
    <m/>
    <m/>
    <m/>
    <x v="1"/>
    <m/>
    <m/>
    <x v="3"/>
    <m/>
    <s v="RG"/>
    <s v="wa_dod_hmdc"/>
    <x v="0"/>
    <n v="1"/>
    <m/>
    <x v="0"/>
    <s v="From HMDC Separation_date"/>
    <m/>
  </r>
  <r>
    <x v="18"/>
    <x v="18"/>
    <s v="Yes"/>
    <m/>
    <s v="If Previous PCI is coded 1=Yes, on what date? The date on which patient had their most recent PCI in DD/ MM /YYYY format. Note: If only the year is known or estimated, this will suffice, enter as 01/01/YYYY."/>
    <s v="DPPCI must be ≤DOPReject file if dppci &gt; DOP_x000a_Reject file if ppci =0 and dppci has data_x000a_Reject file if ppci = 1 AND dppci is NULL from the ncr tab: admission_preprocedural "/>
    <s v="DD/MM/YYYY"/>
    <s v=""/>
    <s v=""/>
    <s v=""/>
    <m/>
    <s v="This definition is for patients who have had a previous procedure at hospitals within Western Australia only.   _x000a__x000a_For patients who have had procedures outside of the state, this may be recorded on the catheterisation laboratory system, however this may not be captured in all cases."/>
    <s v="Derivable if pt had procedure within WA, HMDS_x000a__x000a_Cardiobase Prior PTCA Date"/>
    <m/>
    <x v="9"/>
    <m/>
    <s v="HMDC"/>
    <m/>
    <m/>
    <s v="HMDC"/>
    <m/>
    <m/>
    <m/>
    <m/>
    <m/>
    <m/>
    <m/>
    <x v="1"/>
    <m/>
    <m/>
    <x v="3"/>
    <m/>
    <s v="PL"/>
    <s v="wa_date_p_pci_hmdc_x000a_wa_date_PriorPCI_cbap_x000a__x000a_wa_p_pci_merged"/>
    <x v="0"/>
    <s v="?"/>
    <s v="HMDC_PCI - https://hsswa.australia-east.azure.snowflakecomputing.com/console#/internal/worksheet"/>
    <x v="0"/>
    <s v="From the Disease Register HMDC_PCI_x000a_https://github.com/AUS-DOH-Safety-and-Quality/Disease-Register"/>
    <s v="Yes, rows present with p_pci flag yes with null value"/>
  </r>
  <r>
    <x v="19"/>
    <x v="19"/>
    <s v="Yes"/>
    <m/>
    <s v="What was the last pre-procedure creatinine? Record the last serum creatinine levels recorded within 60 days prior to the current PCI (in μmol/L). Note: To convert from mmol/L to μmol/L multiply by 1000 or move decimal point 3 spaces to the right."/>
    <s v="npcr must be empty Reject file if npcr=1 and pcr have data_x000a_Reject file if both pcr AND ncpr are NULL from the ncr tab: admission_preprocedural "/>
    <s v="NNNN"/>
    <s v="20-2000 µmol/L"/>
    <s v="20"/>
    <s v="2000"/>
    <m/>
    <s v="This definition is for patients who have had a previous procedure at hospitals within Western Australia only.   _x000a__x000a_For patients who have had procedures outside of the state, this may be recorded on the catheterisation laboratory system, however this may not be captured in all cases."/>
    <s v="Snowflake, HIH, Results table, requires SMA input to classify."/>
    <m/>
    <x v="10"/>
    <m/>
    <s v="Cardiobase RiskScore"/>
    <m/>
    <s v="Cardiobase RiskScore"/>
    <m/>
    <m/>
    <m/>
    <m/>
    <m/>
    <m/>
    <m/>
    <m/>
    <x v="0"/>
    <m/>
    <m/>
    <x v="0"/>
    <m/>
    <m/>
    <m/>
    <x v="2"/>
    <m/>
    <m/>
    <x v="0"/>
    <m/>
    <m/>
  </r>
  <r>
    <x v="20"/>
    <x v="20"/>
    <s v="Yes"/>
    <m/>
    <s v="Is the last pre-procedure creatinine not available? If creatinine results not available leave the above blank and note 1=Yes here."/>
    <s v="pcr must be empty Reject file if there is a value in pcr and npcr=1_x000a_Reject file if both pcr AND npcr are NULL from the ncr tab: admission_preprocedural "/>
    <s v=""/>
    <s v=" 1=Yes not available"/>
    <n v="0"/>
    <s v="1"/>
    <m/>
    <m/>
    <s v="Business Rule"/>
    <m/>
    <x v="11"/>
    <m/>
    <s v="Derived"/>
    <m/>
    <m/>
    <m/>
    <m/>
    <m/>
    <m/>
    <s v="Derived"/>
    <m/>
    <m/>
    <m/>
    <x v="0"/>
    <m/>
    <m/>
    <x v="0"/>
    <m/>
    <m/>
    <m/>
    <x v="2"/>
    <m/>
    <m/>
    <x v="0"/>
    <m/>
    <m/>
  </r>
  <r>
    <x v="21"/>
    <x v="21"/>
    <s v="Yes"/>
    <m/>
    <s v="On what date was the PCI performed? Date on which the patient crossed the threshold of entry into the cardiac catheter laboratory for the current PCI in DD/MM/YYYY format. _x000a_Note: Where multiple procedures occur during the index hospitalisation, a separate  entry must be recorded for every relevant procedure."/>
    <s v="Reject file if DOP is &gt; date of file import_x000a_Reject file if dop is NULL_x000a_Reject file if DOP is &lt;DOA_x000a_Reject file if doa, toa, dop, top and patientID are all the same across multiple entries within this import from the ncr tab: admission_preprocedural "/>
    <s v="DD/MM/YYYY"/>
    <s v=""/>
    <s v=""/>
    <s v=""/>
    <m/>
    <s v="Where a Procedure Start date is available in Cardiobase, this is used as the PCI Procedure Date. If a Procedure Start date is not available in Cardiobase, the relevant matched HMDS.[Date of Procedure] is used."/>
    <s v="Cardiobase - needs validation &amp; engagement with vendor.   This should be the same as the Cath Lab Arrival Date (once accurate data source established)"/>
    <m/>
    <x v="1"/>
    <m/>
    <s v="Cardiobase Angioplasty, HMDC"/>
    <s v="Cardiobase Angioplasty"/>
    <m/>
    <s v="HMDC"/>
    <m/>
    <m/>
    <m/>
    <m/>
    <m/>
    <m/>
    <m/>
    <x v="1"/>
    <m/>
    <m/>
    <x v="2"/>
    <d v="2022-07-22T00:00:00"/>
    <s v="BW"/>
    <m/>
    <x v="0"/>
    <m/>
    <m/>
    <x v="1"/>
    <m/>
    <m/>
  </r>
  <r>
    <x v="22"/>
    <x v="22"/>
    <s v="Yes"/>
    <m/>
    <s v="Where LVEF test performed is coded 'yes', on what date was the most recent LVEF test? The date of the MOST RECENT LVEF test._x000a_Note: Where multiple LVEF test results exist within the 6 month period leading up to the index admission or anytime during the index admission but within 30 days post-discharge, record the test result CLOSEST TO THE INDEX PCI date/time."/>
    <s v="_x000a_If ACST &lt; &gt; 3 then DEF must be between [6 months prior to DOP] and [DOD+30 days]_x000a__x000a_If ACST = 3 then DEF must be between DOA and [DOD+30 days]Reject file if eftp=0 and def has data_x000a_Reject file if eftp =1 and def is NULL_x000a_Reject file if def is &gt;dod+30 days_x000a_Reject file if acst=3 AND def &lt;doa_x000a_Reject file if acst is NOT =3 and def is &lt;doa-6 months from the ncr tab: admission_preprocedural "/>
    <s v="DD/MM/YYYY"/>
    <s v=""/>
    <s v=""/>
    <s v=""/>
    <m/>
    <m/>
    <s v="Need access to Syngo back end SQL._x000a__x000a_BW - if Syngo not viable, use Cardiobase RiskScore.[TEST_DATE]. Requires increased use of RiskScore assessment at all sites_x000a__x000a_Query for cardiology colleagues is, if the test date is present, can it be assumed that the date of ejection fraction measurement is the same?"/>
    <s v="Yes"/>
    <x v="12"/>
    <m/>
    <s v="Cardiobase RiskScore"/>
    <m/>
    <s v="Cardiobase RiskScore"/>
    <m/>
    <m/>
    <m/>
    <m/>
    <m/>
    <m/>
    <m/>
    <m/>
    <x v="0"/>
    <m/>
    <m/>
    <x v="0"/>
    <m/>
    <m/>
    <m/>
    <x v="2"/>
    <m/>
    <m/>
    <x v="0"/>
    <m/>
    <m/>
  </r>
  <r>
    <x v="23"/>
    <x v="23"/>
    <s v="Yes"/>
    <m/>
    <s v="Where LVEF test performed is coded 'yes', what was the most recent LVEF test type? Select ONE of the following:  _x000a_- Echocardiography_x000a_- Angiography_x000a_- Gated cardiac blood pool scan_x000a_- Magnetic resonance imaging (MRI)_x000a_- Myocardial perfusion scan_x000a_- Not stated/inadequately described"/>
    <s v="Reject file if eftp=0 and eft has data_x000a_Reject file if eftp =1 and eft is NULL from the ncr tab: admission_preprocedural "/>
    <s v=""/>
    <s v="1= Echocardiography _x000a_2=Angiography_x000a_3=Gated cardiac blood pool scan_x000a_4=Magnetic resonance imaging (MRI)_x000a_5=Myocardial perfusion scan_x000a_6=Not stated/inadequately described"/>
    <s v="1"/>
    <s v="6"/>
    <m/>
    <m/>
    <s v="This data does not readily appear in the cardiobase dataset, and so 6 'inadequately described' is suggested to allow the record to be uploaded."/>
    <m/>
    <x v="12"/>
    <m/>
    <s v="Cardiobase RiskScore"/>
    <m/>
    <s v="Cardiobase RiskScore"/>
    <m/>
    <m/>
    <m/>
    <m/>
    <m/>
    <m/>
    <m/>
    <m/>
    <x v="0"/>
    <m/>
    <m/>
    <x v="0"/>
    <m/>
    <m/>
    <m/>
    <x v="2"/>
    <m/>
    <m/>
    <x v="0"/>
    <m/>
    <m/>
  </r>
  <r>
    <x v="24"/>
    <x v="24"/>
    <s v="Yes"/>
    <m/>
    <s v="Where LVEF test performed is coded 'yes', what was the digitally derived EF test result? Only answer digitally derived or estimated not both. Record the digitally derived EF result (where the EF test results is a computed, digital EF percentage). _x000a_Note: The patient’s digitally derived EF result should ONLY be expressed as a whole number (between 10 and 80) expressed as a percentage of blood emptied from the left ventricle at the end of contraction."/>
    <s v="If value entered into EFES, disable EF (cannot be both)Reject file if eftp=0 and ef has data_x000a_Reject file if ef has data &amp; efes has data_x000a_Reject file if eftp =1 and both efes and ef are NULL from the ncr tab: admission_preprocedural "/>
    <s v="NN"/>
    <s v="Enter a percentage in the range of 01 - 99. If a percentage range was reported, report the lowest number of the range BELOW (i.e.50-55%, is reported as 50%)."/>
    <s v="01"/>
    <s v="99"/>
    <m/>
    <m/>
    <s v="Cardiobase Risk Score Module records this as a 2 digit value._x000a__x000a_AND HIH results hub.   The HIH approach needs wacor clarification on WHEN the result (assume linked to EFTP date?)_x000a__x000a_Cardiobase RiskScore for RPH ONLY._x000a__x000a_? Nick Lan&amp; Girish following up on data source.  Michael at RPH, no response from lady at FSH?"/>
    <m/>
    <x v="13"/>
    <m/>
    <s v="Cardiobase RiskScore"/>
    <m/>
    <s v="Cardiobase RiskScore"/>
    <m/>
    <m/>
    <m/>
    <m/>
    <m/>
    <m/>
    <m/>
    <m/>
    <x v="0"/>
    <m/>
    <m/>
    <x v="5"/>
    <m/>
    <s v="FC"/>
    <m/>
    <x v="1"/>
    <m/>
    <m/>
    <x v="1"/>
    <s v="RiskScore for RPH"/>
    <m/>
  </r>
  <r>
    <x v="25"/>
    <x v="25"/>
    <s v="Yes"/>
    <m/>
    <s v="Where LVEF test performed is coded 'yes', what was the estimated EF test result? Only answer digitally derived or estimated not both. The patient’s ejection fraction is the amount of blood emptied from the left ventricle at the end of contraction. EF is estimated where the test itself has not computed a digital EF percentage to express ventricular function. For Estimated EF, select ONE of the following:_x000a_1=Normal function (&gt;50%)_x000a_2= Mild dysfunction/impairment (45-49%)_x000a_3=Moderate dysfunction/impairment (35% -44%)_x000a_4=Severe dysfunction/impairment (&lt;35%)"/>
    <s v="If value entered into EF, disable EFES (cannot be both)Reject file if eftp=0 and efes has data_x000a_Reject file if ef has data &amp; efes has data_x000a_Reject file if eftp =1 and both efes and ef are NULL from the ncr tab: admission_preprocedural "/>
    <s v="N"/>
    <s v="_x000a__x000a_1=Normal function (&gt;50%)_x000a_2= Mild dysfunction/impairment (45-49%)_x000a_3=Moderate dysfunction/impairment (35% -44%)_x000a_4=Severe dysfunction/impairment (&lt;35%)"/>
    <s v="1"/>
    <s v="4"/>
    <m/>
    <m/>
    <s v=""/>
    <m/>
    <x v="14"/>
    <m/>
    <s v="Cardiobase RiskScore"/>
    <m/>
    <s v="Cardiobase RiskScore"/>
    <m/>
    <m/>
    <m/>
    <m/>
    <m/>
    <m/>
    <m/>
    <m/>
    <x v="0"/>
    <m/>
    <m/>
    <x v="0"/>
    <m/>
    <m/>
    <m/>
    <x v="2"/>
    <m/>
    <m/>
    <x v="0"/>
    <m/>
    <m/>
  </r>
  <r>
    <x v="26"/>
    <x v="26"/>
    <s v="Yes"/>
    <m/>
    <s v="An overall measure of kidney function, the glomerular filtration rate measures how well kidneys filter the wastes from the blood. It is calculated using age, wight (in kg) and ast pre-procedure creatinine."/>
    <s v="EGFR = (140 – AGE) x WKG x Constant / PCR (in umol/L)_x000a_[Constant = 1.23 for men and Constant=1.04 for women]Derived - no import on this field from the ncr tab: admission_preprocedural "/>
    <s v="NNN.NN"/>
    <s v="Numeric (3.2)"/>
    <s v=""/>
    <s v=""/>
    <m/>
    <m/>
    <s v="Field is available in the risk score module for cardiobase (egfr)_x000a__x000a_Cardiobase RiskScore for RPH ONLY"/>
    <m/>
    <x v="3"/>
    <m/>
    <s v="Cardiobase RiskScore"/>
    <m/>
    <s v="Cardiobase RiskScore"/>
    <m/>
    <m/>
    <m/>
    <m/>
    <m/>
    <m/>
    <m/>
    <m/>
    <x v="0"/>
    <m/>
    <m/>
    <x v="5"/>
    <m/>
    <m/>
    <m/>
    <x v="2"/>
    <m/>
    <m/>
    <x v="0"/>
    <s v="RiskScore for RPH"/>
    <m/>
  </r>
  <r>
    <x v="27"/>
    <x v="27"/>
    <s v="Yes"/>
    <m/>
    <s v="What was the hospital system calculated EGFR? Where a hospital system calculates an egfr this can be included here as per the hospital's definition."/>
    <s v="Nil required from the ncr tab: admission_preprocedural "/>
    <s v="NNN.NN"/>
    <s v="Numeric (3.2)"/>
    <s v="1.00"/>
    <s v="999.00"/>
    <m/>
    <m/>
    <s v="HIH Results Hub - needs clarification &amp; SME input (SMA)_x000a__x000a_Cardiobase RiskScore for RPH ONLY"/>
    <m/>
    <x v="4"/>
    <m/>
    <s v="Cardiobase RiskScore, HIH"/>
    <m/>
    <s v="Cardiobase RiskScore"/>
    <m/>
    <m/>
    <m/>
    <s v="HIH"/>
    <m/>
    <m/>
    <m/>
    <m/>
    <x v="0"/>
    <m/>
    <m/>
    <x v="5"/>
    <m/>
    <m/>
    <m/>
    <x v="2"/>
    <m/>
    <m/>
    <x v="0"/>
    <s v="RiskScore for RPH"/>
    <m/>
  </r>
  <r>
    <x v="28"/>
    <x v="28"/>
    <s v="Yes"/>
    <s v="Example : This describes if the hospital site has an Emergency Department, as defined in the WA Health Clinical Services Framework."/>
    <m/>
    <s v="from the NCR tab: site "/>
    <s v=""/>
    <s v=""/>
    <s v=""/>
    <s v=""/>
    <m/>
    <s v="This is part of each hospital's set up for the National Cardiac Registry.  "/>
    <s v="Only required once in the NCR set up for each hospital."/>
    <s v="None"/>
    <x v="1"/>
    <m/>
    <s v="Manual"/>
    <m/>
    <m/>
    <m/>
    <m/>
    <m/>
    <m/>
    <m/>
    <m/>
    <m/>
    <m/>
    <x v="0"/>
    <m/>
    <m/>
    <x v="2"/>
    <m/>
    <s v="BW"/>
    <m/>
    <x v="0"/>
    <m/>
    <m/>
    <x v="0"/>
    <m/>
    <m/>
  </r>
  <r>
    <x v="29"/>
    <x v="29"/>
    <s v="Yes"/>
    <m/>
    <s v="For STEMI patients was a LVEF test performed during the index admission or up to 30 days post-discharge, and for other patients was a LVEF test performed within 6 months prior or up to 30 days  post-discharge? For all patients (excluding STEMIs – see note below) indicate whether the patient’s ventricular ejection fraction (EF) was measured (or estimated) within 6 months prior to the current procedure up to four weeks post-discharge. This includes the period leading up to and including the cardiac catheter lab visit, after the lab visit and up to 30 days after the patient was discharged. If multiple test results are available during this period, select the test result closest to the date/time of the index PCI. _x000a_Note: For STEMI patients a LVEF test must have been recorded DURING the index admission or up to 30 days post-discharge for this item to be coded ‘yes’.  For these patients, where no LVEF test was performed DURING THE INDEX ADMISSION, code “no”."/>
    <s v="Reject file if NULL from the ncr tab: admission_preprocedural "/>
    <s v="N"/>
    <s v="0=No_x000a_1=Yes"/>
    <s v="0"/>
    <s v="1"/>
    <m/>
    <m/>
    <s v="The EF is recorded for some patients in the cardiobase risk score module.  _x000a__x000a_Two possible additional sources, explore syngo access, and HIH results hub.  eftp_derived_source"/>
    <m/>
    <x v="1"/>
    <m/>
    <s v="Cardiobase RiskScore"/>
    <m/>
    <s v="Cardiobase RiskScore"/>
    <m/>
    <m/>
    <m/>
    <m/>
    <m/>
    <m/>
    <m/>
    <m/>
    <x v="0"/>
    <m/>
    <m/>
    <x v="0"/>
    <m/>
    <m/>
    <m/>
    <x v="1"/>
    <m/>
    <m/>
    <x v="0"/>
    <m/>
    <m/>
  </r>
  <r>
    <x v="30"/>
    <x v="30"/>
    <s v="Yes"/>
    <m/>
    <s v=""/>
    <s v="from the NCR tab: site "/>
    <s v=""/>
    <s v=""/>
    <s v=""/>
    <s v=""/>
    <m/>
    <m/>
    <s v="wacor generated"/>
    <m/>
    <x v="1"/>
    <m/>
    <s v=""/>
    <m/>
    <m/>
    <m/>
    <m/>
    <m/>
    <m/>
    <m/>
    <m/>
    <m/>
    <m/>
    <x v="0"/>
    <m/>
    <m/>
    <x v="0"/>
    <m/>
    <m/>
    <m/>
    <x v="0"/>
    <m/>
    <m/>
    <x v="0"/>
    <m/>
    <m/>
  </r>
  <r>
    <x v="31"/>
    <x v="31"/>
    <s v="Yes"/>
    <m/>
    <s v="Where patient 'Type of ACS' coded as ‘STEMI’, was the patient transferred from another acute care facility?  Indicate if the patient was admitted to the PCI hospital following transfer from another acute care facility."/>
    <s v="Reject file if acst=3 and iht is NULL from the ncr tab: procedure "/>
    <s v="N"/>
    <s v="0=No _x000a_1=Yes"/>
    <s v="0"/>
    <s v="1"/>
    <m/>
    <m/>
    <s v="HMDS identified as 'source of referral' for admission (4) Acute Hospital .  A second field 'Admitted from' which identifies the referring site can be used.  _x000a__x000a_A further source, from Cardiobase's angioplasty module can be used.  _x000a__x000a_Dependent on accurately identifying ACST as STEMI"/>
    <m/>
    <x v="15"/>
    <m/>
    <s v="HMDC"/>
    <m/>
    <m/>
    <s v="HMDC"/>
    <m/>
    <m/>
    <m/>
    <m/>
    <m/>
    <m/>
    <m/>
    <x v="1"/>
    <m/>
    <m/>
    <x v="3"/>
    <m/>
    <s v="PL"/>
    <s v="wa_iht_hmdc"/>
    <x v="0"/>
    <m/>
    <m/>
    <x v="1"/>
    <s v="From HMDC, if source_of_referral_location is 4, acute hospital, wa_iht_hmdc is 1 else 0_x000a_If ACST = 3, take the value in wa_iht_hmdc else blank_x000a__x000a_Only columns with ACST = 3 are filled"/>
    <s v="Yes"/>
  </r>
  <r>
    <x v="32"/>
    <x v="32"/>
    <s v="Yes"/>
    <m/>
    <s v="Where item Acute coronary syndrome (ACS) was coded ‘yes’, on what date did the ACS symptoms start that prompted them to seek medical treatment? Where medical attention is defined as either at hospital or from a general practitioner._x000a_In the event of stuttering symptoms, ACS symptom onset is the date when symptoms became constant in quality or intensity.  Restrict coding to 7 days prior to current procedure._x000a_ACS symptoms may include: tightness, pressure, heaviness, fullness or squeezing in the chest which may spread to the neck and throat, jaw, shoulders, the back, upper abdomen, either or both arms and even into the wrists and hands, dyspnoea, nausea/vomiting, cold sweat or syncope. Seeking medical attention could include the person presenting to their GP who then refers them to hospital or the person presenting directly to hospital (via ambulance or own form of transport). If the person is already a patient at the hospital for another reason then the time recorded would be when they advised hospital staff of their symptoms."/>
    <s v="DSO must be ≤DOP AND &gt;[DOP-7 days]Reject file if dso is &lt; dop-7_x000a_Reject file if dso is &gt; dop_x000a_Reject file if acs=1 and dso is NULL from the ncr tab: procedure "/>
    <s v="DD/MM/YYYY"/>
    <s v=""/>
    <s v="[DOP]-7 days"/>
    <s v="DOP"/>
    <m/>
    <m/>
    <s v="Cardiobase or WACOR data collection tool."/>
    <m/>
    <x v="16"/>
    <m/>
    <s v="Cardiobase Angioplasty"/>
    <s v="Cardiobase Angioplasty"/>
    <m/>
    <m/>
    <m/>
    <m/>
    <m/>
    <m/>
    <m/>
    <m/>
    <m/>
    <x v="0"/>
    <m/>
    <m/>
    <x v="6"/>
    <m/>
    <m/>
    <m/>
    <x v="2"/>
    <m/>
    <m/>
    <x v="0"/>
    <m/>
    <m/>
  </r>
  <r>
    <x v="33"/>
    <x v="33"/>
    <s v="Yes"/>
    <m/>
    <s v="Where item Acute coronary syndrome (ACS) was coded ‘yes’, at what time did the ACS symptoms start that prompted them to seek medical treatment? The time at which a person experienced ACS symptoms that prompted them to seek medical attention (on the date outlined in 'Date of ACS symptom onset' in 24 hour clock (HH:MM) format._x000a__x000a_If the symptom onset time is not specified in the medical record, it may be recorded as 0700 for morning; 1200 for lunchtime; 1500 for afternoon; 1800 for dinnertime; 2200 for evening and 0300 if awakened from sleep"/>
    <s v="There must be data in tso OR ntso Reject file if acs=1 and tso AND ntso is NULL_x000a_Reject file if tso has data and ntso =1 from the ncr tab: procedure "/>
    <s v="HH:MM"/>
    <s v=""/>
    <s v=""/>
    <s v=""/>
    <m/>
    <m/>
    <s v="Cardiobase or WACOR data collection tool."/>
    <m/>
    <x v="16"/>
    <m/>
    <s v="Cardiobase Angioplasty"/>
    <s v="Cardiobase Angioplasty"/>
    <m/>
    <m/>
    <m/>
    <m/>
    <m/>
    <m/>
    <m/>
    <m/>
    <m/>
    <x v="0"/>
    <m/>
    <m/>
    <x v="6"/>
    <m/>
    <m/>
    <m/>
    <x v="2"/>
    <m/>
    <m/>
    <x v="0"/>
    <m/>
    <m/>
  </r>
  <r>
    <x v="34"/>
    <x v="34"/>
    <s v="Yes"/>
    <m/>
    <s v="Is the time of symptom onset not available? Where time of symptom onset is not available, specify here. Only applicable if time is missing."/>
    <s v="_x000a_Reject file if tso has data and ntso =1 from the ncr tab: procedure "/>
    <s v="N"/>
    <s v="_x000a_1=Yes"/>
    <s v=""/>
    <s v=""/>
    <m/>
    <m/>
    <s v="Cardiobase or WACOR data collection tool."/>
    <m/>
    <x v="2"/>
    <m/>
    <s v="Cardiobase Angioplasty"/>
    <s v="Cardiobase Angioplasty"/>
    <m/>
    <m/>
    <m/>
    <m/>
    <m/>
    <m/>
    <m/>
    <m/>
    <m/>
    <x v="0"/>
    <m/>
    <m/>
    <x v="0"/>
    <m/>
    <m/>
    <m/>
    <x v="2"/>
    <m/>
    <m/>
    <x v="0"/>
    <m/>
    <m/>
  </r>
  <r>
    <x v="35"/>
    <x v="35"/>
    <s v="Yes"/>
    <m/>
    <s v="Where patient 'Type of ACS' coded as ‘STEMI’, did the patient present to the hospital without an ambulance? Indicate if the patient presented to hospital by way of their own means e.g. not in an ambulance or other emergency vehicle."/>
    <s v="Reject file if acst=3 and spr is NULL from the ncr tab: procedure "/>
    <s v="N"/>
    <s v="0=No _x000a_1=Yes"/>
    <s v="0"/>
    <s v="1"/>
    <m/>
    <m/>
    <s v="Identifiable from the EDDC dataset and HMDS (from source of referral-location = home)"/>
    <m/>
    <x v="4"/>
    <m/>
    <s v="HMDC, EDDC"/>
    <m/>
    <m/>
    <s v="HMDC"/>
    <s v="EDDC"/>
    <m/>
    <m/>
    <m/>
    <m/>
    <m/>
    <m/>
    <x v="1"/>
    <m/>
    <m/>
    <x v="3"/>
    <m/>
    <s v="PL"/>
    <s v="wa_spr_hmdc,_x000a_wa_spr_eddc"/>
    <x v="0"/>
    <m/>
    <m/>
    <x v="0"/>
    <s v="From the Disease Register HMDC_SPR_x000a_https://github.com/AUS-DOH-Safety-and-Quality/Disease-Register_x000a_Merged EDDC and HMDC data to make wa_spr_merged_x000a__x000a_If ACST = 3 take the value in wa_spr_merged else blank_x000a__x000a_Only columns with ACST = 3 are filled"/>
    <s v="Yes"/>
  </r>
  <r>
    <x v="36"/>
    <x v="36"/>
    <s v="Yes"/>
    <m/>
    <s v="Where item Subsequent PCI was coded ‘yes’, was the subsequent PCI planned? Indicate whether the subsequent PCI was planned. _x000a_Note: A ‘planned in-hospital PCI’ is defined as a STAGED or scheduled elective PCI only.   For emergent PCI interventions that were not previously scheduled, code as ‘no’._x000a_Note: Any target vessel revascularisation of a successfully treated lesion should be coded as ‘unplanned’.  Subsequent revascularisations of a previous unsuccessfully treated lesion is situation dependant ."/>
    <s v="Reject file if ihpci=0 and ihpcip has data_x000a_Reject file if ihpci=1 and ihpcip is NULL from the ncr tab: post_procedural "/>
    <s v="N"/>
    <s v="0=No_x000a_1=Yes"/>
    <s v="0"/>
    <s v="1"/>
    <m/>
    <m/>
    <s v="HMDS elective vs non -elective._x000a__x000a_Cardiobase staged procedure flag, also see indication for PCI definition._x000a__x000a_Dependent on consistent use of Cardiobase/[PCI Indication] field and/or HMDS elective/non-elective_x000a__x000a_Low confidence in consistent use of PCI Indication field - examples for Staged Procedure (1, 2, 3)"/>
    <m/>
    <x v="17"/>
    <m/>
    <s v="Cardiobase Angioplasty, HMDC"/>
    <s v="Cardiobase Angioplasty"/>
    <m/>
    <s v="HMDC"/>
    <m/>
    <m/>
    <m/>
    <m/>
    <m/>
    <m/>
    <m/>
    <x v="0"/>
    <m/>
    <m/>
    <x v="3"/>
    <m/>
    <s v="PL"/>
    <s v="wa_IHPCIP_hmdc"/>
    <x v="2"/>
    <m/>
    <m/>
    <x v="0"/>
    <s v="From the Disease Register HMDC_PCI_x000a_https://github.com/AUS-DOH-Safety-and-Quality/Disease-Register_x000a__x000a_HMDC Admission status 3 or 4 Elective waitlist / not waitlist_x000a_"/>
    <s v="Yes"/>
  </r>
  <r>
    <x v="37"/>
    <x v="37"/>
    <s v="Yes"/>
    <m/>
    <s v="Where patient 'Type of ACS' coded as ‘STEMI’, Indicate if the PCI hospital was notified via electronic ECG transmission (or equivalent) from a paramedic field triage service prior to their arrival at the PCI hospital.   Indicate if the PCI hospital was notified via electronic ECG transmission (or equivalent) from a paramedic field triage service prior to their arrival at the PCI hospital"/>
    <s v="Reject file if acst=3 and phn is NULL from the ncr tab: procedure "/>
    <s v="N"/>
    <s v="0=No _x000a_1=Yes"/>
    <s v="0"/>
    <s v="1"/>
    <m/>
    <m/>
    <s v="Cardiobase (identified) or WACOR data collection tool.  _x000a__x000a_Cardiobase field maps exactly to NCR variable (0 no, 1  Yes)_x000a__x000a_No SJA data yet, needs follow up with SJA to request data or DOH contract team."/>
    <m/>
    <x v="15"/>
    <m/>
    <s v="Cardiobase Angioplasty"/>
    <s v="Cardiobase Angioplasty"/>
    <m/>
    <m/>
    <m/>
    <m/>
    <m/>
    <m/>
    <m/>
    <m/>
    <m/>
    <x v="3"/>
    <m/>
    <m/>
    <x v="0"/>
    <m/>
    <m/>
    <m/>
    <x v="2"/>
    <m/>
    <m/>
    <x v="0"/>
    <m/>
    <m/>
  </r>
  <r>
    <x v="38"/>
    <x v="38"/>
    <s v="Yes"/>
    <m/>
    <s v=" -"/>
    <s v="If [TBD=&lt;TOP] then DBD=DOP + [1 day]_x000a_If [TBD&gt;TOP] then DBD=DOP  from the ncr tab: procedure "/>
    <s v="DD/MM/YYYY"/>
    <s v=""/>
    <s v=""/>
    <s v=""/>
    <m/>
    <m/>
    <s v="Cardiobase.[TIME_FIRST_BALLOON_INFLATION_DT] (RPH/FSH only). Derived for SCGH. Not required for export to NCR (derived variable)"/>
    <m/>
    <x v="3"/>
    <m/>
    <s v="Cardiobase Angioplasty"/>
    <s v="Cardiobase Angioplasty"/>
    <m/>
    <m/>
    <m/>
    <m/>
    <m/>
    <m/>
    <m/>
    <m/>
    <m/>
    <x v="1"/>
    <m/>
    <m/>
    <x v="2"/>
    <d v="2022-07-22T00:00:00"/>
    <s v="BW"/>
    <m/>
    <x v="0"/>
    <m/>
    <m/>
    <x v="1"/>
    <m/>
    <m/>
  </r>
  <r>
    <x v="39"/>
    <x v="39"/>
    <s v="Yes"/>
    <m/>
    <s v="Where patient 'Type of ACS' coded as ‘STEMI’, at what time was the first device used? Indicate the time the first device was used to treat the target lesion. Examples of the first device used include, but are not limited to: balloon; thrombectomy device; atherectomy device or stent.  If the lesion cannot be crossed by the guidewire or device, use the time that the guide catheter was introduced._x000a_Note: This is a process measure, not a clinical outcomes measure and, as such, is not related to the timing of or whether TIMI 3 flow was/was not restored."/>
    <s v="24 hour clock format only Reject file if acst=3 and tbd is NULL  from the ncr tab: procedure "/>
    <s v="N"/>
    <s v=""/>
    <s v="00:00"/>
    <s v="23:59"/>
    <m/>
    <m/>
    <s v="Cardiobase.[TIME_FIRST_BALLOON_INFLATION_DT]"/>
    <m/>
    <x v="15"/>
    <m/>
    <s v="Cardiobase Angioplasty"/>
    <s v="Cardiobase Angioplasty"/>
    <m/>
    <m/>
    <m/>
    <m/>
    <m/>
    <m/>
    <m/>
    <m/>
    <m/>
    <x v="1"/>
    <m/>
    <m/>
    <x v="2"/>
    <d v="2022-07-22T00:00:00"/>
    <s v="BW"/>
    <m/>
    <x v="0"/>
    <m/>
    <m/>
    <x v="1"/>
    <m/>
    <m/>
  </r>
  <r>
    <x v="40"/>
    <x v="40"/>
    <s v="Yes"/>
    <m/>
    <s v=" -"/>
    <s v="sor = [tbd-tso] + [dbd-dso]  (expressed in minutes) from the ncr tab: procedure "/>
    <s v=""/>
    <s v=""/>
    <s v=""/>
    <s v=""/>
    <m/>
    <m/>
    <s v="Business rules"/>
    <m/>
    <x v="3"/>
    <m/>
    <s v="Derived"/>
    <m/>
    <m/>
    <m/>
    <m/>
    <m/>
    <m/>
    <s v="Derived"/>
    <m/>
    <m/>
    <m/>
    <x v="0"/>
    <m/>
    <m/>
    <x v="0"/>
    <m/>
    <m/>
    <m/>
    <x v="2"/>
    <m/>
    <m/>
    <x v="0"/>
    <m/>
    <m/>
  </r>
  <r>
    <x v="41"/>
    <x v="41"/>
    <s v="Yes"/>
    <m/>
    <s v=" -"/>
    <s v="Displayed in minutesDBDT = [TBD-TOA] + [DBD-DOA]  (expressed in minutes) from the ncr tab: procedure "/>
    <s v="MM (mins)"/>
    <s v="Numeric"/>
    <s v=""/>
    <s v=""/>
    <m/>
    <m/>
    <s v="Business rules_x000a_BW - this is a derived field for NCR (not populated by WACOR) and may different to local use"/>
    <m/>
    <x v="3"/>
    <m/>
    <s v="Derived"/>
    <m/>
    <m/>
    <m/>
    <m/>
    <m/>
    <m/>
    <s v="Derived"/>
    <m/>
    <m/>
    <m/>
    <x v="0"/>
    <m/>
    <m/>
    <x v="0"/>
    <m/>
    <m/>
    <m/>
    <x v="2"/>
    <m/>
    <m/>
    <x v="0"/>
    <m/>
    <m/>
  </r>
  <r>
    <x v="42"/>
    <x v="42"/>
    <s v="Yes"/>
    <m/>
    <s v=""/>
    <s v=" from the ncr tab: site "/>
    <s v=""/>
    <s v=""/>
    <s v=""/>
    <s v=""/>
    <m/>
    <m/>
    <m/>
    <m/>
    <x v="1"/>
    <m/>
    <s v=""/>
    <m/>
    <m/>
    <m/>
    <m/>
    <m/>
    <m/>
    <m/>
    <m/>
    <m/>
    <m/>
    <x v="1"/>
    <n v="493975"/>
    <m/>
    <x v="2"/>
    <d v="2022-07-22T00:00:00"/>
    <m/>
    <m/>
    <x v="0"/>
    <m/>
    <m/>
    <x v="0"/>
    <m/>
    <m/>
  </r>
  <r>
    <x v="43"/>
    <x v="43"/>
    <s v="Yes"/>
    <m/>
    <s v="Where patient 'Type of ACS' coded as ‘STEMI’, what was the date of First Medical Contact? Indicate the date on which the patient first received medical attention (either by ambulance arriving, attendance at hospital or from a general practitioner) for their ACS symptoms. _x000a__x000a_Note: Seeking medical attention could include the person presenting to their GP who then refers them to hospital or the person presenting directly to hospital, or the arrival of the ambulance service. If the person is already a patient at the hospital for another reason then the date recorded would be when they advised hospital staff of their symptoms."/>
    <s v="Reject file if acst = 3 and dfmc is  NULL_x000a_Reject file if dfmc&gt;dop_x000a_Reject file if dfmc&gt;dso+7_x000a_Reject file if dfmc&lt;dso_x000a_Reject file if dfmc&gt;decgd from the ncr tab: procedure "/>
    <s v="DD/MM/YYYY"/>
    <s v=""/>
    <s v=""/>
    <s v=""/>
    <m/>
    <m/>
    <s v="Multiple sources: EDIS presenting complaint, NACS may indicate where (not necessarily a date).  SJA? If none of the prior options, potentially in future from patient data collection tool "/>
    <m/>
    <x v="15"/>
    <m/>
    <s v="EDDC"/>
    <m/>
    <m/>
    <m/>
    <s v="EDDC"/>
    <m/>
    <m/>
    <m/>
    <m/>
    <m/>
    <m/>
    <x v="0"/>
    <m/>
    <m/>
    <x v="0"/>
    <m/>
    <m/>
    <m/>
    <x v="2"/>
    <m/>
    <m/>
    <x v="0"/>
    <m/>
    <m/>
  </r>
  <r>
    <x v="44"/>
    <x v="44"/>
    <s v="Yes"/>
    <m/>
    <s v="Where 'Type of ACS' coded as ‘STEMI’, what was the time of First Medical Contact? Indicate the time at which the patient first received medical attention (either by ambulance arriving, attendance at hospital or from a general practitioner) for their ACS symptoms._x000a__x000a_Note: Seeking medical attention could include the person presenting to their GP who then refers them to hospital or the person presenting directly to hospital, or the arrival of the ambulance service. If the person is already a patient at the hospital for another reason then the time recorded would be when they advised hospital staff of their symptoms."/>
    <s v="Reject file if acst = 3 and tfmc is  NULL_x000a_Reject file when tfmc&gt;tbd and dfmc=dop_x000a_Reject file when tfmc&lt;tso and dfmc=dso from the ncr tab: procedure "/>
    <s v="HH:MM"/>
    <s v=""/>
    <s v=""/>
    <s v=""/>
    <m/>
    <m/>
    <s v="Multiple sources: EDIS presenting complaint, NACS may indicate where (not necessarily a date).  SJA? If none of the prior options, potentially in future from patient data collection tool "/>
    <m/>
    <x v="15"/>
    <m/>
    <s v="EDDC"/>
    <m/>
    <m/>
    <m/>
    <s v="EDDC"/>
    <m/>
    <m/>
    <m/>
    <m/>
    <m/>
    <m/>
    <x v="0"/>
    <m/>
    <m/>
    <x v="0"/>
    <m/>
    <m/>
    <m/>
    <x v="2"/>
    <m/>
    <m/>
    <x v="0"/>
    <m/>
    <m/>
  </r>
  <r>
    <x v="45"/>
    <x v="45"/>
    <s v="Yes"/>
    <m/>
    <s v=" -"/>
    <s v="SOFMC= [tfmc-tso] + [dfmc-dso]Derived variable from the ncr tab: procedure "/>
    <s v=""/>
    <s v=""/>
    <s v=""/>
    <s v=""/>
    <m/>
    <m/>
    <s v="Business Rule."/>
    <m/>
    <x v="3"/>
    <m/>
    <s v="Derived"/>
    <m/>
    <m/>
    <m/>
    <m/>
    <m/>
    <m/>
    <s v="Derived"/>
    <m/>
    <m/>
    <m/>
    <x v="0"/>
    <m/>
    <m/>
    <x v="0"/>
    <m/>
    <m/>
    <m/>
    <x v="2"/>
    <m/>
    <m/>
    <x v="0"/>
    <m/>
    <m/>
  </r>
  <r>
    <x v="46"/>
    <x v="46"/>
    <s v="Yes"/>
    <m/>
    <s v=" -"/>
    <s v="FMCTR= [tbd-tfmc] + [dbd-dfmc]Derived variable from the ncr tab: procedure "/>
    <s v="MM (mins)"/>
    <s v=""/>
    <s v=""/>
    <s v=""/>
    <m/>
    <m/>
    <s v="Business Rule."/>
    <m/>
    <x v="3"/>
    <m/>
    <s v="Derived"/>
    <m/>
    <m/>
    <m/>
    <m/>
    <m/>
    <m/>
    <s v="Derived"/>
    <m/>
    <m/>
    <m/>
    <x v="0"/>
    <m/>
    <m/>
    <x v="0"/>
    <m/>
    <m/>
    <m/>
    <x v="2"/>
    <m/>
    <m/>
    <x v="0"/>
    <m/>
    <m/>
  </r>
  <r>
    <x v="47"/>
    <x v="47"/>
    <s v="Yes"/>
    <m/>
    <s v=" -"/>
    <s v="FMCTD= [toa-tfmc] + [doa-dfmc]Derived variable from the ncr tab: procedure "/>
    <s v=""/>
    <s v=""/>
    <s v=""/>
    <s v=""/>
    <m/>
    <m/>
    <s v="Business Rule."/>
    <m/>
    <x v="3"/>
    <m/>
    <s v="Derived"/>
    <m/>
    <m/>
    <m/>
    <m/>
    <m/>
    <m/>
    <s v="Derived"/>
    <m/>
    <m/>
    <m/>
    <x v="0"/>
    <m/>
    <m/>
    <x v="0"/>
    <m/>
    <m/>
    <m/>
    <x v="2"/>
    <m/>
    <m/>
    <x v="0"/>
    <m/>
    <m/>
  </r>
  <r>
    <x v="48"/>
    <x v="48"/>
    <s v="Yes"/>
    <m/>
    <s v="Where 'Type of ACS' coded as ‘STEMI’, what was the date of diagnostic ECG? Indicate the date of the diagnostic electrocardiogram (ECG). The ECG recorded that shows evidence of ECG abnormalities consistent with a STEMI or suspected STEMI event._x000a_Note: The diagnostic ECG may have been before admission to this hospital."/>
    <s v="_x000a_Reject file if acst = 3 and decgd is  NULL from the ncr tab: procedure "/>
    <s v="DD/MM/YYYY"/>
    <s v=""/>
    <s v=""/>
    <s v=""/>
    <m/>
    <m/>
    <s v="Cardiobase (and or other systems).  _x000a__x000a_SJA dataset may contain._x000a__x000a_HIH Discharge? Unlikely to include date."/>
    <m/>
    <x v="15"/>
    <m/>
    <s v="Cardiobase Angioplasty"/>
    <s v="Cardiobase Angioplasty"/>
    <m/>
    <m/>
    <m/>
    <m/>
    <m/>
    <m/>
    <m/>
    <m/>
    <m/>
    <x v="1"/>
    <m/>
    <m/>
    <x v="2"/>
    <d v="2022-07-22T00:00:00"/>
    <s v="FC"/>
    <m/>
    <x v="0"/>
    <m/>
    <m/>
    <x v="1"/>
    <m/>
    <m/>
  </r>
  <r>
    <x v="49"/>
    <x v="49"/>
    <s v="Yes"/>
    <m/>
    <s v="Where 'Type of ACS' coded as ‘STEMI’, what was the time of diagnostic ECG? Indicate the time of the diagnostic electrocardiogram (ECG). The ECG recorded that shows evidence of ECG abnormalities consistent with a STEMI or suspected STEMI event._x000a_Note: The diagnostic ECG may have been before admission to this hospital."/>
    <s v="Reject file if acst = 3 and tecgd is  NULL_x000a_Reject file when tecgd&gt;tbd and decgd=dop from the ncr tab: procedure "/>
    <s v="HH:MM"/>
    <s v=""/>
    <s v=""/>
    <s v=""/>
    <m/>
    <m/>
    <s v="WACOR DD needs to define which one (i.e. the one prior to PCI).   _x000a__x000a_Cardiobase (and or other systems).  HIH Discharge? Unlikely to include time."/>
    <m/>
    <x v="15"/>
    <m/>
    <s v="Cardiobase Angioplasty"/>
    <s v="Cardiobase Angioplasty"/>
    <m/>
    <m/>
    <m/>
    <m/>
    <m/>
    <m/>
    <m/>
    <m/>
    <m/>
    <x v="1"/>
    <m/>
    <m/>
    <x v="2"/>
    <d v="2022-07-22T00:00:00"/>
    <s v="FC"/>
    <m/>
    <x v="0"/>
    <m/>
    <m/>
    <x v="1"/>
    <m/>
    <m/>
  </r>
  <r>
    <x v="50"/>
    <x v="50"/>
    <s v="Yes"/>
    <m/>
    <s v=" -"/>
    <s v="FMCTECG= [tecgd-tfmc] + [decgd-dfmc]  (expressed in minutes)Derived variable from the ncr tab: procedure "/>
    <s v="MM (mins)"/>
    <s v=""/>
    <s v=""/>
    <s v=""/>
    <m/>
    <m/>
    <s v="Business Rules"/>
    <m/>
    <x v="3"/>
    <m/>
    <s v="Derived"/>
    <m/>
    <m/>
    <m/>
    <m/>
    <m/>
    <m/>
    <s v="Derived"/>
    <m/>
    <m/>
    <m/>
    <x v="0"/>
    <m/>
    <m/>
    <x v="0"/>
    <m/>
    <m/>
    <m/>
    <x v="2"/>
    <m/>
    <m/>
    <x v="0"/>
    <m/>
    <m/>
  </r>
  <r>
    <x v="51"/>
    <x v="51"/>
    <s v="Yes"/>
    <m/>
    <s v=" -"/>
    <s v="ecgdb = [tecgd-TBD] + [decgd-DBD]  (expressed in minutes)Derived variable from the ncr tab: procedure "/>
    <s v="MM (mins)"/>
    <s v="Numeric"/>
    <s v=""/>
    <s v=""/>
    <m/>
    <m/>
    <s v="Business Rules"/>
    <m/>
    <x v="3"/>
    <m/>
    <s v="Derived"/>
    <m/>
    <m/>
    <m/>
    <m/>
    <m/>
    <m/>
    <s v="Derived"/>
    <m/>
    <m/>
    <m/>
    <x v="0"/>
    <m/>
    <m/>
    <x v="0"/>
    <m/>
    <m/>
    <m/>
    <x v="0"/>
    <m/>
    <m/>
    <x v="1"/>
    <m/>
    <m/>
  </r>
  <r>
    <x v="52"/>
    <x v="52"/>
    <s v="Yes"/>
    <m/>
    <s v="How tall is the patient in cm? Height in centimetres in bare or stockinged feet.  Note: Can be self-reported, estimated or measured."/>
    <s v="from the ncr tab: admission_preprocedural"/>
    <s v="NNN"/>
    <s v="Numeric (3)"/>
    <s v=""/>
    <s v=""/>
    <m/>
    <m/>
    <s v="METEOR ref will require refinement for WA PCI Dataset."/>
    <m/>
    <x v="1"/>
    <m/>
    <s v="Cardiobase RiskScore"/>
    <m/>
    <s v="Cardiobase RiskScore"/>
    <m/>
    <m/>
    <m/>
    <m/>
    <m/>
    <m/>
    <m/>
    <m/>
    <x v="1"/>
    <n v="270361"/>
    <m/>
    <x v="2"/>
    <d v="2022-07-22T00:00:00"/>
    <m/>
    <m/>
    <x v="0"/>
    <m/>
    <m/>
    <x v="0"/>
    <m/>
    <m/>
  </r>
  <r>
    <x v="53"/>
    <x v="53"/>
    <s v="Yes"/>
    <m/>
    <s v="Did the bleeding occur during the admission? Indicate if the patient experienced a NEW bleeding event either during this cardiac catheter lab visit, after this lab visit but prior to any subsequent lab visits and prior to discharge._x000a__x000a_BARC:_x000a_Type 0 - No bleeding_x000a_Type 1 - Bleeding that is not actionable and does not cause the patient to seek treatment_x000a_Type 2 - Any clinically overt sign of haemorrhage that “is actionable” and requires diagnostic studies, hospitalization, or treatment by a health care professional_x000a_Type 3 - _x000a_  a.       Overt bleeding plus haemoglobin drop of 3 to &lt; 5 g/dL (provided haemoglobin drop is related to bleed); transfusion with overt bleeding_x000a_  b.      Overt bleeding plus haemoglobin drop &lt; 5 g/dL (provided haemoglobin drop is related to bleed); cardiac tamponade; bleeding requiring surgical intervention for control; bleeding requiring IV vasoactive agents_x000a_  c.       Intracranial haemorrhage confirmed by autopsy, imaging, or lumbar puncture; intraocular bleed compromising vision_x000a_Type 4 - CABG-related bleeding within 48 hours_x000a_Type 5 - _x000a_  a.     Probable fatal bleeding_x000a_  b.     Definite fatal bleeding (overt or autopsy or imaging confirmation)"/>
    <s v="Reject file if NULL_x000a_Reject file if ihbl=6 and ihcab=0_x000a_Reject file if ihbl&gt;6 and dis&lt;6 from the ncr tab: post_procedural "/>
    <s v="N"/>
    <s v="0= Type 0_x000a_1= Type 1_x000a_2=Type 2_x000a_3=Type 3a_x000a_4=Type 3b_x000a_5=Type 3c_x000a_6=Type 4_x000a_7=Type 5a_x000a_8=Type 5b"/>
    <s v="0"/>
    <s v="8"/>
    <m/>
    <m/>
    <s v="HMDS ICD L76. 22  can identify post operative bleeding but not with this level of refinement (i.e. blood loss). Type 4 identifiable._x000a__x000a_Whilst the NCR submission criteria states that this will be rejected if null, our 2021 data was accepted with no values (i.e. null)_x000a__x000a_Bloods dataset may be available from OCMO (Brad Webster is a contact)."/>
    <m/>
    <x v="1"/>
    <m/>
    <s v="HMDC"/>
    <m/>
    <m/>
    <s v="HMDC"/>
    <m/>
    <m/>
    <m/>
    <m/>
    <m/>
    <m/>
    <m/>
    <x v="0"/>
    <m/>
    <m/>
    <x v="6"/>
    <m/>
    <s v="BW/EK"/>
    <m/>
    <x v="1"/>
    <m/>
    <m/>
    <x v="1"/>
    <m/>
    <m/>
  </r>
  <r>
    <x v="54"/>
    <x v="54"/>
    <s v="Yes"/>
    <m/>
    <s v="Did the patient undergo or was transferred for cardiothoracic surgery prior to discharge? Indicate if the patient underwent or was transferred for cardiothoracic surgery (whether or not this actually involved the placing of bypass grafts) either during the cardiac catheter lab visit, after the lab visit, but prior to discharge and/or any subsequent lab visits.    Note: The surgery should be cardiothoracic (i.e. not related to peripheral vascular complications). The surgical indication may have been, but are not exclusive to: _x000a_-Prompted/indicated by a need to correct an emergency complication of the index PCI (e.g. abrupt vessel closure, cardiac vessel perforation, dissection of a thoracic great vessel, etc.); OR  _x000a_-CABG to revascularise the target vessel treated during the index PCI; either during or after the catheter lab visit, but prior to discharge and/or any subsequent lab visits; OR _x000a_-For a patient who underwent a successful PCI (e.g. for an ACS) but required a CABG for anatomical or pre-existing CAD indications (e.g. left-main disease, triple-vessel disease, etc.)._x000a_Note:  If the patient was transferred from the index hospital to a tertiary facility for cardiothoracic surgery as part of ongoing treatment related to the index PCI (e.g. emergency CABG) then code as ‘yes’."/>
    <s v="Reject file if NULL from the ncr tab: post_procedural "/>
    <s v=""/>
    <s v="0=No_x000a_1=Yes"/>
    <s v="0"/>
    <s v="1"/>
    <m/>
    <m/>
    <s v="Surgical intervention data can be derived from a) HMDS for the date or procedure (but lacks time).  This example will not capture all cases.  B) Theatre Management System (requires new data access request) to capture - will capture date and time and allow same-day PCI &amp; CABG to be identified.  _x000a__x000a_Other surgical procedures require ICD code list to be clarified._x000a__x000a_This is recorded on the post-procedural tab in NCR, and therefore considered part of the same hospital stay. _x000a__x000a_WA definition should clarify that the NCR's inaccurate 'prior to discharge' definition - as this is confusing. Suggest splitting into two data elements (a) was the patient transferred for cardiac surgery and (b) did the patient undergo cardiac surgery? (Needs consultation on wording and branching logic for disambiguation)."/>
    <m/>
    <x v="1"/>
    <m/>
    <s v="HMDC"/>
    <m/>
    <m/>
    <s v="HMDC"/>
    <m/>
    <m/>
    <m/>
    <m/>
    <m/>
    <m/>
    <m/>
    <x v="0"/>
    <m/>
    <m/>
    <x v="6"/>
    <m/>
    <m/>
    <m/>
    <x v="1"/>
    <m/>
    <m/>
    <x v="0"/>
    <m/>
    <m/>
  </r>
  <r>
    <x v="55"/>
    <x v="55"/>
    <s v="Yes"/>
    <m/>
    <s v="Did the patient experience a myocardial infarction while an in-patient? Indicate whether the patient experienced the NEW presence of myocardial infarction (MI) either during the index cardiac catheter lab visit, after the lab visit or any subsequent lab visits, but prior to discharge. _x000a__x000a_There may be some minor variation in the way participating registries define this item._x000a_Supporting definition:_x000a_The in-hospital, PCI-related MI MUST be a distinct clinical event that can be identified as a separate event to the index PCI. As such, the in-hospital NEW or recurrent MI will differ among patients presenting with normal cardiac biomarker levels and those patients whose pre-procedure baseline biomarker levels are elevated._x000a__x000a_1. Patients with NORMAL baseline biomarker levels, the NEW or recurrent MI MUST include:_x000a_- Elevated biomarkers* &gt;5 the upper limit of normal (ULN) ≤48 hours of index PCI_x000a_AND AT LEAST ONE of the following: _x000a_- Evolutionary ST segment elevation (≥0.1mV) distinct from the index event_x000a_- Development of new Q-waves (≥40ms duration) in 2 or more contiguous ECG leads _x000a_- Ischaemic symptoms (with or without chest discomfort) lasting ≥20mins_x000a_- Angiographic evidence flow limiting complications (embolism, persistent slow-flow or no re-flow, etc.)_x000a_- Imaging evidence of new loss of myocardium or new regional wall flow abnormality_x000a_Note: CABG-related peri-procedural MI (within 48 hours of CABG) requires CK-MB  ≥10x ULN._x000a__x000a_2.Patients with ELEVATED baseline cardiac biomarker levels._x000a_If cardiac biomarker levels are still rising (have not peaked) at the time of the index PCI procedure, an in-hospital NEW or recurrent MI CANNOT be diagnosed. For patients whose elevated cardiac biomarker level HAVE PEAKED (no longer rising) by the current PCI procedure time, the in-hospital MI MUST  include: _x000a_- A NEW elevation of biomarkers ≥20% from the pre-procedural cardiac biomarker levels _x000a_AND AT LEAST ONE of the following: _x000a_- Evolutionary ST segment elevation (≥0.1mV) distinct from the index event; _x000a_- Development of new Q-waves (≥40ms duration) in 2 or more contiguous ECG leads;_x000a_- Ischaemic symptoms (with or without chest discomfort) lasting &gt;20mins; _x000a_- Angiographic evidence flow limiting complications (embolism, persistent slow-flow or no re-flow, etc.)._x000a_- Imaging evidence of new loss of myocardium or new regional wall flow abnormality. _x000a_Note: CABG-related peri-procedural MI (within 48 hours of CABG) requires CK-MB  ≥10x ULN._x000a__x000a_* Troponin (T or I) is the preferred cardiac biomarker for defining the presence of MI. In the absence of Troponin, CK-MB is the best alternative (but total CK can be used, where CK-MB and Troponin are both unavailable)."/>
    <s v="Reject file if NULL from the ncr tab: post_procedural "/>
    <s v=""/>
    <s v="0=No_x000a_1=Yes"/>
    <s v="0"/>
    <s v="1"/>
    <m/>
    <m/>
    <s v="HMDS for myocardial infarction (with condition onset flag = 1).  Condition onset flag indicates that the MI took place after admission._x000a__x000a_Needs further investigation."/>
    <m/>
    <x v="1"/>
    <m/>
    <s v="HMDC"/>
    <m/>
    <m/>
    <s v="HMDC"/>
    <m/>
    <m/>
    <m/>
    <m/>
    <m/>
    <m/>
    <m/>
    <x v="2"/>
    <m/>
    <m/>
    <x v="0"/>
    <m/>
    <m/>
    <m/>
    <x v="1"/>
    <m/>
    <m/>
    <x v="0"/>
    <m/>
    <m/>
  </r>
  <r>
    <x v="56"/>
    <x v="56"/>
    <s v="Yes"/>
    <m/>
    <s v="Did the patient undergo a subsequent PCI during the same admission? Indicate if the patient underwent a subsequent PCI (distinct from the index PCI) after the cardiac catheter lab visit, but prior to discharge. _x000a_Note: This includes emergent PCI revascularisations and/or planned, staged PCI visits to the cardiac catheter lab during the index admission, but prior to discharge."/>
    <s v="Reject file if NULL from the ncr tab: post_procedural "/>
    <s v="N"/>
    <s v="0=No_x000a_1=Yes"/>
    <s v="0"/>
    <s v="1"/>
    <m/>
    <m/>
    <s v="This can be derived from the dataset using the Cardiobase date &amp; time of procedure within the admission.  Developing this measure will require an sequenced index of PCIs within each admission.   Note an be identified through multiple file numbers with a single admission date.  Agree best way forward is to index each separate file number (note file numbers are sequential)._x000a__x000a_Dependent on accurate identification of discharge / separation"/>
    <m/>
    <x v="1"/>
    <m/>
    <s v="Cardiobase Angioplasty, HMDC, Derived"/>
    <s v="Cardiobase Angioplasty"/>
    <m/>
    <s v="HMDC"/>
    <m/>
    <m/>
    <m/>
    <s v="Derived"/>
    <m/>
    <m/>
    <m/>
    <x v="0"/>
    <m/>
    <m/>
    <x v="7"/>
    <m/>
    <s v="PL"/>
    <s v="wa_IHPCI_hmdc"/>
    <x v="0"/>
    <m/>
    <m/>
    <x v="0"/>
    <s v="From the Disease Register HMDC_PCI_x000a_https://github.com/AUS-DOH-Safety-and-Quality/Disease-Register"/>
    <m/>
  </r>
  <r>
    <x v="57"/>
    <x v="57"/>
    <s v="Yes"/>
    <m/>
    <s v="Did a stent thrombosis occur during the admission? Indicate whether a stent thrombosis occurred during hospitalisation, after the index PCI lab visit, but prior to discharge and/or any subsequent lab visits.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_x000a_Select ONE of the following options that apply:_x000a_-No stent thrombosis: Where there are no acute coronary syndrome (ACS) symptoms or death after the index PCI lab visit and/or prior to discharge OR ACS symptoms occur during the defined period, but angiographic evidence does not indicate thrombus or occlusion._x000a_-Definite stent thrombosis: The presence of an ACS with angiographic or autopsy evidence of thrombus or occlusion._x000a_-Probable stent thrombosis: Includes unexplained deaths during the index admission after the procedure or acute myocardial infarction involving the target-vessel territory without angiographic or autopsy confirmation._x000a_-Silent stent thrombosis: The incidental angiographic documentation of stent occlusion in the absence of clinical_x000a_signs or symptoms is not considered stent thrombosis."/>
    <s v="Reject file if NULL from the ncr tab: post_procedural "/>
    <s v=""/>
    <s v="0=No stent thrombosis_x000a_1=Definite stent thrombosis_x000a_2=Probable stent thrombosis_x000a_3=Silent stent thrombosis"/>
    <s v="0"/>
    <s v="3"/>
    <m/>
    <m/>
    <s v="HMDS : ICD T82.867A identifies stent thrombosis (but does not specify the lesion site)._x000a__x000a_Cardiobase completion may be low. "/>
    <m/>
    <x v="1"/>
    <m/>
    <s v="Cardiobase Angioplasty, HMDC"/>
    <s v="Cardiobase Angioplasty"/>
    <m/>
    <s v="HMDC"/>
    <m/>
    <m/>
    <m/>
    <m/>
    <m/>
    <m/>
    <m/>
    <x v="0"/>
    <m/>
    <m/>
    <x v="4"/>
    <m/>
    <s v="BW"/>
    <m/>
    <x v="1"/>
    <m/>
    <m/>
    <x v="1"/>
    <m/>
    <m/>
  </r>
  <r>
    <x v="58"/>
    <x v="58"/>
    <s v="Yes"/>
    <m/>
    <s v="Did the patient experience a stroke while an in-patient? Indicate if the patient experienced a stroke or new central neurologic deficit (persisting for &gt; 72 hours) during the cardiac catheter lab visit, after the lab visit, but prior to discharge and/or any subsequent lab visits. _x000a_Note: Stroke is evidenced by persistent loss of neurological function caused by an ischaemic or haemorrhagic event."/>
    <s v="Reject file if NULL from the ncr tab: post_procedural "/>
    <s v="N"/>
    <s v="0=No_x000a_1=Yes"/>
    <s v="0"/>
    <s v="1"/>
    <m/>
    <m/>
    <s v="This data could be sourced from :_x000a__x000a_The Stroke Registry (would require custodian approval)._x000a__x000a_The HMDS data for the separation (subject to the time window constraints, i.e. separation end date &amp; end time being within the period)._x000a__x000a_Relevant ICD codes to define Stroke are:_x000a_- Ischaemic stroke is I63.0, I63.1, I63.2, I63.3, I63.4, I63.5, I63.6, I63.8, I63.9_x000a_- Haemorrhagic Stroke is I61.0, I61.1, I61.2, I61.2, I61.3, I61.4, I61.5, I61.6, I61.8, I61.9, I62.9_x000a_- Unknown stroke is I64_x000a__x000a_Notable exclusions are G45 for Transient ischaemic attack, I62.0 and I62.1 for nontraumatic subdural/extradural haemorrhage, S06.5 and S06.6 for traumatic subdural/subarachnoid haemorrhage._x000a__x000a_Use the Disease Register table &quot;HMDC_IH_STROKE&quot;, match by EVENT_ID and pull out the &quot;C_IN_HOSPITAL_STROKE&quot; column."/>
    <m/>
    <x v="1"/>
    <m/>
    <s v="HMDC"/>
    <m/>
    <m/>
    <s v="HMDC"/>
    <m/>
    <m/>
    <m/>
    <m/>
    <m/>
    <m/>
    <m/>
    <x v="1"/>
    <m/>
    <m/>
    <x v="1"/>
    <m/>
    <s v="PL"/>
    <m/>
    <x v="0"/>
    <m/>
    <m/>
    <x v="1"/>
    <m/>
    <m/>
  </r>
  <r>
    <x v="59"/>
    <x v="59"/>
    <s v="Yes"/>
    <m/>
    <s v=""/>
    <s v="Reject file if inds is NULL from the ncr tab: patient "/>
    <s v=""/>
    <s v="0=Neither_x000a_1=Aboriginal_x000a_2=Torres Strait Islander_x000a_3=Both Aboriginal and Torres Strait Islander_x000a_-1=Unknown"/>
    <s v="-1"/>
    <s v="3"/>
    <m/>
    <m/>
    <s v="hmds (mapped already in business rules). _x000a_METEOR ref will require refinement for WACOR."/>
    <m/>
    <x v="1"/>
    <m/>
    <s v="HMDC"/>
    <m/>
    <m/>
    <s v="HMDC"/>
    <m/>
    <m/>
    <m/>
    <m/>
    <m/>
    <m/>
    <m/>
    <x v="1"/>
    <n v="602543"/>
    <m/>
    <x v="3"/>
    <m/>
    <s v="BW"/>
    <m/>
    <x v="0"/>
    <m/>
    <m/>
    <x v="0"/>
    <m/>
    <m/>
  </r>
  <r>
    <x v="60"/>
    <x v="60"/>
    <s v="Yes"/>
    <m/>
    <s v="Does the current lesion location have a pre-existing stent implanted from a prior PCI to the same site? Indicate whether the current lesion location has had a pre-existing stent implanted from a prior PCI to the same site OR is within 5mm of the proximal or distal stent edges of a pre-existing stent from a previous PCI."/>
    <s v="Up to 5 lesions can be entered. Fields coded in data extract as LR1_LESION, LR2_LESION …  LR5_LESION.Reject file if NULL_x000a_Reject file if PPCI =0 AND lr1_isr=1 from the ncr tab: procedure "/>
    <s v="N"/>
    <s v="0=No _x000a_1=Yes"/>
    <s v="0"/>
    <s v="1"/>
    <m/>
    <m/>
    <s v="?"/>
    <m/>
    <x v="1"/>
    <m/>
    <s v="Cardiobase Angioplasty"/>
    <s v="Cardiobase Angioplasty"/>
    <m/>
    <m/>
    <m/>
    <m/>
    <m/>
    <m/>
    <m/>
    <m/>
    <m/>
    <x v="0"/>
    <m/>
    <m/>
    <x v="0"/>
    <m/>
    <m/>
    <m/>
    <x v="1"/>
    <m/>
    <m/>
    <x v="0"/>
    <m/>
    <m/>
  </r>
  <r>
    <x v="61"/>
    <x v="61"/>
    <s v="Yes"/>
    <m/>
    <s v="Was the current lesion treated due to the presence of a thrombus in a pre-existing stent? Indicate whether the current lesion was treated due to the presence of a thrombus in the pre-existing stent OR within 5mm of stent edges."/>
    <s v="Up to 5 lesions can be entered. Fields coded in data extract as LR1_LESION, LR2_LESION …  LR5_LESION.Reject file if NULL_x000a_Reject file if PPCI=0 AND lr1_isrst=1 from the ncr tab: procedure "/>
    <s v="N"/>
    <s v="0=No _x000a_1=Yes"/>
    <s v="0"/>
    <s v="1"/>
    <m/>
    <m/>
    <s v="This may be identifiable from HMDS coding, T82.868A (not lesion specific)."/>
    <m/>
    <x v="1"/>
    <m/>
    <s v="Cardiobase Angioplasty"/>
    <s v="Cardiobase Angioplasty"/>
    <m/>
    <m/>
    <m/>
    <m/>
    <m/>
    <m/>
    <m/>
    <m/>
    <m/>
    <x v="0"/>
    <m/>
    <m/>
    <x v="0"/>
    <m/>
    <m/>
    <m/>
    <x v="1"/>
    <m/>
    <m/>
    <x v="0"/>
    <m/>
    <m/>
  </r>
  <r>
    <x v="62"/>
    <x v="62"/>
    <s v="Yes"/>
    <m/>
    <s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_x000a__x000a_1 = Left anterior descending artery (LAD) _x000a_2 = Diaganol artery _x000a_3 = Left circumflex (LCx) _x000a_4 = Left main coronary artery_x000a_5 = Posterior descending artery_x000a_6 = Right coronary artery _x000a_7 = Internal mammary graft _x000a_8 = Radial artery graft _x000a_9 = Saphenous vein graft _x000a_10 = Not stated/inadequately described"/>
    <s v="Up to 5 lesions can be entered. Fields are coded in data extract as LR1_LESION, LR2_LESION …  LR5_LESION.Reject file if NULL from the ncr tab: procedure "/>
    <s v="N"/>
    <s v="1 = Left anterior descending artery (LAD)_x000a_2 = Diaganol artery_x000a_3 = Left circumflex (LCx)_x000a_4 = Left main coronary artery_x000a_5 = Posterior descending artery_x000a_6 = Right coronary artery _x000a_7 = Internal mammary graft_x000a_8 = Radial artery graft_x000a_9 = Saphenous vein graft_x000a_10 = Not stated/inadequately described"/>
    <s v="1"/>
    <s v="10"/>
    <m/>
    <m/>
    <s v="NCR 2021 Information Release - Cardiobase.[Lesion Site]"/>
    <m/>
    <x v="1"/>
    <m/>
    <s v="Cardiobase Angioplasty"/>
    <s v="Cardiobase Angioplasty"/>
    <m/>
    <m/>
    <m/>
    <m/>
    <m/>
    <m/>
    <m/>
    <m/>
    <m/>
    <x v="1"/>
    <m/>
    <m/>
    <x v="2"/>
    <d v="2022-07-22T00:00:00"/>
    <m/>
    <m/>
    <x v="0"/>
    <m/>
    <m/>
    <x v="0"/>
    <m/>
    <m/>
  </r>
  <r>
    <x v="63"/>
    <x v="63"/>
    <s v="Yes"/>
    <m/>
    <s v="Was the lesion successfully treated? Indicate whether the lesion was successfully treated. _x000a_Successful dilation of a lesion is considered where: _x000a_- Residual stenosis is less than 10% following coronary stenting; OR _x000a_- Residual stenosis is less than 50% after POBA (balloon angioplasty/atherectomy) alone_x000a_AND _x000a_- Coronary blood perfusion rates have reached TIMI 2 or TIMI 3 flow. _x000a_Note: Thrombolysis in Myocardial Infarction (TIMI) 2 flow (partial reperfusion) is evidenced by delayed or sluggish antegrade flow with complete filling of the distal territory. TIMI 3 flow (complete perfusion) is normal flow which fills the distal coronary bed completely."/>
    <s v="Up to 5 lesions can be entered. Fields coded in data extract as LR1_LESION, LR2_LESION …  LR5_LESION.Reject file if NULL from the ncr tab: procedure "/>
    <s v="N"/>
    <s v="0=No _x000a_1=Yes"/>
    <s v="0"/>
    <s v="1"/>
    <m/>
    <m/>
    <s v="The cardiobase angioplasty lesion extract contains this column (Lesion Success).  Values are not yet mapped (?).   May not be suitable as not fully reconciled to NCR definition._x000a__x000a_The cardiobase extract has two fields : PERCENTAGE_PRE_STENOSIS, PERCENTAGE_POST_STENOSIS (moderately populated (Sep 22).  Needs end user validation._x000a__x000a_TIMI Flow (referred to in the definition as part 2 of the criterion is also in the cardiobase angioplasty lesion extract in the column TIMI_FLOW and TIMI_FLOW_PRE"/>
    <m/>
    <x v="1"/>
    <m/>
    <s v="Cardiobase Angioplasty"/>
    <s v="Cardiobase Angioplasty"/>
    <m/>
    <m/>
    <m/>
    <m/>
    <m/>
    <m/>
    <m/>
    <m/>
    <m/>
    <x v="4"/>
    <m/>
    <m/>
    <x v="0"/>
    <m/>
    <m/>
    <m/>
    <x v="1"/>
    <m/>
    <m/>
    <x v="0"/>
    <m/>
    <m/>
  </r>
  <r>
    <x v="64"/>
    <x v="64"/>
    <s v="Yes"/>
    <m/>
    <s v="What type of stent/balloon was used? Select ONE of the following options:_x000a_- Bare metal stents (BMS): Where one or more bare metal coronary stent(s) were implanted in the current lesion (and no other type of stent/scaffold was implanted)._x000a_- Drug eluting stents (DES): Where one or more drug eluting coronary stent(s) were implanted in the current lesion (and no other type of stent was implanted)._x000a_- Mixed stents (combined BMS &amp; DES): Where at least one BMS and at least one DES were implanted in the current lesion. _x000a_- Bioresorbable stent(s) (BRS):Where one or more bioresorbable coronary stent(s) were implanted in the current lesion (and no other type of stent/scaffold was implanted)._x000a_-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_x000a_- POBA (Plain Balloon Angioplasty): Where the only treatment for this lesion was balloon inflation to recanalise coronary arteries; this includes both balloons/catheters  coated in a drug (e.g. paclitaxel, etc.) or NOT coated with any drug. _x000a_- No Stent/No Balloon"/>
    <s v="Up to 5 lesions can be entered. Fields coded in data extract as LR1_LESION, LR2_LESION …  LR5_LESION.Reject file if NULL from the ncr tab: procedure "/>
    <s v="N"/>
    <s v="1=Bare metal stent(s) only (BMS)_x000a_2=Drug-eluting stent(s) (DES)_x000a_3=Mixed stent(s) (combined BMS &amp; DES)_x000a_4=Bioresorbable stent(s) (BRS)_x000a_5=Other stents/scaffolds _x000a_6 = POBA (Plain Balloon Angioplasty)_x000a_7= No Stent / No Balloon_x000a_8=Drug-eluting Balloon"/>
    <s v="1"/>
    <s v="7"/>
    <m/>
    <m/>
    <s v="Cardiobase.[Stents Deployed]? Mapping review requires one confirmation"/>
    <m/>
    <x v="1"/>
    <m/>
    <s v="Cardiobase Angioplasty"/>
    <s v="Cardiobase Angioplasty"/>
    <m/>
    <m/>
    <m/>
    <m/>
    <m/>
    <m/>
    <m/>
    <m/>
    <m/>
    <x v="1"/>
    <m/>
    <m/>
    <x v="2"/>
    <d v="2022-07-22T00:00:00"/>
    <s v="BW"/>
    <m/>
    <x v="0"/>
    <m/>
    <m/>
    <x v="0"/>
    <m/>
    <m/>
  </r>
  <r>
    <x v="65"/>
    <x v="60"/>
    <s v="Yes"/>
    <m/>
    <s v="Does the current lesion location have a pre-existing stent implanted from a prior PCI to the same site? Indicate whether the current lesion location has had a pre-existing stent implanted from a prior PCI to the same site OR is within 5mm of the proximal or distal stent edges of a pre-existing stent from a previous PCI."/>
    <s v="Up to 5 lesions can be entered. Fields coded in data extract as LR1_LESION, LR2_LESION …  LR5_LESION.Reject file if NULL and lr2_lesion has data_x000a_Reject file if PPCI =0 AND lr2_isr=1_x000a_Reject file if lr2_isr has data and lr2_lesion=Null from the ncr tab: procedure "/>
    <s v="N"/>
    <s v="0=No _x000a_1=Yes"/>
    <s v="0"/>
    <s v="1"/>
    <m/>
    <m/>
    <s v=""/>
    <m/>
    <x v="1"/>
    <m/>
    <s v="Cardiobase Angioplasty"/>
    <s v="Cardiobase Angioplasty"/>
    <m/>
    <m/>
    <m/>
    <m/>
    <m/>
    <m/>
    <m/>
    <m/>
    <m/>
    <x v="0"/>
    <m/>
    <m/>
    <x v="0"/>
    <m/>
    <m/>
    <m/>
    <x v="1"/>
    <m/>
    <m/>
    <x v="0"/>
    <m/>
    <m/>
  </r>
  <r>
    <x v="66"/>
    <x v="61"/>
    <s v="Yes"/>
    <m/>
    <s v="Was the current lesion treated due to the presence of a thrombus in a pre-existing stent? Indicate whether the current lesion was treated due to the presence of a thrombus in the pre-existing stent OR within 5mm of stent edges."/>
    <s v="Up to 5 lesions can be entered. Fields coded in data extract as LR1_LESION, LR2_LESION …  LR5_LESION.Reject file if NULL and lr2_lesion has data_x000a_Reject file if PPCI=0 AND lr2_isrst=1 from the ncr tab: procedure "/>
    <s v="N"/>
    <s v="0=No _x000a_1=Yes"/>
    <s v="0"/>
    <s v="1"/>
    <m/>
    <m/>
    <m/>
    <m/>
    <x v="1"/>
    <m/>
    <s v="Cardiobase Angioplasty"/>
    <s v="Cardiobase Angioplasty"/>
    <m/>
    <m/>
    <m/>
    <m/>
    <m/>
    <m/>
    <m/>
    <m/>
    <m/>
    <x v="0"/>
    <m/>
    <m/>
    <x v="0"/>
    <m/>
    <m/>
    <m/>
    <x v="1"/>
    <m/>
    <m/>
    <x v="0"/>
    <m/>
    <m/>
  </r>
  <r>
    <x v="67"/>
    <x v="62"/>
    <s v="Yes"/>
    <m/>
    <s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_x000a__x000a_1 = Left anterior descending artery (LAD) _x000a_2 = Diaganol artery _x000a_3 = Left circumflex (LCx) _x000a_4 = Left main coronary artery_x000a_5 = Posterior descending artery_x000a_6 = Right coronary artery _x000a_7 = Internal mammary graft _x000a_8 = Radial artery graft _x000a_9 = Saphenous vein graft _x000a_10 = Not stated/inadequately described"/>
    <s v="Up to 5 lesions can be entered. Fields are coded in data extract as LR1_LESION, LR2_LESION …  LR5_LESION. from the ncr tab: procedure "/>
    <s v="N"/>
    <s v="1 = Left anterior descending artery (LAD)_x000a_2 = Diaganol artery_x000a_3 = Left circumflex (LCx)_x000a_4 = Left main coronary artery_x000a_5 = Posterior descending artery_x000a_6 = Right coronary artery _x000a_7 = Internal mammary graft_x000a_8 = Radial artery graft_x000a_9 = Saphenous vein graft_x000a_10 = Not stated/inadequately described_x000a_NULL"/>
    <s v="1"/>
    <s v="10"/>
    <m/>
    <m/>
    <s v="Refer lr1_lesion"/>
    <m/>
    <x v="1"/>
    <m/>
    <s v="Cardiobase Angioplasty"/>
    <s v="Cardiobase Angioplasty"/>
    <m/>
    <m/>
    <m/>
    <m/>
    <m/>
    <m/>
    <m/>
    <m/>
    <m/>
    <x v="1"/>
    <m/>
    <m/>
    <x v="2"/>
    <d v="2022-07-22T00:00:00"/>
    <m/>
    <m/>
    <x v="0"/>
    <m/>
    <m/>
    <x v="0"/>
    <m/>
    <m/>
  </r>
  <r>
    <x v="68"/>
    <x v="63"/>
    <s v="Yes"/>
    <m/>
    <s v="Was the lesion successfully treated? Indicate whether the lesion was successfully treated. _x000a_Successful dilation of a lesion is considered where: _x000a_- Residual stenosis is less than 10% following coronary stenting; OR _x000a_- Residual stenosis is less than 50% after POBA (balloon angioplasty/atherectomy) alone_x000a_AND _x000a_- Coronary blood perfusion rates have reached TIMI 2 or TIMI 3 flow. _x000a__x000a_Note: Thrombolysis in Myocardial Infarction (TIMI) 2 flow (partial reperfusion) is evidenced by delayed or sluggish antegrade flow with complete filling of the distal territory. TIMI 3 flow (complete perfusion) is normal flow which fills the distal coronary bed completely."/>
    <s v="Up to 5 lesions can be entered. Fields coded in data extract as LR1_LESION, LR2_LESION …  LR5_LESION.Reject file if NULL and lr2_lesion has data from the ncr tab: procedure "/>
    <s v="N"/>
    <s v="0=No _x000a_1=Yes"/>
    <s v="0"/>
    <s v="1"/>
    <m/>
    <m/>
    <s v="The cardiobase angioplasty lesion extract contains this column (Lesion Success).  Values are not yet mapped (?).   May not be suitable as not fully reconciled to NCR definition._x000a__x000a_The cardiobase extract has two fields : PERCENTAGE_PRE_STENOSIS, PERCENTAGE_POST_STENOSIS (moderately populated (Sep 22).  Needs end user validation._x000a__x000a_TIMI Flow (referred to in the definition as part 2 of the criterion is also in the cardiobase angioplasty lesion extract in the column TIMI_FLOW and TIMI_FLOW_PRE"/>
    <m/>
    <x v="1"/>
    <m/>
    <s v="Cardiobase Angioplasty"/>
    <s v="Cardiobase Angioplasty"/>
    <m/>
    <m/>
    <m/>
    <m/>
    <m/>
    <m/>
    <m/>
    <m/>
    <m/>
    <x v="4"/>
    <m/>
    <m/>
    <x v="0"/>
    <m/>
    <m/>
    <m/>
    <x v="1"/>
    <m/>
    <m/>
    <x v="0"/>
    <m/>
    <m/>
  </r>
  <r>
    <x v="69"/>
    <x v="64"/>
    <s v="Yes"/>
    <m/>
    <s v="What type of stent/balloon was used? Select ONE of the following options:_x000a_- Bare metal stents (BMS): Where one or more bare metal coronary stent(s) were implanted in the current lesion (and no other type of stent/scaffold was implanted)._x000a_- Drug eluting stents (DES): Where one or more drug eluting coronary stent(s) were implanted in the current lesion (and no other type of stent was implanted)._x000a_- Mixed stents (combined BMS &amp; DES): Where at least one BMS and at least one DES were implanted in the current lesion. _x000a_- Bioresorbable stent(s) (BRS):Where one or more bioresorbable coronary stent(s) were implanted in the current lesion (and no other type of stent/scaffold was implanted)._x000a_-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_x000a_- POBA (Plain Balloon Angioplasty): Where the only treatment for this lesion was balloon inflation to recanalise coronary arteries; this includes both balloons/catheters  coated in a drug (e.g. paclitaxel, etc.) or NOT coated with any drug. _x000a_- No Stent/No Balloon"/>
    <s v="Up to 5 lesions can be entered. Fields coded in data extract as LR1_LESION, LR2_LESION …  LR5_LESION.Reject file if NULL and lr2_lesion has data from the ncr tab: procedure "/>
    <s v="N"/>
    <s v="1=Bare metal stent(s) only (BMS)_x000a_2=Drug-eluting stent(s) (DES)_x000a_3=Mixed stent(s) (combined BMS &amp; DES)_x000a_4=Bioresorbable stent(s) (BRS)_x000a_5=Other stents/scaffolds _x000a_6 = POBA (Plain Balloon Angioplasty)_x000a_7= No Stent / No Balloon_x000a_8=Drug-eluting Balloon"/>
    <s v="1"/>
    <s v="7"/>
    <m/>
    <m/>
    <s v="Refer lr1_sit"/>
    <m/>
    <x v="1"/>
    <m/>
    <s v="Cardiobase Angioplasty"/>
    <s v="Cardiobase Angioplasty"/>
    <m/>
    <m/>
    <m/>
    <m/>
    <m/>
    <m/>
    <m/>
    <m/>
    <m/>
    <x v="1"/>
    <m/>
    <m/>
    <x v="2"/>
    <d v="2022-07-22T00:00:00"/>
    <m/>
    <m/>
    <x v="0"/>
    <m/>
    <m/>
    <x v="0"/>
    <m/>
    <m/>
  </r>
  <r>
    <x v="70"/>
    <x v="60"/>
    <s v="Yes"/>
    <m/>
    <s v="Does the current lesion location have a pre-existing stent implanted from a prior PCI to the same site? Indicate whether the current lesion location has had a pre-existing stent implanted from a prior PCI to the same site OR is within 5mm of the proximal or distal stent edges of a pre-existing stent from a previous PCI."/>
    <s v="Up to 5 lesions can be entered. Fields coded in data extract as LR1_LESION, LR2_LESION …  LR5_LESION.Reject file if NULL and lr3_lesion has data_x000a_Reject file if PPCI =0 AND lr3_isr=1_x000a_Reject file if lr3_isr has data and lr3_lesion=Null from the ncr tab: procedure "/>
    <s v="N"/>
    <s v="0=No _x000a_1=Yes"/>
    <s v="0"/>
    <s v="1"/>
    <m/>
    <m/>
    <s v=""/>
    <m/>
    <x v="1"/>
    <m/>
    <s v="Cardiobase Angioplasty"/>
    <s v="Cardiobase Angioplasty"/>
    <m/>
    <m/>
    <m/>
    <m/>
    <m/>
    <m/>
    <m/>
    <m/>
    <m/>
    <x v="0"/>
    <m/>
    <m/>
    <x v="0"/>
    <m/>
    <m/>
    <m/>
    <x v="1"/>
    <m/>
    <m/>
    <x v="0"/>
    <m/>
    <m/>
  </r>
  <r>
    <x v="71"/>
    <x v="61"/>
    <s v="Yes"/>
    <m/>
    <s v="Was the current lesion treated due to the presence of a thrombus in a pre-existing stent? Indicate whether the current lesion was treated due to the presence of a thrombus in the pre-existing stent OR within 5mm of stent edges."/>
    <s v="Up to 5 lesions can be entered. Fields coded in data extract as LR1_LESION, LR2_LESION …  LR5_LESION.Reject file if NULL and lr3_lesion has data_x000a_Reject file if PPCI=0 AND lr3_isrst=1 from the ncr tab: procedure "/>
    <s v="N"/>
    <s v="0=No _x000a_1=Yes"/>
    <s v="0"/>
    <s v="1"/>
    <m/>
    <m/>
    <s v=""/>
    <m/>
    <x v="1"/>
    <m/>
    <s v="Cardiobase Angioplasty"/>
    <s v="Cardiobase Angioplasty"/>
    <m/>
    <m/>
    <m/>
    <m/>
    <m/>
    <m/>
    <m/>
    <m/>
    <m/>
    <x v="0"/>
    <m/>
    <m/>
    <x v="0"/>
    <m/>
    <m/>
    <m/>
    <x v="1"/>
    <m/>
    <m/>
    <x v="0"/>
    <m/>
    <m/>
  </r>
  <r>
    <x v="72"/>
    <x v="62"/>
    <s v="Yes"/>
    <m/>
    <s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_x000a__x000a_1 = Left anterior descending artery (LAD) _x000a_2 = Diaganol artery _x000a_3 = Left circumflex (LCx) _x000a_4 = Left main coronary artery_x000a_5 = Posterior descending artery_x000a_6 = Right coronary artery _x000a_7 = Internal mammary graft _x000a_8 = Radial artery graft _x000a_9 = Saphenous vein graft _x000a_10 = Not stated/inadequately described"/>
    <s v="Up to 5 lesions can be entered. Fields are coded in data extract as LR1_LESION, LR2_LESION …  LR5_LESION. from the ncr tab: procedure "/>
    <s v="N"/>
    <s v="1 = Left anterior descending artery (LAD)_x000a_2 = Diaganol artery_x000a_3 = Left circumflex (LCx)_x000a_4 = Left main coronary artery_x000a_5 = Posterior descending artery_x000a_6 = Right coronary artery _x000a_7 = Internal mammary graft_x000a_8 = Radial artery graft_x000a_9 = Saphenous vein graft_x000a_10 = Not stated/inadequately described_x000a_NULL"/>
    <s v="1"/>
    <s v="10"/>
    <m/>
    <m/>
    <s v="Refer lr1_lesion"/>
    <m/>
    <x v="1"/>
    <m/>
    <s v="Cardiobase Angioplasty"/>
    <s v="Cardiobase Angioplasty"/>
    <m/>
    <m/>
    <m/>
    <m/>
    <m/>
    <m/>
    <m/>
    <m/>
    <m/>
    <x v="1"/>
    <m/>
    <m/>
    <x v="2"/>
    <d v="2022-07-22T00:00:00"/>
    <m/>
    <m/>
    <x v="0"/>
    <m/>
    <m/>
    <x v="0"/>
    <m/>
    <m/>
  </r>
  <r>
    <x v="73"/>
    <x v="63"/>
    <s v="Yes"/>
    <m/>
    <s v="Was the lesion successfully treated? Indicate whether the lesion was successfully treated. _x000a_Successful dilation of a lesion is considered where: _x000a_- Residual stenosis is less than 10% following coronary stenting; OR _x000a_- Residual stenosis is less than 50% after POBA (balloon angioplasty/atherectomy) alone_x000a_AND _x000a_- Coronary blood perfusion rates have reached TIMI 2 or TIMI 3 flow. _x000a__x000a_Note: Thrombolysis in Myocardial Infarction (TIMI) 2 flow (partial reperfusion) is evidenced by delayed or sluggish antegrade flow with complete filling of the distal territory. TIMI 3 flow (complete perfusion) is normal flow which fills the distal coronary bed completely."/>
    <s v="Up to 5 lesions can be entered. Fields coded in data extract as LR1_LESION, LR2_LESION …  LR5_LESION.Reject file if NULL and lr3_lesion has data from the ncr tab: procedure "/>
    <s v="N"/>
    <s v="0=No _x000a_1=Yes"/>
    <s v="0"/>
    <s v="1"/>
    <m/>
    <m/>
    <s v="The cardiobase angioplasty lesion extract contains this column (Lesion Success).  Values are not yet mapped (?).   May not be suitable as not fully reconciled to NCR definition._x000a__x000a_The cardiobase extract has two fields : PERCENTAGE_PRE_STENOSIS, PERCENTAGE_POST_STENOSIS (moderately populated (Sep 22).  Needs end user validation._x000a__x000a_TIMI Flow (referred to in the definition as part 2 of the criterion is also in the cardiobase angioplasty lesion extract in the column TIMI_FLOW and TIMI_FLOW_PRE"/>
    <m/>
    <x v="1"/>
    <m/>
    <s v="Cardiobase Angioplasty"/>
    <s v="Cardiobase Angioplasty"/>
    <m/>
    <m/>
    <m/>
    <m/>
    <m/>
    <m/>
    <m/>
    <m/>
    <m/>
    <x v="4"/>
    <m/>
    <m/>
    <x v="0"/>
    <m/>
    <m/>
    <m/>
    <x v="1"/>
    <m/>
    <m/>
    <x v="0"/>
    <m/>
    <m/>
  </r>
  <r>
    <x v="74"/>
    <x v="64"/>
    <s v="Yes"/>
    <m/>
    <s v="What type of stent/balloon was used? Select ONE of the following options:_x000a_- Bare metal stents (BMS): Where one or more bare metal coronary stent(s) were implanted in the current lesion (and no other type of stent/scaffold was implanted)._x000a_- Drug eluting stents (DES): Where one or more drug eluting coronary stent(s) were implanted in the current lesion (and no other type of stent was implanted)._x000a_- Mixed stents (combined BMS &amp; DES): Where at least one BMS and at least one DES were implanted in the current lesion. _x000a_- Bioresorbable stent(s) (BRS):Where one or more bioresorbable coronary stent(s) were implanted in the current lesion (and no other type of stent/scaffold was implanted)._x000a_-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_x000a_- POBA (Plain Balloon Angioplasty): Where the only treatment for this lesion was balloon inflation to recanalise coronary arteries; this includes both balloons/catheters  coated in a drug (e.g. paclitaxel, etc.) or NOT coated with any drug. _x000a_- No Stent/No Balloon"/>
    <s v="Up to 5 lesions can be entered. Fields coded in data extract as LR1_LESION, LR2_LESION …  LR5_LESION.Reject file if NULL and lr3_lesion has data from the ncr tab: procedure "/>
    <s v="N"/>
    <s v="1=Bare metal stent(s) only (BMS)_x000a_2=Drug-eluting stent(s) (DES)_x000a_3=Mixed stent(s) (combined BMS &amp; DES)_x000a_4=Bioresorbable stent(s) (BRS)_x000a_5=Other stents/scaffolds _x000a_6 = POBA (Plain Balloon Angioplasty)_x000a_7= No Stent / No Balloon_x000a_8=Drug-eluting Balloon"/>
    <s v="1"/>
    <s v="7"/>
    <m/>
    <m/>
    <s v="Refer lr1_sit"/>
    <m/>
    <x v="1"/>
    <m/>
    <s v="Cardiobase Angioplasty"/>
    <s v="Cardiobase Angioplasty"/>
    <m/>
    <m/>
    <m/>
    <m/>
    <m/>
    <m/>
    <m/>
    <m/>
    <m/>
    <x v="1"/>
    <m/>
    <m/>
    <x v="2"/>
    <d v="2022-07-22T00:00:00"/>
    <m/>
    <m/>
    <x v="0"/>
    <m/>
    <m/>
    <x v="0"/>
    <m/>
    <m/>
  </r>
  <r>
    <x v="75"/>
    <x v="60"/>
    <s v="Yes"/>
    <m/>
    <s v="Does the current lesion location have a pre-existing stent implanted from a prior PCI to the same site? Indicate whether the current lesion location has had a pre-existing stent implanted from a prior PCI to the same site OR is within 5mm of the proximal or distal stent edges of a pre-existing stent from a previous PCI."/>
    <s v="Up to 5 lesions can be entered. Fields coded in data extract as LR1_LESION, LR2_LESION …  LR5_LESION.Reject file if NULL and lr4_lesion has data_x000a_Reject file if PPCI =0 AND lr4_isr=1_x000a_Reject file if lr4_isr has data and lr4_lesion=Null from the ncr tab: procedure "/>
    <s v="N"/>
    <s v="0=No _x000a_1=Yes"/>
    <s v="0"/>
    <s v="1"/>
    <m/>
    <m/>
    <s v=""/>
    <m/>
    <x v="1"/>
    <m/>
    <s v="Cardiobase Angioplasty"/>
    <s v="Cardiobase Angioplasty"/>
    <m/>
    <m/>
    <m/>
    <m/>
    <m/>
    <m/>
    <m/>
    <m/>
    <m/>
    <x v="0"/>
    <m/>
    <m/>
    <x v="0"/>
    <m/>
    <m/>
    <m/>
    <x v="1"/>
    <m/>
    <m/>
    <x v="0"/>
    <m/>
    <m/>
  </r>
  <r>
    <x v="76"/>
    <x v="61"/>
    <s v="Yes"/>
    <m/>
    <s v="Was the current lesion treated due to the presence of a thrombus in a pre-existing stent? Indicate whether the current lesion was treated due to the presence of a thrombus in the pre-existing stent OR within 5mm of stent edges."/>
    <s v="Up to 5 lesions can be entered. Fields coded in data extract as LR1_LESION, LR2_LESION …  LR5_LESION.Reject file if NULL and lr4_lesion has data_x000a_Reject file if PPCI=0 AND lr4_isrst=1 from the ncr tab: procedure "/>
    <s v="N"/>
    <s v="0=No _x000a_1=Yes"/>
    <s v="0"/>
    <s v="1"/>
    <m/>
    <m/>
    <s v=""/>
    <m/>
    <x v="1"/>
    <m/>
    <s v="Cardiobase Angioplasty"/>
    <s v="Cardiobase Angioplasty"/>
    <m/>
    <m/>
    <m/>
    <m/>
    <m/>
    <m/>
    <m/>
    <m/>
    <m/>
    <x v="0"/>
    <m/>
    <m/>
    <x v="0"/>
    <m/>
    <m/>
    <m/>
    <x v="1"/>
    <m/>
    <m/>
    <x v="0"/>
    <m/>
    <m/>
  </r>
  <r>
    <x v="77"/>
    <x v="62"/>
    <s v="Yes"/>
    <m/>
    <s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_x000a__x000a_1 = Left anterior descending artery (LAD) _x000a_2 = Diaganol artery _x000a_3 = Left circumflex (LCx) _x000a_4 = Left main coronary artery_x000a_5 = Posterior descending artery_x000a_6 = Right coronary artery _x000a_7 = Internal mammary graft _x000a_8 = Radial artery graft _x000a_9 = Saphenous vein graft _x000a_10 = Not stated/inadequately described"/>
    <s v="Up to 5 lesions can be entered. Fields are coded in data extract as LR1_LESION, LR2_LESION …  LR5_LESION. from the ncr tab: procedure "/>
    <s v="N"/>
    <s v="1 = Left anterior descending artery (LAD)_x000a_2 = Diaganol artery_x000a_3 = Left circumflex (LCx)_x000a_4 = Left main coronary artery_x000a_5 = Posterior descending artery_x000a_6 = Right coronary artery _x000a_7 = Internal mammary graft_x000a_8 = Radial artery graft_x000a_9 = Saphenous vein graft_x000a_10 = Not stated/inadequately described_x000a_NULL"/>
    <s v="1"/>
    <s v="10"/>
    <m/>
    <m/>
    <s v="Refer lr1_lesion"/>
    <m/>
    <x v="1"/>
    <m/>
    <s v="Cardiobase Angioplasty"/>
    <s v="Cardiobase Angioplasty"/>
    <m/>
    <m/>
    <m/>
    <m/>
    <m/>
    <m/>
    <m/>
    <m/>
    <m/>
    <x v="1"/>
    <m/>
    <m/>
    <x v="2"/>
    <d v="2022-07-22T00:00:00"/>
    <m/>
    <m/>
    <x v="0"/>
    <m/>
    <m/>
    <x v="0"/>
    <m/>
    <m/>
  </r>
  <r>
    <x v="78"/>
    <x v="63"/>
    <s v="Yes"/>
    <m/>
    <s v="Was the lesion successfully treated? Indicate whether the lesion was successfully treated. _x000a_Successful dilation of a lesion is considered where: _x000a_- Residual stenosis is less than 10% following coronary stenting; OR _x000a_- Residual stenosis is less than 50% after POBA (balloon angioplasty/atherectomy) alone_x000a_AND _x000a_- Coronary blood perfusion rates have reached TIMI 2 or TIMI 3 flow. _x000a__x000a_Note: Thrombolysis in Myocardial Infarction (TIMI) 2 flow (partial reperfusion) is evidenced by delayed or sluggish antegrade flow with complete filling of the distal territory. TIMI 3 flow (complete perfusion) is normal flow which fills the distal coronary bed completely."/>
    <s v="Up to 5 lesions can be entered. Fields coded in data extract as LR1_LESION, LR2_LESION …  LR5_LESION.Reject file if NULL and lr4_lesion has data from the ncr tab: procedure "/>
    <s v="N"/>
    <s v="0=No _x000a_1=Yes"/>
    <s v="0"/>
    <s v="1"/>
    <m/>
    <m/>
    <s v="The cardiobase angioplasty lesion extract contains this column (Lesion Success).  Values are not yet mapped (?).   May not be suitable as not fully reconciled to NCR definition._x000a__x000a_The cardiobase extract has two fields : PERCENTAGE_PRE_STENOSIS, PERCENTAGE_POST_STENOSIS (moderately populated (Sep 22).  Needs end user validation._x000a__x000a_TIMI Flow (referred to in the definition as part 2 of the criterion is also in the cardiobase angioplasty lesion extract in the column TIMI_FLOW and TIMI_FLOW_PRE"/>
    <m/>
    <x v="1"/>
    <m/>
    <s v="Cardiobase Angioplasty"/>
    <s v="Cardiobase Angioplasty"/>
    <m/>
    <m/>
    <m/>
    <m/>
    <m/>
    <m/>
    <m/>
    <m/>
    <m/>
    <x v="4"/>
    <m/>
    <m/>
    <x v="0"/>
    <m/>
    <m/>
    <m/>
    <x v="1"/>
    <m/>
    <m/>
    <x v="0"/>
    <m/>
    <m/>
  </r>
  <r>
    <x v="79"/>
    <x v="64"/>
    <s v="Yes"/>
    <m/>
    <s v="What type of stent/balloon was used? Select ONE of the following options:_x000a_- Bare metal stents (BMS): Where one or more bare metal coronary stent(s) were implanted in the current lesion (and no other type of stent/scaffold was implanted)._x000a_- Drug eluting stents (DES): Where one or more drug eluting coronary stent(s) were implanted in the current lesion (and no other type of stent was implanted)._x000a_- Mixed stents (combined BMS &amp; DES): Where at least one BMS and at least one DES were implanted in the current lesion. _x000a_- Bioresorbable stent(s) (BRS):Where one or more bioresorbable coronary stent(s) were implanted in the current lesion (and no other type of stent/scaffold was implanted)._x000a_-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_x000a_- POBA (Plain Balloon Angioplasty): Where the only treatment for this lesion was balloon inflation to recanalise coronary arteries; this includes both balloons/catheters  coated in a drug (e.g. paclitaxel, etc.) or NOT coated with any drug. _x000a_- No Stent/No Balloon"/>
    <s v="Up to 5 lesions can be entered. Fields coded in data extract as LR1_LESION, LR2_LESION …  LR5_LESION.Reject file if NULL and lr4_lesion has data from the ncr tab: procedure "/>
    <s v="N"/>
    <s v="1=Bare metal stent(s) only (BMS)_x000a_2=Drug-eluting stent(s) (DES)_x000a_3=Mixed stent(s) (combined BMS &amp; DES)_x000a_4=Bioresorbable stent(s) (BRS)_x000a_5=Other stents/scaffolds _x000a_6 = POBA (Plain Balloon Angioplasty)_x000a_7= No Stent / No Balloon_x000a_8=Drug-eluting Balloon"/>
    <s v="1"/>
    <s v="7"/>
    <m/>
    <m/>
    <s v="Refer lr1_sit"/>
    <m/>
    <x v="1"/>
    <m/>
    <s v="Cardiobase Angioplasty"/>
    <s v="Cardiobase Angioplasty"/>
    <m/>
    <m/>
    <m/>
    <m/>
    <m/>
    <m/>
    <m/>
    <m/>
    <m/>
    <x v="1"/>
    <m/>
    <m/>
    <x v="2"/>
    <d v="2022-07-22T00:00:00"/>
    <m/>
    <m/>
    <x v="0"/>
    <m/>
    <m/>
    <x v="0"/>
    <m/>
    <m/>
  </r>
  <r>
    <x v="80"/>
    <x v="60"/>
    <s v="Yes"/>
    <m/>
    <s v="Does the current lesion location have a pre-existing stent implanted from a prior PCI to the same site? Indicate whether the current lesion location has had a pre-existing stent implanted from a prior PCI to the same site OR is within 5mm of the proximal or distal stent edges of a pre-existing stent from a previous PCI."/>
    <s v="Up to 5 lesions can be entered. Fields coded in data extract as LR1_LESION, LR2_LESION …  LR5_LESION.Reject file if NULL and lr5_lesion has data_x000a_Reject file if PPCI =0 AND lr5_isr=1_x000a_Reject file if lr5_isr has data and lr5_lesion=Null from the ncr tab: procedure "/>
    <s v="N"/>
    <s v="0=No _x000a_1=Yes"/>
    <s v="0"/>
    <s v="1"/>
    <m/>
    <m/>
    <s v=""/>
    <m/>
    <x v="1"/>
    <m/>
    <s v="Cardiobase Angioplasty"/>
    <s v="Cardiobase Angioplasty"/>
    <m/>
    <m/>
    <m/>
    <m/>
    <m/>
    <m/>
    <m/>
    <m/>
    <m/>
    <x v="0"/>
    <m/>
    <m/>
    <x v="0"/>
    <m/>
    <m/>
    <m/>
    <x v="1"/>
    <m/>
    <m/>
    <x v="0"/>
    <m/>
    <m/>
  </r>
  <r>
    <x v="81"/>
    <x v="61"/>
    <s v="Yes"/>
    <m/>
    <s v="Was the current lesion treated due to the presence of a thrombus in a pre-existing stent? Indicate whether the current lesion was treated due to the presence of a thrombus in the pre-existing stent OR within 5mm of stent edges."/>
    <s v="Up to 5 lesions can be entered. Fields coded in data extract as LR1_LESION, LR2_LESION …  LR5_LESION.Reject file if NULL and lr5_lesion has data_x000a_Reject file if PPCI=0 AND lr4_isrst=1 from the ncr tab: procedure "/>
    <s v="N"/>
    <s v="0=No _x000a_1=Yes"/>
    <s v="0"/>
    <s v="1"/>
    <m/>
    <m/>
    <s v=""/>
    <m/>
    <x v="1"/>
    <m/>
    <s v="Cardiobase Angioplasty"/>
    <s v="Cardiobase Angioplasty"/>
    <m/>
    <m/>
    <m/>
    <m/>
    <m/>
    <m/>
    <m/>
    <m/>
    <m/>
    <x v="0"/>
    <m/>
    <m/>
    <x v="0"/>
    <m/>
    <m/>
    <m/>
    <x v="1"/>
    <m/>
    <m/>
    <x v="0"/>
    <m/>
    <m/>
  </r>
  <r>
    <x v="82"/>
    <x v="65"/>
    <s v="Yes"/>
    <m/>
    <s v="What was the total radiation dose? Indicate the total radiation dose (Cumulative Air Kerma, or Reference Air Kerma) recorded to the nearest milligray (mGy). The value recorded should include the total dose for the lab visit. Cumulative air kerma is the total air kerma accrued from the_x000a_beginning of an examination or procedure and includes all contributions from fluoroscopic and radiographic irradiation."/>
    <s v="Reject file if value entered is &gt;999 from the ncr tab: procedure "/>
    <s v="NNNNN"/>
    <s v=""/>
    <s v="0"/>
    <s v="99999"/>
    <m/>
    <m/>
    <m/>
    <m/>
    <x v="2"/>
    <m/>
    <s v="Cardiobase Angioplasty"/>
    <s v="Cardiobase Angioplasty"/>
    <m/>
    <m/>
    <m/>
    <m/>
    <m/>
    <m/>
    <m/>
    <m/>
    <m/>
    <x v="0"/>
    <m/>
    <m/>
    <x v="0"/>
    <m/>
    <m/>
    <m/>
    <x v="2"/>
    <m/>
    <m/>
    <x v="0"/>
    <m/>
    <m/>
  </r>
  <r>
    <x v="83"/>
    <x v="66"/>
    <s v="Yes"/>
    <m/>
    <s v="What was the Dose Area Product? Indicate the total fluoroscopy dose to the nearest integer. The value recorded should include the total dose for the lab visit."/>
    <s v="Reject file if value entered is &gt;999 from the ncr tab: procedure "/>
    <s v=""/>
    <s v=""/>
    <s v="0"/>
    <s v="999"/>
    <m/>
    <m/>
    <s v="NCR 2021 Information Release ( Cardiobase.[TOTAL_DOSE] / 1000 )"/>
    <m/>
    <x v="2"/>
    <m/>
    <s v="Cardiobase Angioplasty"/>
    <s v="Cardiobase Angioplasty"/>
    <m/>
    <m/>
    <m/>
    <m/>
    <m/>
    <m/>
    <m/>
    <m/>
    <m/>
    <x v="1"/>
    <m/>
    <m/>
    <x v="2"/>
    <d v="2022-07-22T00:00:00"/>
    <m/>
    <m/>
    <x v="0"/>
    <m/>
    <m/>
    <x v="0"/>
    <m/>
    <m/>
  </r>
  <r>
    <x v="84"/>
    <x v="67"/>
    <s v="Yes"/>
    <m/>
    <s v="What was the total fluoroscopy time? Indicate the total fluoroscopy time in mins. Report to the nearest 0.1 min"/>
    <s v="Reject file if value entered if &gt;300 from the ncr tab: procedure "/>
    <s v="N.NN"/>
    <s v=""/>
    <s v="0.1"/>
    <s v="300.0"/>
    <m/>
    <m/>
    <s v="NCR 2021 Information Release ( Cardiobase.[Procedure Time] )"/>
    <m/>
    <x v="2"/>
    <m/>
    <s v="Cardiobase Angioplasty"/>
    <s v="Cardiobase Angioplasty"/>
    <m/>
    <m/>
    <m/>
    <m/>
    <m/>
    <m/>
    <m/>
    <m/>
    <m/>
    <x v="1"/>
    <m/>
    <m/>
    <x v="2"/>
    <d v="2022-07-22T00:00:00"/>
    <m/>
    <m/>
    <x v="0"/>
    <m/>
    <m/>
    <x v="0"/>
    <m/>
    <m/>
  </r>
  <r>
    <x v="85"/>
    <x v="62"/>
    <s v="Yes"/>
    <m/>
    <s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_x000a__x000a_1 = Left anterior descending artery (LAD) _x000a_2 = Diaganol artery _x000a_3 = Left circumflex (LCx) _x000a_4 = Left main coronary artery_x000a_5 = Posterior descending artery_x000a_6 = Right coronary artery _x000a_7 = Internal mammary graft _x000a_8 = Radial artery graft _x000a_9 = Saphenous vein graft _x000a_10 = Not stated/inadequately described"/>
    <s v="Up to 5 lesions can be entered. Fields are coded in data extract as LR1_LESION, LR2_LESION …  LR5_LESION. from the ncr tab: procedure "/>
    <s v="N"/>
    <s v="1 = Left anterior descending artery (LAD)_x000a_2 = Diaganol artery_x000a_3 = Left circumflex (LCx)_x000a_4 = Left main coronary artery_x000a_5 = Posterior descending artery_x000a_6 = Right coronary artery _x000a_7 = Internal mammary graft_x000a_8 = Radial artery graft_x000a_9 = Saphenous vein graft_x000a_10 = Not stated/inadequately described_x000a_NULL"/>
    <s v="1"/>
    <s v="10"/>
    <m/>
    <m/>
    <s v="Refer lr1_lesion"/>
    <m/>
    <x v="1"/>
    <m/>
    <s v="Cardiobase Angioplasty"/>
    <s v="Cardiobase Angioplasty"/>
    <m/>
    <m/>
    <m/>
    <m/>
    <m/>
    <m/>
    <m/>
    <m/>
    <m/>
    <x v="1"/>
    <m/>
    <m/>
    <x v="2"/>
    <d v="2022-07-22T00:00:00"/>
    <m/>
    <m/>
    <x v="0"/>
    <m/>
    <m/>
    <x v="0"/>
    <m/>
    <m/>
  </r>
  <r>
    <x v="86"/>
    <x v="68"/>
    <s v="Yes"/>
    <m/>
    <s v=""/>
    <s v="LOS=[DOD-DOA] Derived - no import on this field.  from the ncr tab: discharge "/>
    <s v="NNN"/>
    <s v="Number of days"/>
    <s v=""/>
    <s v=""/>
    <m/>
    <m/>
    <s v="Needs clarification for separation based length of stay, or hospital based length of stay.  Note that the national definitions here artificially set same day stays as 1 day (not zero)._x000a__x000a_Not required for export. However, dependent on accurate identification of DOD"/>
    <m/>
    <x v="18"/>
    <m/>
    <s v="HMDC"/>
    <m/>
    <m/>
    <s v="HMDC"/>
    <m/>
    <m/>
    <m/>
    <m/>
    <m/>
    <m/>
    <m/>
    <x v="1"/>
    <m/>
    <m/>
    <x v="3"/>
    <m/>
    <s v="PL"/>
    <s v="wa_los_hmdc"/>
    <x v="0"/>
    <n v="1"/>
    <m/>
    <x v="0"/>
    <s v="From HMDC Length_of_stay"/>
    <m/>
  </r>
  <r>
    <x v="87"/>
    <x v="69"/>
    <s v="Yes"/>
    <s v="This is the date of out-of-hospital death.   For patients who die whilst they are staying in hospital, the date of date is recorded as the date of discharge."/>
    <s v="Where the Follow-up status is coded as 'Deceased', what was the date of death? Record the date on which the patient died."/>
    <s v="DMORT30 must be ≥ DODReject file if dmort30 &lt;dod_x000a_Reject file if stat30=1 and dmort 30 is NULL_x000a_Reject file if stat30=0 and dmort 30 contains data_x000a_Reject file if dis=6 and dmort30 contains data from the ncr tab: follow_up "/>
    <s v="DD/MM/YYYY"/>
    <s v="DD/MM/YYYY"/>
    <s v=""/>
    <s v=""/>
    <m/>
    <m/>
    <s v="Deaths registration from WA Registrar of Deaths.  Note it will not include non-WA residents who are deceased._x000a_METEOR ref will require refinement for WACOR._x000a_"/>
    <m/>
    <x v="19"/>
    <m/>
    <s v="Deaths registry, Pending testing (another field STAT30 has overwritten)."/>
    <m/>
    <m/>
    <m/>
    <m/>
    <m/>
    <m/>
    <m/>
    <s v="Deaths registry"/>
    <m/>
    <s v="Pending testing (another field STAT30 has overwritten)."/>
    <x v="1"/>
    <n v="646025"/>
    <m/>
    <x v="3"/>
    <m/>
    <s v="PL"/>
    <s v="wa_date_death_dreg"/>
    <x v="0"/>
    <n v="1"/>
    <m/>
    <x v="1"/>
    <s v="From Disease Register DR_Death"/>
    <m/>
  </r>
  <r>
    <x v="88"/>
    <x v="70"/>
    <s v="Yes"/>
    <m/>
    <s v="Where item Subsequent PCI was coded ‘yes’, was the target vessel revascularised? \Indicate whether the target vessel was revascularised during the subsequent in-hospital PCI. _x000a_Note: A PCI TVR is any revascularisation due to restenosis/occlusion within the target coronary artery and/or the same arterial branch that was treated during the index PCI. This includes any percutaneous revascularisation within the same arterial branch treated during the index PCI, regardless of whether the index PCI was successful."/>
    <s v="Reject file if ihpci=0 and intvr has data_x000a_Reject file if ihpci =1 and ihtvr is NULL from the ncr tab: post_procedural "/>
    <s v="N"/>
    <s v="0=No_x000a_1=Yes"/>
    <s v="0"/>
    <s v="1"/>
    <m/>
    <m/>
    <s v="requires foreign key for [patient+file_number+lesion_site]  (file_number indicates the procedure)_x000a__x000a_Question for cardiologists: - where the first attempt at revascularisation fails, is this the desired intent (see lesion_success field in cardiobase)"/>
    <s v="Yes"/>
    <x v="17"/>
    <m/>
    <s v="Cardiobase Angioplasty"/>
    <s v="Cardiobase Angioplasty"/>
    <m/>
    <m/>
    <m/>
    <m/>
    <m/>
    <m/>
    <m/>
    <m/>
    <m/>
    <x v="0"/>
    <m/>
    <m/>
    <x v="0"/>
    <m/>
    <m/>
    <m/>
    <x v="2"/>
    <m/>
    <m/>
    <x v="0"/>
    <m/>
    <m/>
  </r>
  <r>
    <x v="89"/>
    <x v="63"/>
    <s v="Yes"/>
    <m/>
    <s v="Was the lesion successfully treated? Indicate whether the lesion was successfully treated. _x000a_Successful dilation of a lesion is considered where: _x000a_- Residual stenosis is less than 10% following coronary stenting; OR _x000a_- Residual stenosis is less than 50% after POBA (balloon angioplasty/atherectomy) alone_x000a_AND _x000a_- Coronary blood perfusion rates have reached TIMI 2 or TIMI 3 flow. _x000a__x000a_Note: Thrombolysis in Myocardial Infarction (TIMI) 2 flow (partial reperfusion) is evidenced by delayed or sluggish antegrade flow with complete filling of the distal territory. TIMI 3 flow (complete perfusion) is normal flow which fills the distal coronary bed completely."/>
    <s v="Up to 5 lesions can be entered. Fields coded in data extract as LR1_LESION, LR2_LESION …  LR5_LESION.Reject file if NULL and lr5_lesion has data from the ncr tab: procedure "/>
    <s v="N"/>
    <s v="0=No _x000a_1=Yes"/>
    <s v="0"/>
    <s v="1"/>
    <m/>
    <m/>
    <s v="Refer lr1_sit"/>
    <m/>
    <x v="1"/>
    <m/>
    <s v="Cardiobase Angioplasty"/>
    <s v="Cardiobase Angioplasty"/>
    <m/>
    <m/>
    <m/>
    <m/>
    <m/>
    <m/>
    <m/>
    <m/>
    <m/>
    <x v="1"/>
    <m/>
    <m/>
    <x v="0"/>
    <m/>
    <m/>
    <m/>
    <x v="1"/>
    <m/>
    <m/>
    <x v="0"/>
    <m/>
    <m/>
  </r>
  <r>
    <x v="90"/>
    <x v="64"/>
    <s v="Yes"/>
    <m/>
    <s v="What type of stent/balloon was used? Select ONE of the following options:_x000a_- Bare metal stents (BMS): Where one or more bare metal coronary stent(s) were implanted in the current lesion (and no other type of stent/scaffold was implanted)._x000a_- Drug eluting stents (DES): Where one or more drug eluting coronary stent(s) were implanted in the current lesion (and no other type of stent was implanted)._x000a_- Mixed stents (combined BMS &amp; DES): Where at least one BMS and at least one DES were implanted in the current lesion. _x000a_- Bioresorbable stent(s) (BRS):Where one or more bioresorbable coronary stent(s) were implanted in the current lesion (and no other type of stent/scaffold was implanted)._x000a_-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_x000a_- POBA (Plain Balloon Angioplasty): Where the only treatment for this lesion was balloon inflation to recanalise coronary arteries; this includes both balloons/catheters  coated in a drug (e.g. paclitaxel, etc.) or NOT coated with any drug. _x000a_- No Stent/No Balloon"/>
    <s v="Up to 5 lesions can be entered. Fields coded in data extract as LR1_LESION, LR2_LESION …  LR5_LESION.Reject file if NULL and lr5_lesion has data from the ncr tab: procedure "/>
    <s v="N"/>
    <s v="1=Bare metal stent(s) only (BMS)_x000a_2=Drug-eluting stent(s) (DES)_x000a_3=Mixed stent(s) (combined BMS &amp; DES)_x000a_4=Bioresorbable stent(s) (BRS)_x000a_5=Other stents/scaffolds _x000a_6 = POBA (Plain Balloon Angioplasty)_x000a_7= No Stent / No Balloon_x000a_8=Drug-eluting Balloon"/>
    <s v="1"/>
    <s v="7"/>
    <m/>
    <m/>
    <s v="Refer lr1_sit"/>
    <m/>
    <x v="1"/>
    <m/>
    <s v="Cardiobase Angioplasty"/>
    <s v="Cardiobase Angioplasty"/>
    <m/>
    <m/>
    <m/>
    <m/>
    <m/>
    <m/>
    <m/>
    <m/>
    <m/>
    <x v="1"/>
    <m/>
    <m/>
    <x v="2"/>
    <d v="2022-07-22T00:00:00"/>
    <m/>
    <m/>
    <x v="0"/>
    <m/>
    <m/>
    <x v="0"/>
    <m/>
    <m/>
  </r>
  <r>
    <x v="91"/>
    <x v="71"/>
    <s v="Yes"/>
    <m/>
    <s v="Where item In-hospital cardiothoracic surgery was coded ‘yes’, was the cardiothoracic surgery was planned? Indicate whether the cardiothoracic surgery was planned. _x000a_Note: A ‘planned cardiothoracic surgery’ is defined as a SCHEDULED surgical event only. For emergent surgeries that were not scheduled or planned, code as ‘no’._x000a_Note: Any target vessel revascularisation of a successfully treated lesion should be coded as ‘unplanned’.  Subsequent revascularisations of a previous unsuccessfully treated lesion is situation dependant Please contact NCR project team if unsure."/>
    <s v="Reject file if ihcab=0 and ihpcab has data_x000a_Reject file if ihcab=1 and ihpcab is NULL from the ncr tab: post_procedural "/>
    <s v=""/>
    <s v="0=No_x000a_1=Yes"/>
    <s v="0"/>
    <s v="1"/>
    <m/>
    <m/>
    <s v="The term SCHEDULED highlights that the NCR may have a specific term in mind and requires clarification.  The term planned/scheduled may refer to elective, or being scheduled as late as the day before. _x000a__x000a__x000a_This should be clarified with the NCR for disambiguation.  _x000a__x000a_May require TMS linkage."/>
    <m/>
    <x v="20"/>
    <m/>
    <s v="HMDC"/>
    <m/>
    <m/>
    <s v="HMDC"/>
    <m/>
    <m/>
    <m/>
    <m/>
    <m/>
    <m/>
    <m/>
    <x v="0"/>
    <m/>
    <m/>
    <x v="6"/>
    <m/>
    <s v="PL"/>
    <m/>
    <x v="2"/>
    <m/>
    <m/>
    <x v="0"/>
    <m/>
    <m/>
  </r>
  <r>
    <x v="92"/>
    <x v="72"/>
    <s v="Yes"/>
    <m/>
    <s v="Where In-hospital cardiothoracic surgery was coded ‘yes’, did the surgery involve the placing of coronary artery bypass grafts to revascularise the target vessel? Indicate whether the surgery involved the placing of coronary artery bypass grafts to revascularise the target vessel that was treated during the index PCI. _x000a_Note: A TVR CABG is a bypass revascularisation due to restenosis/occlusion within the target coronary artery and/or the same arterial branch treated during the index PCI."/>
    <s v="Reject file if ihcab=0 and ihtvcab has data_x000a_Reject file if ihcab=1 and ihtvcab is NULL from the ncr tab: post_procedural "/>
    <s v=""/>
    <s v="0=No_x000a_1=Yes"/>
    <s v="0"/>
    <s v="1"/>
    <m/>
    <m/>
    <s v="The data source which identifies the CABG would need to identify the lesion site which was treated also to be able to identify.  This will require data exploration from TMS is this is to be taken forward electronically, or identified via manual audit and/or review.  Questions to ask CT surgeons- which systems capture the vessels which are treated?"/>
    <m/>
    <x v="20"/>
    <m/>
    <s v=""/>
    <m/>
    <m/>
    <m/>
    <m/>
    <m/>
    <m/>
    <m/>
    <m/>
    <m/>
    <m/>
    <x v="0"/>
    <m/>
    <m/>
    <x v="0"/>
    <m/>
    <m/>
    <m/>
    <x v="2"/>
    <m/>
    <m/>
    <x v="0"/>
    <m/>
    <m/>
  </r>
  <r>
    <x v="93"/>
    <x v="73"/>
    <s v="Yes"/>
    <m/>
    <s v="Where cardiac rehospitalisation is coded as 'Yes', on what date was the rehospitalisation? Indicate the date of cardiac rehospitalisation"/>
    <s v="Up to 6 rehospitalisations be entered.  _x000a_ Fields are coded in data extract as CRH30, CRH30_2, CRH30_3-5..,Reject file if rhdte &gt;dod + 30_x000a_Reject file if rhdte &lt;dod_x000a_Reject file if crh30 =1 and rhdte is NULL_x000a_Reject file if crh30=0 and rhdte has data from the ncr tab: follow_up "/>
    <s v="DD/MM/YYYY"/>
    <s v="DD/MM/YYYY"/>
    <s v=""/>
    <s v=""/>
    <m/>
    <m/>
    <s v="The date of rehospitalisation - admission date assuming ED attendances are excluded.  (The WACOR registry should query with the NCR to see if there is a reason the NCR avoids the term readmission)."/>
    <m/>
    <x v="21"/>
    <m/>
    <s v="HMDC"/>
    <m/>
    <m/>
    <s v="HMDC"/>
    <m/>
    <m/>
    <m/>
    <m/>
    <m/>
    <m/>
    <m/>
    <x v="0"/>
    <m/>
    <m/>
    <x v="3"/>
    <m/>
    <s v="PL"/>
    <s v="wa_RHDTE30_hmdc"/>
    <x v="0"/>
    <n v="1"/>
    <m/>
    <x v="0"/>
    <s v="From Disease Register HMDC_READM_CARDIAC"/>
    <m/>
  </r>
  <r>
    <x v="94"/>
    <x v="74"/>
    <s v="Yes"/>
    <m/>
    <s v="Where Cardiac rehospitalisation is coded as 'Yes', was the hospitalisation planned? Indicate whether the cardiac rehospitalisation was planned.  Note: A 'planned cardiac rehospitalisation' is defined as an in-patient admission to hospital for a SCHEDULED visit only.  For emergency admissions, code as 'no'."/>
    <s v="Up to 6 rehospitalisations be entered.  _x000a_ Fields are coded in data extract as CRH30, CRH30_2, CRH30_3-5..,Reject file if  crh30=1 AND pc30 is NULL_x000a_Reject file if crh30=0 and pc30 has data from the ncr tab: follow_up "/>
    <s v="N"/>
    <s v="0=No_x000a_1=Yes_x000a_-1=Unknown"/>
    <s v="-1"/>
    <s v="1"/>
    <m/>
    <m/>
    <s v="The admission_status field from HMDS indicates 3 - elective wait list and 4 - elective non-waitlist should be included."/>
    <m/>
    <x v="21"/>
    <m/>
    <s v="HMDC"/>
    <m/>
    <m/>
    <s v="HMDC"/>
    <m/>
    <m/>
    <m/>
    <m/>
    <m/>
    <m/>
    <m/>
    <x v="0"/>
    <m/>
    <m/>
    <x v="3"/>
    <m/>
    <s v="PL"/>
    <s v="wa_PC30_hmdc"/>
    <x v="0"/>
    <n v="1"/>
    <m/>
    <x v="1"/>
    <s v="From Disease Register HMDC_READM_CARDIAC"/>
    <m/>
  </r>
  <r>
    <x v="95"/>
    <x v="75"/>
    <s v="Yes"/>
    <m/>
    <s v="Where Cardiac Rehospitalisation is coded as 'Yes', was PCI performed during this admission? Indicate whether Percutaneous Coronary Intervention (PCI) was performed during the cardiac rehospitalisation admission"/>
    <s v="Up to 6 rehospitalisations be entered.  _x000a_ Fields are coded in data extract as CRH30, CRH30_2, CRH30_3-5..,Reject file if  crh30=1 AND pci30 is NULL_x000a_Reject file if crh30=0 and pci30 has data from the ncr tab: follow_up "/>
    <s v="N"/>
    <s v="0=No_x000a_1=Yes_x000a_-1=Unknown"/>
    <s v="-1"/>
    <s v="1"/>
    <m/>
    <m/>
    <s v="HMDC (PCI ACHI codes)?Subsequent Cardiobase records?"/>
    <m/>
    <x v="21"/>
    <m/>
    <s v="HMDC"/>
    <m/>
    <m/>
    <s v="HMDC"/>
    <m/>
    <m/>
    <m/>
    <m/>
    <m/>
    <m/>
    <m/>
    <x v="0"/>
    <m/>
    <m/>
    <x v="3"/>
    <m/>
    <s v="PL"/>
    <s v="wa_PCI30_hmdc"/>
    <x v="0"/>
    <n v="1"/>
    <m/>
    <x v="1"/>
    <s v="From Disease Register HMDC_READM_CARDIAC"/>
    <m/>
  </r>
  <r>
    <x v="96"/>
    <x v="76"/>
    <s v="Yes"/>
    <m/>
    <s v="Where Cardiac Rehospitalisation is coded as 'Yes', was CABG performed during this admission? Indicate whether Coronary Bypass Grafting (CABG) was performed during the cardiac rehospitalisation admission"/>
    <s v="Up to 6 rehospitalisations be entered.  _x000a_ Fields are coded in data extract as CRH30, CRH30_2, CRH30_3-5..,Reject file if crh30=1 AND cab30 is NULL_x000a_Reject file if crh30=0, or -1, or NULL AND cab30 has data from the ncr tab: follow_up "/>
    <s v="N"/>
    <s v="_x000a_0=No_x000a_1=Yes_x000a_-1=Unknown"/>
    <s v="-1"/>
    <s v="1"/>
    <m/>
    <m/>
    <m/>
    <m/>
    <x v="21"/>
    <m/>
    <s v="HMDC"/>
    <m/>
    <m/>
    <s v="HMDC"/>
    <m/>
    <m/>
    <m/>
    <m/>
    <m/>
    <m/>
    <m/>
    <x v="1"/>
    <m/>
    <m/>
    <x v="3"/>
    <m/>
    <s v="PL"/>
    <s v="wa_CABG30_hmdc"/>
    <x v="0"/>
    <n v="1"/>
    <m/>
    <x v="0"/>
    <s v="From Disease Register HMDC_READM_CARDIAC"/>
    <m/>
  </r>
  <r>
    <x v="97"/>
    <x v="75"/>
    <s v="Yes"/>
    <m/>
    <s v=""/>
    <s v="Reject file if  crh30_2=1 AND pci30_2 is NULL_x000a_Reject file if crh30_2=NULL and pci30_2 has data from the ncr tab: follow_up "/>
    <s v="N"/>
    <s v="_x000a_0=No_x000a_1=Yes_x000a_-1=Unknown"/>
    <s v="-1"/>
    <s v="1"/>
    <m/>
    <m/>
    <s v=""/>
    <m/>
    <x v="2"/>
    <m/>
    <s v="HMDC"/>
    <m/>
    <m/>
    <s v="HMDC"/>
    <m/>
    <m/>
    <m/>
    <m/>
    <m/>
    <m/>
    <m/>
    <x v="0"/>
    <m/>
    <m/>
    <x v="3"/>
    <m/>
    <n v="0"/>
    <s v="wa_PCI30_2_hmdc"/>
    <x v="0"/>
    <n v="1"/>
    <m/>
    <x v="0"/>
    <s v="From Disease Register HMDC_READM_CARDIAC"/>
    <m/>
  </r>
  <r>
    <x v="98"/>
    <x v="76"/>
    <s v="Yes"/>
    <m/>
    <s v=""/>
    <s v="Reject file if crh30_2=1 AND cab30_2 is NULL_x000a_Reject file if crh30_2=0, or -1, or NULL AND cab30_2 has data from the ncr tab: follow_up "/>
    <s v="N"/>
    <s v="_x000a_0=No_x000a_1=Yes_x000a_-1=Unknown"/>
    <s v="-1"/>
    <s v="1"/>
    <m/>
    <m/>
    <m/>
    <m/>
    <x v="2"/>
    <m/>
    <s v="HMDC"/>
    <m/>
    <m/>
    <s v="HMDC"/>
    <m/>
    <m/>
    <m/>
    <m/>
    <m/>
    <m/>
    <m/>
    <x v="1"/>
    <m/>
    <m/>
    <x v="3"/>
    <m/>
    <s v="PL"/>
    <s v="wa_CABG30_2_hmdc"/>
    <x v="0"/>
    <n v="1"/>
    <m/>
    <x v="0"/>
    <s v="From Disease Register HMDC_READM_CARDIAC"/>
    <m/>
  </r>
  <r>
    <x v="99"/>
    <x v="75"/>
    <s v="Yes"/>
    <m/>
    <s v=""/>
    <s v="Reject file if  crh30_3=1 AND pci30_3 is NULL_x000a_Reject file if crh30_3=NULL and pci30_3 has data from the ncr tab: follow_up "/>
    <s v="N"/>
    <s v="_x000a_0=No_x000a_1=Yes_x000a_-1=Unknown"/>
    <s v="-1"/>
    <s v="1"/>
    <m/>
    <m/>
    <s v=""/>
    <m/>
    <x v="2"/>
    <m/>
    <s v="HMDC"/>
    <m/>
    <m/>
    <s v="HMDC"/>
    <m/>
    <m/>
    <m/>
    <m/>
    <m/>
    <m/>
    <m/>
    <x v="0"/>
    <m/>
    <m/>
    <x v="3"/>
    <m/>
    <s v="PL"/>
    <s v="wa_PCI30_3_hmdc"/>
    <x v="0"/>
    <n v="1"/>
    <m/>
    <x v="0"/>
    <s v="From Disease Register HMDC_READM_CARDIAC"/>
    <m/>
  </r>
  <r>
    <x v="100"/>
    <x v="76"/>
    <s v="Yes"/>
    <m/>
    <s v=""/>
    <s v="Reject file if crh30_3=1 AND cab30_3 is NULL_x000a_Reject file if crh30_3=0, or -1, or NULL AND cab30_3 has data from the ncr tab: follow_up "/>
    <s v="N"/>
    <s v="_x000a_0=No_x000a_1=Yes_x000a_-1=Unknown"/>
    <s v="-1"/>
    <s v="1"/>
    <m/>
    <m/>
    <s v=""/>
    <m/>
    <x v="2"/>
    <m/>
    <s v="HMDC"/>
    <m/>
    <m/>
    <s v="HMDC"/>
    <m/>
    <m/>
    <m/>
    <m/>
    <m/>
    <m/>
    <m/>
    <x v="1"/>
    <m/>
    <m/>
    <x v="3"/>
    <m/>
    <s v="PL"/>
    <s v="wa_CABG30_3_hmdc"/>
    <x v="0"/>
    <n v="1"/>
    <m/>
    <x v="0"/>
    <s v="From Disease Register HMDC_READM_CARDIAC"/>
    <m/>
  </r>
  <r>
    <x v="101"/>
    <x v="75"/>
    <s v="Yes"/>
    <m/>
    <s v=""/>
    <s v="Reject file if  crh30_4=1 AND pci30_4 is NULL_x000a_Reject file if crh30_4=NULL and pci30_4 has data from the ncr tab: follow_up "/>
    <s v="N"/>
    <s v="_x000a_0=No_x000a_1=Yes_x000a_-1=Unknown"/>
    <s v="-1"/>
    <s v="1"/>
    <m/>
    <m/>
    <m/>
    <m/>
    <x v="2"/>
    <m/>
    <s v="HMDC"/>
    <m/>
    <m/>
    <s v="HMDC"/>
    <m/>
    <m/>
    <m/>
    <m/>
    <m/>
    <m/>
    <m/>
    <x v="0"/>
    <m/>
    <m/>
    <x v="3"/>
    <m/>
    <s v="PL"/>
    <s v="wa_PCI30_4_hmdc"/>
    <x v="0"/>
    <n v="1"/>
    <m/>
    <x v="0"/>
    <s v="From Disease Register HMDC_READM_CARDIAC"/>
    <m/>
  </r>
  <r>
    <x v="102"/>
    <x v="76"/>
    <s v="Yes"/>
    <m/>
    <s v=""/>
    <s v="Reject file if crh30_4=1 AND cab30_4 is NULL_x000a_Reject file if crh30_4=0, or -1, or NULL AND cab30_4 has data from the ncr tab: follow_up "/>
    <s v="N"/>
    <s v="_x000a_0=No_x000a_1=Yes_x000a_-1=Unknown"/>
    <s v="-1"/>
    <s v="1"/>
    <m/>
    <m/>
    <s v=""/>
    <m/>
    <x v="2"/>
    <m/>
    <s v="HMDC"/>
    <m/>
    <m/>
    <s v="HMDC"/>
    <m/>
    <m/>
    <m/>
    <m/>
    <m/>
    <m/>
    <m/>
    <x v="1"/>
    <m/>
    <m/>
    <x v="3"/>
    <m/>
    <s v="PL"/>
    <s v="wa_CABG30_4_hmdc"/>
    <x v="0"/>
    <n v="1"/>
    <m/>
    <x v="0"/>
    <s v="From Disease Register HMDC_READM_CARDIAC"/>
    <m/>
  </r>
  <r>
    <x v="103"/>
    <x v="75"/>
    <s v="Yes"/>
    <m/>
    <s v=""/>
    <s v="Reject file if  crh30_5=1 AND pci30_5 is NULL_x000a_Reject file if crh30_5=NULL and pci30_5 has data from the ncr tab: follow_up "/>
    <s v="N"/>
    <s v="_x000a_0=No_x000a_1=Yes_x000a_-1=Unknown"/>
    <s v="-1"/>
    <s v="1"/>
    <m/>
    <m/>
    <s v=""/>
    <m/>
    <x v="2"/>
    <m/>
    <s v="HMDC"/>
    <m/>
    <m/>
    <s v="HMDC"/>
    <m/>
    <m/>
    <m/>
    <m/>
    <m/>
    <m/>
    <m/>
    <x v="0"/>
    <m/>
    <m/>
    <x v="3"/>
    <m/>
    <s v="PL"/>
    <s v="wa_PCI30_5_hmdc"/>
    <x v="0"/>
    <n v="1"/>
    <m/>
    <x v="0"/>
    <s v="From Disease Register HMDC_READM_CARDIAC"/>
    <m/>
  </r>
  <r>
    <x v="104"/>
    <x v="76"/>
    <s v="Yes"/>
    <m/>
    <s v=""/>
    <s v="Reject file if crh30_5=1 AND cab30_5 is NULL_x000a_Reject file if crh30_5=0, or -1, or NULL AND cab30_5 has data from the ncr tab: follow_up "/>
    <s v="N"/>
    <s v="_x000a_0=No_x000a_1=Yes_x000a_-1=Unknown"/>
    <s v="-1"/>
    <s v="1"/>
    <m/>
    <m/>
    <s v=""/>
    <m/>
    <x v="2"/>
    <m/>
    <s v="HMDC"/>
    <m/>
    <m/>
    <s v="HMDC"/>
    <m/>
    <m/>
    <m/>
    <m/>
    <m/>
    <m/>
    <m/>
    <x v="1"/>
    <m/>
    <m/>
    <x v="3"/>
    <m/>
    <s v="PL"/>
    <s v="wa_CABG30_5_hmdc"/>
    <x v="0"/>
    <n v="1"/>
    <m/>
    <x v="0"/>
    <s v="From Disease Register HMDC_READM_CARDIAC"/>
    <m/>
  </r>
  <r>
    <x v="105"/>
    <x v="75"/>
    <s v="Yes"/>
    <m/>
    <s v=""/>
    <s v="Reject file if  crh30_6=1 AND pci30_6 is NULL_x000a_Reject file if crh30_6=NULL and pci30_6 has data from the ncr tab: follow_up "/>
    <s v="N"/>
    <s v="_x000a_0=No_x000a_1=Yes_x000a_-1=Unknown"/>
    <s v="-1"/>
    <s v="1"/>
    <m/>
    <m/>
    <s v=""/>
    <m/>
    <x v="2"/>
    <m/>
    <s v="HMDC"/>
    <m/>
    <m/>
    <s v="HMDC"/>
    <m/>
    <m/>
    <m/>
    <m/>
    <m/>
    <m/>
    <m/>
    <x v="0"/>
    <m/>
    <m/>
    <x v="3"/>
    <m/>
    <n v="0"/>
    <s v="wa_PCI30_6_hmdc"/>
    <x v="0"/>
    <n v="1"/>
    <m/>
    <x v="0"/>
    <s v="From Disease Register HMDC_READM_CARDIAC"/>
    <m/>
  </r>
  <r>
    <x v="106"/>
    <x v="76"/>
    <s v="Yes"/>
    <m/>
    <s v=""/>
    <s v="Reject file if crh30_6=1 AND cab30_6 is NULL_x000a_Reject file if crh30_6=0, or -1, or NULL AND cab30_6 has data from the ncr tab: follow_up "/>
    <s v="N"/>
    <s v="_x000a_0=No_x000a_1=Yes_x000a_-1=Unknown"/>
    <s v="-1"/>
    <s v="1"/>
    <m/>
    <m/>
    <s v=""/>
    <m/>
    <x v="2"/>
    <m/>
    <s v="HMDC"/>
    <m/>
    <m/>
    <s v="HMDC"/>
    <m/>
    <m/>
    <m/>
    <m/>
    <m/>
    <m/>
    <m/>
    <x v="1"/>
    <m/>
    <m/>
    <x v="3"/>
    <m/>
    <s v="PL"/>
    <s v="wa_CABG30_6_hmdc"/>
    <x v="0"/>
    <n v="1"/>
    <m/>
    <x v="0"/>
    <s v="From Disease Register HMDC_READM_CARDIAC"/>
    <m/>
  </r>
  <r>
    <x v="107"/>
    <x v="77"/>
    <m/>
    <s v="This is the date the balloon or device was inflated."/>
    <s v="This definition is not in the NCR data dictionary."/>
    <s v="This definition is not in the NCR data dictionary."/>
    <s v="DD/MM/YYYY"/>
    <m/>
    <m/>
    <m/>
    <m/>
    <m/>
    <s v="This data element splits the balloon or device date time into a single piece of information (date).  This makes daily reporting easier."/>
    <m/>
    <x v="22"/>
    <m/>
    <s v="Cardiobase Angioplasty"/>
    <s v="Cardiobase Angioplasty"/>
    <m/>
    <m/>
    <m/>
    <m/>
    <m/>
    <m/>
    <m/>
    <m/>
    <m/>
    <x v="4"/>
    <m/>
    <m/>
    <x v="3"/>
    <m/>
    <m/>
    <m/>
    <x v="2"/>
    <m/>
    <m/>
    <x v="0"/>
    <m/>
    <m/>
  </r>
  <r>
    <x v="108"/>
    <x v="78"/>
    <m/>
    <s v="The time the balloon or device was inflated, in 24h format."/>
    <s v="This definition is not in the NCR data dictionary."/>
    <s v="This definition is not in the NCR data dictionary."/>
    <s v="HH:MM"/>
    <m/>
    <m/>
    <m/>
    <m/>
    <m/>
    <s v="This data element splits the balloon or device date time into a single piece of information (time).  This makes hourly reporting easier."/>
    <m/>
    <x v="22"/>
    <m/>
    <s v="Cardiobase Angioplasty"/>
    <s v="Cardiobase Angioplasty"/>
    <m/>
    <m/>
    <m/>
    <m/>
    <m/>
    <m/>
    <m/>
    <m/>
    <m/>
    <x v="4"/>
    <m/>
    <m/>
    <x v="3"/>
    <m/>
    <m/>
    <m/>
    <x v="2"/>
    <m/>
    <m/>
    <x v="0"/>
    <m/>
    <m/>
  </r>
  <r>
    <x v="109"/>
    <x v="79"/>
    <s v="Yes"/>
    <m/>
    <s v=""/>
    <s v="from the NCR tab: site "/>
    <s v="NNNNNN"/>
    <s v=""/>
    <s v=""/>
    <s v=""/>
    <m/>
    <m/>
    <s v=""/>
    <m/>
    <x v="1"/>
    <m/>
    <s v=""/>
    <m/>
    <m/>
    <m/>
    <m/>
    <m/>
    <m/>
    <m/>
    <m/>
    <m/>
    <m/>
    <x v="1"/>
    <m/>
    <m/>
    <x v="2"/>
    <d v="2022-07-22T00:00:00"/>
    <m/>
    <m/>
    <x v="0"/>
    <m/>
    <m/>
    <x v="0"/>
    <m/>
    <m/>
  </r>
  <r>
    <x v="110"/>
    <x v="80"/>
    <s v="No"/>
    <s v="A derived identifier from clinically coded data."/>
    <m/>
    <m/>
    <s v="N"/>
    <s v="1 or 0"/>
    <n v="0"/>
    <n v="1"/>
    <s v="10 = definition drafted"/>
    <s v="This derives its meaning from the World Health Organisation's Classification of Diseases (ICD-10-AM).  The description has been entered into the casenotes as a confirmed diagnosis and coded by trained staff."/>
    <m/>
    <m/>
    <x v="22"/>
    <m/>
    <s v="HMDC"/>
    <m/>
    <m/>
    <s v="HMDC"/>
    <m/>
    <m/>
    <m/>
    <m/>
    <m/>
    <m/>
    <m/>
    <x v="2"/>
    <m/>
    <s v="A related definition can be found in the Acute Coronary Syndrome event type codes: https://meteor.aihw.gov.au/content/338254"/>
    <x v="3"/>
    <m/>
    <m/>
    <m/>
    <x v="2"/>
    <m/>
    <m/>
    <x v="0"/>
    <m/>
    <m/>
  </r>
  <r>
    <x v="111"/>
    <x v="81"/>
    <s v="Yes"/>
    <m/>
    <s v=" -"/>
    <s v="INP=0 if [ACS=1] &amp; [DSO &amp; TSO] &lt; [DOA &amp; TOA] _x000a_INP=1 if [ACS=1] &amp; [DSO &amp; TSO] ≥ [DOA &amp; TOA] _x000a_INP is null if ACS=0Derived variable from the ncr tab: procedure "/>
    <s v="N"/>
    <s v="0=No _x000a_1=Yes"/>
    <s v="0"/>
    <s v="1"/>
    <m/>
    <m/>
    <s v="Derived. Means onset of symptoms that the patient was an inpatient.  As such need a time span from date of admission to date of hospital separation?  _x000a__x000a_"/>
    <m/>
    <x v="3"/>
    <m/>
    <s v="HMDC"/>
    <m/>
    <m/>
    <s v="HMDC"/>
    <m/>
    <m/>
    <m/>
    <m/>
    <m/>
    <m/>
    <m/>
    <x v="0"/>
    <m/>
    <m/>
    <x v="6"/>
    <m/>
    <s v="PL"/>
    <m/>
    <x v="2"/>
    <m/>
    <m/>
    <x v="0"/>
    <m/>
    <m/>
  </r>
  <r>
    <x v="112"/>
    <x v="82"/>
    <s v="Yes"/>
    <m/>
    <s v="Did a stent thrombosis occur during the 30-day follow-up period? Indicate whether a stent thrombosis occurred within 30 days from the date of discharge from the current admission.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_x000a_Select ONE of the following options that apply:_x000a_-No stent thrombosis: Where there are no acute coronary syndrome (ACS) symptoms or death after the index PCI lab visit and/or prior to discharge OR ACS symptoms occur during the defined period, but angiographic evidence does not indicate thrombus or occlusion._x000a_-Definite stent thrombosis: The presence of an ACS with angiographic or autopsy evidence of thrombus or occlusion._x000a_-Probable stent thrombosis: Includes unexplained deaths during the index admission after the procedure or acute myocardial infarction involving the target-vessel territory without angiographic or autopsy confirmation._x000a_-Silent stent thrombosis: The incidental angiographic documentation of stent occlusion in the absence of clinical_x000a_signs or symptoms is not considered stent thrombosis._x000a_-Unknown"/>
    <s v="Reject file if NULL and STAT30≥0_x000a_Reject file if stat30=-1 and st30 contains data_x000a_Reject file if dis=6 and st30 contains data from the ncr tab: follow_up "/>
    <s v="N"/>
    <s v="_x000a_0=No stent thrombosis _x000a_1=Definite stent thrombosis  _x000a_2=Probable stent thrombosis_x000a_3=Silent stent thrombosis_x000a_-1 =Unknown"/>
    <s v="-1"/>
    <s v="3"/>
    <m/>
    <m/>
    <s v="Refers to post-discharge thrombosis, cardiobase may not record the date of thrombosis, therefore hard to identify._x000a__x000a_Requires business rule to identify patients who are treated for PCI where the indication for PCI is stent thrombosis (identifies partial cohort for this group of patients)_x000a__x000a_ICD code for stent thrombosis to help to identify. T82.2_x000a__x000a_ED Dataset_x000a__x000a_NACS_x000a__x000a_BW - T82.2 refers to &quot;Mechanical complication of coronary artery bypass graft and biological heart valve graft&quot;"/>
    <m/>
    <x v="23"/>
    <m/>
    <s v="Cardiobase Angioplasty, HMDC, EDDC, HIH"/>
    <s v="Cardiobase Angioplasty"/>
    <m/>
    <s v="HMDC"/>
    <s v="EDDC"/>
    <m/>
    <s v="HIH"/>
    <m/>
    <m/>
    <m/>
    <m/>
    <x v="0"/>
    <m/>
    <m/>
    <x v="8"/>
    <m/>
    <m/>
    <m/>
    <x v="2"/>
    <m/>
    <m/>
    <x v="0"/>
    <m/>
    <m/>
  </r>
  <r>
    <x v="113"/>
    <x v="83"/>
    <s v="Yes"/>
    <m/>
    <s v="Has the patient had an Out-of-hospital cardiac arrest? Indicate if the patient has experienced an out of hospital cardiac arrest (i.e. the lack of effective cardiac output) including if the person was under cardiac arrest at the time of presentation to the hospital. "/>
    <s v="Reject file if OCA is NULL from the ncr tab: admission_preprocedural "/>
    <s v="N"/>
    <s v="0=No_x000a_1=Yes"/>
    <s v="0"/>
    <s v="1"/>
    <m/>
    <m/>
    <s v="HMDS, query Y code with WACCA."/>
    <m/>
    <x v="1"/>
    <m/>
    <s v="HMDC"/>
    <m/>
    <m/>
    <s v="HMDC"/>
    <m/>
    <m/>
    <m/>
    <m/>
    <m/>
    <m/>
    <m/>
    <x v="0"/>
    <m/>
    <m/>
    <x v="0"/>
    <m/>
    <m/>
    <m/>
    <x v="1"/>
    <m/>
    <m/>
    <x v="0"/>
    <m/>
    <m/>
  </r>
  <r>
    <x v="114"/>
    <x v="84"/>
    <s v="Yes"/>
    <m/>
    <s v=""/>
    <s v="State generated, must be unique to each patient Reject file if patientid is NULL from the ncr tab: patient "/>
    <s v=""/>
    <s v=""/>
    <s v=""/>
    <s v=""/>
    <m/>
    <m/>
    <s v=""/>
    <m/>
    <x v="1"/>
    <m/>
    <s v=""/>
    <m/>
    <m/>
    <m/>
    <m/>
    <m/>
    <m/>
    <m/>
    <m/>
    <m/>
    <m/>
    <x v="0"/>
    <m/>
    <m/>
    <x v="0"/>
    <m/>
    <m/>
    <m/>
    <x v="0"/>
    <m/>
    <m/>
    <x v="0"/>
    <m/>
    <m/>
  </r>
  <r>
    <x v="115"/>
    <x v="5"/>
    <s v="Yes"/>
    <m/>
    <s v=""/>
    <s v=" from the ncr tab: follow_up "/>
    <s v="N"/>
    <s v="_x000a__x000a_1=Yes_x000a_NULL"/>
    <s v="1"/>
    <s v="1"/>
    <m/>
    <m/>
    <s v=""/>
    <m/>
    <x v="2"/>
    <m/>
    <s v="HMDC"/>
    <m/>
    <m/>
    <s v="HMDC"/>
    <m/>
    <m/>
    <m/>
    <m/>
    <m/>
    <m/>
    <m/>
    <x v="1"/>
    <m/>
    <m/>
    <x v="7"/>
    <m/>
    <n v="0"/>
    <s v="wa_CRH30_2_hmdc"/>
    <x v="0"/>
    <m/>
    <m/>
    <x v="0"/>
    <s v="From Disease Register HMDC_READM_CARDIAC"/>
    <m/>
  </r>
  <r>
    <x v="116"/>
    <x v="73"/>
    <s v="Yes"/>
    <m/>
    <s v=""/>
    <s v="Reject file if rhdte_2 &gt;dod + 30_x000a_Reject file if rhdte_2 &lt;dod_x000a_Reject file if crh30_2 =1 and rhdte_2 is NULL_x000a_Reject file if crh30_2=NULL and rhdte_2 has data from the ncr tab: follow_up "/>
    <s v="DD/MM/YYYY"/>
    <s v="DD/MM/YYYY"/>
    <s v=""/>
    <s v=""/>
    <m/>
    <m/>
    <s v=""/>
    <m/>
    <x v="2"/>
    <m/>
    <s v="HMDC"/>
    <m/>
    <m/>
    <s v="HMDC"/>
    <m/>
    <m/>
    <m/>
    <m/>
    <m/>
    <m/>
    <m/>
    <x v="0"/>
    <m/>
    <m/>
    <x v="7"/>
    <m/>
    <n v="0"/>
    <s v="wa_RHDTE30_2_hmdc"/>
    <x v="0"/>
    <m/>
    <m/>
    <x v="0"/>
    <s v="From Disease Register HMDC_READM_CARDIAC"/>
    <m/>
  </r>
  <r>
    <x v="117"/>
    <x v="74"/>
    <s v="Yes"/>
    <m/>
    <s v=""/>
    <s v="Reject file if  crh30_2=1 AND pc30_2 is NULL_x000a_Reject file if crh30_2=NULL and pc30_2 has data from the ncr tab: follow_up "/>
    <s v="N"/>
    <s v="_x000a_0=No_x000a_1=Yes_x000a_-1=Unknown"/>
    <s v="-1"/>
    <s v="1"/>
    <m/>
    <m/>
    <s v=""/>
    <m/>
    <x v="2"/>
    <m/>
    <s v="HMDC"/>
    <m/>
    <m/>
    <s v="HMDC"/>
    <m/>
    <m/>
    <m/>
    <m/>
    <m/>
    <m/>
    <m/>
    <x v="0"/>
    <m/>
    <m/>
    <x v="7"/>
    <m/>
    <n v="0"/>
    <s v="wa_PC30_2_hmdc"/>
    <x v="0"/>
    <m/>
    <m/>
    <x v="0"/>
    <s v="From Disease Register HMDC_READM_CARDIAC"/>
    <m/>
  </r>
  <r>
    <x v="118"/>
    <x v="5"/>
    <s v="Yes"/>
    <m/>
    <s v=""/>
    <s v=" from the ncr tab: follow_up "/>
    <s v="N"/>
    <s v="_x000a__x000a_1=Yes_x000a_NULL"/>
    <s v="1"/>
    <s v="1"/>
    <m/>
    <m/>
    <s v=""/>
    <m/>
    <x v="2"/>
    <m/>
    <s v="HMDC"/>
    <m/>
    <m/>
    <s v="HMDC"/>
    <m/>
    <m/>
    <m/>
    <m/>
    <m/>
    <m/>
    <m/>
    <x v="1"/>
    <m/>
    <m/>
    <x v="3"/>
    <m/>
    <n v="0"/>
    <s v="wa_CRH30_3_hmdc"/>
    <x v="0"/>
    <m/>
    <m/>
    <x v="0"/>
    <s v="From Disease Register HMDC_READM_CARDIAC"/>
    <m/>
  </r>
  <r>
    <x v="119"/>
    <x v="73"/>
    <s v="Yes"/>
    <m/>
    <s v=""/>
    <s v="Reject file if rhdte_3 &gt;dod + 30_x000a_Reject file if rhdte_3 &lt;dod_x000a_Reject file if crh30_3 =1 and rhdte_3 is NULL_x000a_Reject file if crh30_3=NULL and rhdte_3 has data from the ncr tab: follow_up "/>
    <s v="DD/MM/YYYY"/>
    <s v="DD/MM/YYYY"/>
    <s v=""/>
    <s v=""/>
    <m/>
    <m/>
    <s v=""/>
    <m/>
    <x v="2"/>
    <m/>
    <s v="HMDC"/>
    <m/>
    <m/>
    <s v="HMDC"/>
    <m/>
    <m/>
    <m/>
    <m/>
    <m/>
    <m/>
    <m/>
    <x v="0"/>
    <m/>
    <m/>
    <x v="6"/>
    <m/>
    <s v="PL"/>
    <s v="wa_RHDTE30_3_hmdc"/>
    <x v="0"/>
    <m/>
    <m/>
    <x v="0"/>
    <s v="From Disease Register HMDC_READM_CARDIAC"/>
    <m/>
  </r>
  <r>
    <x v="120"/>
    <x v="74"/>
    <s v="Yes"/>
    <m/>
    <s v=""/>
    <s v="Reject file if  crh30_3=1 AND pc30_3 is NULL_x000a_Reject file if crh30_3=NULL and pc30_3 has data from the ncr tab: follow_up "/>
    <s v="N"/>
    <s v="_x000a_0=No_x000a_1=Yes_x000a_-1=Unknown"/>
    <s v="-1"/>
    <s v="1"/>
    <m/>
    <m/>
    <s v=""/>
    <m/>
    <x v="2"/>
    <m/>
    <s v="HMDC"/>
    <m/>
    <m/>
    <s v="HMDC"/>
    <m/>
    <m/>
    <m/>
    <m/>
    <m/>
    <m/>
    <m/>
    <x v="0"/>
    <m/>
    <m/>
    <x v="7"/>
    <m/>
    <n v="0"/>
    <s v="wa_PC30_3_hmdc"/>
    <x v="0"/>
    <m/>
    <m/>
    <x v="0"/>
    <s v="From Disease Register HMDC_READM_CARDIAC"/>
    <m/>
  </r>
  <r>
    <x v="121"/>
    <x v="5"/>
    <s v="Yes"/>
    <m/>
    <s v=""/>
    <s v=" from the ncr tab: follow_up "/>
    <s v="N"/>
    <s v="_x000a__x000a_1=Yes_x000a_NULL"/>
    <s v="1"/>
    <s v="1"/>
    <m/>
    <m/>
    <s v=""/>
    <m/>
    <x v="2"/>
    <m/>
    <s v="HMDC"/>
    <m/>
    <m/>
    <s v="HMDC"/>
    <m/>
    <m/>
    <m/>
    <m/>
    <m/>
    <m/>
    <m/>
    <x v="1"/>
    <m/>
    <m/>
    <x v="9"/>
    <m/>
    <n v="0"/>
    <s v="wa_CRH30_4_hmdc"/>
    <x v="0"/>
    <m/>
    <m/>
    <x v="0"/>
    <s v="From Disease Register HMDC_READM_CARDIAC"/>
    <m/>
  </r>
  <r>
    <x v="122"/>
    <x v="85"/>
    <s v="Yes"/>
    <m/>
    <s v="Where CABG rehospitalisation  is coded as 'Yes', did the surgery involved the placing of coronary artery bypass grafts to revascularise the target vessel treated during the index Indicate whether the surgery involved the placing of coronary artery bypass grafts to revascularise the target vessel treated during the index PCI"/>
    <s v="Up to 6 rehospitalisations be entered.  _x000a_ Fields are coded in data extract as CRH30, CRH30_2, CRH30_3-5..,Reject file if cab30 =0, or -1, or NULL and tvcab30 has data_x000a_Reject file if cab30=1 and tvcab30 is NULL from the ncr tab: follow_up "/>
    <s v="N"/>
    <s v="_x000a_0=No_x000a_1=Yes_x000a_-1=Unknown"/>
    <s v="-1"/>
    <s v="1"/>
    <m/>
    <m/>
    <s v="We need to talk to some cardiothoracic surgeons._x000a__x000a_Possibly available from a Cardiothoracic surgical system?"/>
    <m/>
    <x v="24"/>
    <m/>
    <s v=""/>
    <m/>
    <m/>
    <m/>
    <m/>
    <m/>
    <m/>
    <m/>
    <m/>
    <m/>
    <m/>
    <x v="0"/>
    <m/>
    <m/>
    <x v="0"/>
    <m/>
    <m/>
    <m/>
    <x v="2"/>
    <m/>
    <m/>
    <x v="0"/>
    <m/>
    <m/>
  </r>
  <r>
    <x v="123"/>
    <x v="73"/>
    <s v="Yes"/>
    <m/>
    <s v=""/>
    <s v="Reject file if rhdte_4 &gt;dod + 30_x000a_Reject file if rhdte_4 &lt;dod_x000a_Reject file if crh30_4 =1 and rhdte_4 is NULL_x000a_Reject file if crh30_4=NULL and rhdte_4 has data from the ncr tab: follow_up "/>
    <s v="DD/MM/YYYY"/>
    <s v="DD/MM/YYYY"/>
    <s v=""/>
    <s v=""/>
    <m/>
    <m/>
    <s v=""/>
    <m/>
    <x v="2"/>
    <m/>
    <s v="HMDC"/>
    <m/>
    <m/>
    <s v="HMDC"/>
    <m/>
    <m/>
    <m/>
    <m/>
    <m/>
    <m/>
    <m/>
    <x v="0"/>
    <m/>
    <m/>
    <x v="7"/>
    <m/>
    <n v="0"/>
    <s v="wa_RHDTE30_4_hmdc"/>
    <x v="0"/>
    <m/>
    <m/>
    <x v="0"/>
    <s v="From Disease Register HMDC_READM_CARDIAC"/>
    <m/>
  </r>
  <r>
    <x v="124"/>
    <x v="74"/>
    <s v="Yes"/>
    <m/>
    <s v=""/>
    <s v="Reject file if  crh30_4=1 AND pc30_4 is NULL_x000a_Reject file if crh30_4=NULL and pc30_4 has data from the ncr tab: follow_up "/>
    <s v="N"/>
    <s v="_x000a_0=No_x000a_1=Yes_x000a_-1=Unknown"/>
    <s v="-1"/>
    <s v="1"/>
    <m/>
    <m/>
    <s v=""/>
    <m/>
    <x v="2"/>
    <m/>
    <s v="HMDC"/>
    <m/>
    <m/>
    <s v="HMDC"/>
    <m/>
    <m/>
    <m/>
    <m/>
    <m/>
    <m/>
    <m/>
    <x v="0"/>
    <m/>
    <m/>
    <x v="7"/>
    <m/>
    <n v="0"/>
    <s v="wa_PC30_4_hmdc"/>
    <x v="0"/>
    <m/>
    <m/>
    <x v="0"/>
    <s v="From Disease Register HMDC_READM_CARDIAC"/>
    <m/>
  </r>
  <r>
    <x v="125"/>
    <x v="5"/>
    <s v="Yes"/>
    <m/>
    <s v=""/>
    <s v=" from the ncr tab: follow_up "/>
    <s v="N"/>
    <s v="_x000a__x000a_1=Yes_x000a_NULL"/>
    <s v="1"/>
    <s v="1"/>
    <m/>
    <m/>
    <s v=""/>
    <m/>
    <x v="2"/>
    <m/>
    <s v="HMDC"/>
    <m/>
    <m/>
    <s v="HMDC"/>
    <m/>
    <m/>
    <m/>
    <m/>
    <m/>
    <m/>
    <m/>
    <x v="1"/>
    <m/>
    <m/>
    <x v="7"/>
    <m/>
    <n v="0"/>
    <s v="wa_CRH30_5_hmdc"/>
    <x v="0"/>
    <m/>
    <m/>
    <x v="0"/>
    <s v="From Disease Register HMDC_READM_CARDIAC"/>
    <m/>
  </r>
  <r>
    <x v="126"/>
    <x v="73"/>
    <s v="Yes"/>
    <m/>
    <s v=""/>
    <s v="Reject file if rhdte_5 &gt;dod + 30_x000a_Reject file if rhdte_5 &lt;dod_x000a_Reject file if crh30_5 =1 and rhdte_5 is NULL_x000a_Reject file if crh30_5=NULL and rhdte_5 has data from the ncr tab: follow_up "/>
    <s v="DD/MM/YYYY"/>
    <s v="DD/MM/YYYY"/>
    <s v=""/>
    <s v=""/>
    <m/>
    <m/>
    <s v=""/>
    <m/>
    <x v="2"/>
    <m/>
    <s v="HMDC"/>
    <m/>
    <m/>
    <s v="HMDC"/>
    <m/>
    <m/>
    <m/>
    <m/>
    <m/>
    <m/>
    <m/>
    <x v="0"/>
    <m/>
    <m/>
    <x v="3"/>
    <m/>
    <n v="0"/>
    <s v="wa_RHDTE30_5_hmdc"/>
    <x v="0"/>
    <m/>
    <m/>
    <x v="0"/>
    <s v="From Disease Register HMDC_READM_CARDIAC"/>
    <m/>
  </r>
  <r>
    <x v="127"/>
    <x v="74"/>
    <s v="Yes"/>
    <m/>
    <s v=""/>
    <s v="Reject file if  crh30_5=1 AND pc30_5 is NULL_x000a_Reject file if crh30_5=NULL and pc30_5 has data from the ncr tab: follow_up "/>
    <s v="N"/>
    <s v="_x000a_0=No_x000a_1=Yes_x000a_-1=Unknown"/>
    <s v="-1"/>
    <s v="1"/>
    <m/>
    <m/>
    <s v=""/>
    <m/>
    <x v="2"/>
    <m/>
    <s v="HMDC"/>
    <m/>
    <m/>
    <s v="HMDC"/>
    <m/>
    <m/>
    <m/>
    <m/>
    <m/>
    <m/>
    <m/>
    <x v="0"/>
    <m/>
    <m/>
    <x v="6"/>
    <m/>
    <s v="PL"/>
    <s v="wa_PC30_5_hmdc"/>
    <x v="0"/>
    <m/>
    <m/>
    <x v="0"/>
    <s v="From Disease Register HMDC_READM_CARDIAC"/>
    <m/>
  </r>
  <r>
    <x v="128"/>
    <x v="5"/>
    <s v="Yes"/>
    <m/>
    <s v=""/>
    <s v="from the NCR tab: follow_up "/>
    <s v="N"/>
    <s v="_x000a__x000a_1=Yes_x000a_NULL"/>
    <s v="1"/>
    <s v="1"/>
    <m/>
    <m/>
    <s v=""/>
    <m/>
    <x v="2"/>
    <m/>
    <s v="HMDC"/>
    <m/>
    <m/>
    <s v="HMDC"/>
    <m/>
    <m/>
    <m/>
    <m/>
    <m/>
    <m/>
    <m/>
    <x v="1"/>
    <m/>
    <m/>
    <x v="7"/>
    <m/>
    <n v="0"/>
    <s v="wa_CRH30_6_hmdc"/>
    <x v="0"/>
    <m/>
    <m/>
    <x v="0"/>
    <s v="From Disease Register HMDC_READM_CARDIAC"/>
    <m/>
  </r>
  <r>
    <x v="129"/>
    <x v="73"/>
    <s v="Yes"/>
    <m/>
    <s v=""/>
    <s v="Reject file if rhdte_6 &gt;dod + 30_x000a_Reject file if rhdte_6 &lt;dod_x000a_Reject file if crh30_6 =1 and rhdte_6 is NULL_x000a_Reject file if crh30_6=NULL and rhdte_6 has data from the ncr tab: follow_up "/>
    <s v="DD/MM/YYYY"/>
    <s v="DD/MM/YYYY"/>
    <s v=""/>
    <s v=""/>
    <m/>
    <m/>
    <s v=""/>
    <m/>
    <x v="2"/>
    <m/>
    <s v="HMDC"/>
    <m/>
    <m/>
    <s v="HMDC"/>
    <m/>
    <m/>
    <m/>
    <m/>
    <m/>
    <m/>
    <m/>
    <x v="0"/>
    <m/>
    <m/>
    <x v="9"/>
    <m/>
    <n v="0"/>
    <s v="wa_RHDTE30_6_hmdc"/>
    <x v="0"/>
    <m/>
    <m/>
    <x v="0"/>
    <s v="From Disease Register HMDC_READM_CARDIAC"/>
    <m/>
  </r>
  <r>
    <x v="130"/>
    <x v="85"/>
    <s v="Yes"/>
    <m/>
    <s v=""/>
    <s v="Reject file if cab30_2 =0, or -1, or NULL and tvcab30_2 has data_x000a_Reject file if cab30_2=1 and tvcab30_2 is NULL from the ncr tab: follow_up "/>
    <s v="N"/>
    <s v="_x000a_0=No_x000a_1=Yes_x000a_-1=Unknown"/>
    <s v="-1"/>
    <s v="1"/>
    <m/>
    <m/>
    <s v="We need to talk to some cardiothoracic surgeons._x000a__x000a_Possibly available from a Cardiothoracic surgical system?"/>
    <m/>
    <x v="2"/>
    <m/>
    <s v=""/>
    <m/>
    <m/>
    <m/>
    <m/>
    <m/>
    <m/>
    <m/>
    <m/>
    <m/>
    <m/>
    <x v="0"/>
    <m/>
    <m/>
    <x v="0"/>
    <m/>
    <n v="0"/>
    <m/>
    <x v="2"/>
    <m/>
    <m/>
    <x v="0"/>
    <m/>
    <m/>
  </r>
  <r>
    <x v="131"/>
    <x v="74"/>
    <s v="Yes"/>
    <m/>
    <s v=""/>
    <s v="Reject file if  crh30_6=1 AND pc30_6 is NULL_x000a_Reject file if crh30_6=NULL and pc30_6 has data from the ncr tab: follow_up "/>
    <s v="N"/>
    <s v="_x000a_0=No_x000a_1=Yes_x000a_-1=Unknown"/>
    <s v="-1"/>
    <s v="1"/>
    <m/>
    <m/>
    <s v=""/>
    <m/>
    <x v="2"/>
    <m/>
    <s v="HMDC"/>
    <m/>
    <m/>
    <s v="HMDC"/>
    <m/>
    <m/>
    <m/>
    <m/>
    <m/>
    <m/>
    <m/>
    <x v="0"/>
    <m/>
    <m/>
    <x v="7"/>
    <m/>
    <n v="0"/>
    <s v="wa_PC30_6_hmdc"/>
    <x v="0"/>
    <m/>
    <m/>
    <x v="0"/>
    <s v="From Disease Register HMDC_READM_CARDIAC"/>
    <m/>
  </r>
  <r>
    <x v="132"/>
    <x v="86"/>
    <s v="No"/>
    <s v="Time the patient arrived in the hospital Cath Lab for the procedure. ? Is this the same as triage_time_DT collected in Cardiobase? "/>
    <s v="N/A"/>
    <s v="N/A"/>
    <s v="HH:MM"/>
    <m/>
    <s v="00:00"/>
    <s v="23:59"/>
    <s v="1 = definition drafted"/>
    <m/>
    <s v="Believe this is captured in Syngo not in Cardiobase.   Investigating interface to retrieve this date/time. "/>
    <m/>
    <x v="25"/>
    <s v="Nil "/>
    <s v=""/>
    <m/>
    <m/>
    <m/>
    <m/>
    <m/>
    <m/>
    <m/>
    <m/>
    <m/>
    <m/>
    <x v="4"/>
    <s v="N/A"/>
    <m/>
    <x v="7"/>
    <m/>
    <m/>
    <m/>
    <x v="2"/>
    <m/>
    <m/>
    <x v="0"/>
    <m/>
    <m/>
  </r>
  <r>
    <x v="133"/>
    <x v="87"/>
    <s v="No"/>
    <s v="Date of patient arrival in the hospital Cath Lab for the procedure. "/>
    <s v="N/A"/>
    <s v="N/A"/>
    <s v="DD/MM/YYYY"/>
    <m/>
    <m/>
    <m/>
    <s v="1 = definition drafted"/>
    <s v="TBA"/>
    <s v="No currently captured in Cardiobase.  Investigate Syngo as source. "/>
    <m/>
    <x v="25"/>
    <s v="Nil "/>
    <s v=""/>
    <m/>
    <m/>
    <m/>
    <m/>
    <m/>
    <m/>
    <m/>
    <m/>
    <m/>
    <m/>
    <x v="4"/>
    <s v="N/A"/>
    <m/>
    <x v="7"/>
    <m/>
    <m/>
    <m/>
    <x v="2"/>
    <m/>
    <m/>
    <x v="0"/>
    <m/>
    <m/>
  </r>
  <r>
    <x v="134"/>
    <x v="88"/>
    <s v="No"/>
    <s v="For patients arriving by ambulance, the date the patient was handed over to the receiving care professional. _x000a__x000a_This may be blank for patients not arriving by ambulance._x000a__x000a_"/>
    <s v="This definition is not in the NCR data dictionary."/>
    <s v="This definition is not in the NCR data dictionary."/>
    <s v="DD/MM/YYYY"/>
    <m/>
    <s v=" "/>
    <s v=" "/>
    <s v="10 = definition drafted"/>
    <s v="Data is entered for patients arriving by ambulance. Includes non-emergency patient transport vehicles.  Handover is the date and time when the hospital's clinical staff take clinical responsibility for the patient.  This is the time the Ambulance Crew are no longer clinically responsible for the patient and are free to return to the Ambulance._x000a__x000a_Handover may be provided to clinicians (including a nurse or doctor) when the patient is transferred to the cath lab, emergency department,  hospital bed, care area or waiting room.   Paramedics may need to retrieve some ambulance equipment prior to completion of handover.   Ambulance handover is recorded as the actual date that has been confirmed by the ambulance paramedics.  Ambulance handover time does not include: Paramedics watching how a patient is managed in the hospital subsequent to _x000a_handover, cleaning of equipment and re-stocking of ambulance vehicle."/>
    <s v="NOTE: needs confirmation with SJA (i.e. the field we are calling time of arrival is the only one available, but suspect it is arrival at the hospital, not the time that the patient was handed over.  So, for example for patients who are in an ambulance on the ramp outside the hospital, they may 'arrive' but not be transferred to the care of the hospital yet.   The intent of the time of arrival (toa) is to measure the time the patient arrived at the hospital for care, not the time th ambulance pulled up outside._x000a__x000a_Definition originally sourced from :_x000a__x000a_Victoria : https://www.vgls.vic.gov.au/client/en_AU/search/asset/1299812/0 _x000a__x000a_NHS England: https://view.officeapps.live.com/op/view.aspx?src=https%3A%2F%2Fwww.england.nhs.uk%2Fwp-content%2Fuploads%2F2017%2F04%2Femergency-ambulance-specification.xlsx&amp;wdOrigin=BROWSELINK_x000a__x000a__x000a_NHS Wales :http://www.datadictionary.wales.nhs.uk/index.html#!WordDocuments/clinicalhandovertime.htm"/>
    <m/>
    <x v="26"/>
    <s v="wa_amb_handover_date must be the same day or earlier than the dop (PCI date of procedure)."/>
    <s v="Development"/>
    <m/>
    <m/>
    <m/>
    <m/>
    <m/>
    <m/>
    <m/>
    <m/>
    <m/>
    <s v="Development"/>
    <x v="2"/>
    <m/>
    <m/>
    <x v="7"/>
    <m/>
    <m/>
    <m/>
    <x v="2"/>
    <m/>
    <m/>
    <x v="0"/>
    <m/>
    <m/>
  </r>
  <r>
    <x v="135"/>
    <x v="89"/>
    <s v="No"/>
    <s v="For patients arriving by ambulance, the time the patient was handed over to the receiving care professional. _x000a__x000a_This may be blank for patients not arriving by ambulance._x000a_"/>
    <s v="This definition is not in the NCR data dictionary."/>
    <s v="This definition is not in the NCR data dictionary."/>
    <s v="HH:MM"/>
    <m/>
    <s v="00:00"/>
    <d v="1899-12-30T23:59:00"/>
    <s v="10 = definition drafted"/>
    <s v="Data is entered for patients arriving by ambulance. Includes non-emergency patient transport vehicles.  Handover is the date and time when the hospital's clinical staff take clinical responsibility for the patient.  This is the time the Ambulance Crew are no longer clinically responsible for the patient and are free to return to the Ambulance._x000a__x000a_Handover may be provided to clinicians (including a nurse or doctor) when the patient is transferred to the cath lab, emergency department,  hospital bed, care area or waiting room.   Paramedics may need to retrieve some ambulance equipment prior to completion of handover.   Ambulance handover is recorded as the actual date that has been confirmed by the ambulance paramedics.  Ambulance handover time does not include: Paramedics watching how a patient is managed in the hospital subsequent to _x000a_handover, cleaning of equipment and re-stocking of ambulance vehicle."/>
    <s v="Definition originally sourced from :_x000a__x000a_Victoria : https://www.vgls.vic.gov.au/client/en_AU/search/asset/1299812/0 _x000a__x000a_NHS England: https://view.officeapps.live.com/op/view.aspx?src=https%3A%2F%2Fwww.england.nhs.uk%2Fwp-content%2Fuploads%2F2017%2F04%2Femergency-ambulance-specification.xlsx&amp;wdOrigin=BROWSELINK_x000a__x000a__x000a_NHS Wales :http://www.datadictionary.wales.nhs.uk/index.html#!WordDocuments/clinicalhandovertime.htm"/>
    <m/>
    <x v="27"/>
    <m/>
    <s v="Development"/>
    <m/>
    <m/>
    <m/>
    <m/>
    <m/>
    <m/>
    <m/>
    <m/>
    <m/>
    <s v="Development"/>
    <x v="2"/>
    <m/>
    <m/>
    <x v="7"/>
    <m/>
    <m/>
    <m/>
    <x v="2"/>
    <m/>
    <m/>
    <x v="0"/>
    <m/>
    <m/>
  </r>
  <r>
    <x v="136"/>
    <x v="90"/>
    <s v="No"/>
    <s v="The time the patient was admitted into a ward or other patient unit (e.g. ED Short Stay Unit)._x000a__x000a_This will be blank if the patient was not admitted into a ward."/>
    <s v="This definition is not in the NCR data dictionary."/>
    <s v="This definition is not in the NCR data dictionary."/>
    <s v="HH:MM"/>
    <m/>
    <s v="00:00"/>
    <d v="1899-12-30T23:59:00"/>
    <s v="10 = definition drafted"/>
    <m/>
    <s v="Webpas user guide / hmds data dictionary"/>
    <m/>
    <x v="28"/>
    <m/>
    <s v="Development"/>
    <m/>
    <m/>
    <m/>
    <m/>
    <m/>
    <m/>
    <m/>
    <m/>
    <m/>
    <s v="Development"/>
    <x v="4"/>
    <m/>
    <m/>
    <x v="7"/>
    <m/>
    <m/>
    <m/>
    <x v="2"/>
    <m/>
    <m/>
    <x v="0"/>
    <m/>
    <m/>
  </r>
  <r>
    <x v="137"/>
    <x v="91"/>
    <s v="No"/>
    <s v="The date the patient was admitted into a ward or other patient unit (e.g. ED Short Stay Unit)._x000a__x000a_This will be blank if the patient was not admitted into a ward."/>
    <s v="This definition is not in the NCR data dictionary."/>
    <s v="This definition is not in the NCR data dictionary."/>
    <s v="DD/MM/YYYY"/>
    <m/>
    <m/>
    <m/>
    <s v="10 = definition drafted"/>
    <m/>
    <s v="Webpas, HMDS, EDCC"/>
    <m/>
    <x v="27"/>
    <m/>
    <s v="Development"/>
    <m/>
    <m/>
    <m/>
    <m/>
    <m/>
    <m/>
    <m/>
    <m/>
    <m/>
    <s v="Development"/>
    <x v="4"/>
    <m/>
    <m/>
    <x v="7"/>
    <m/>
    <m/>
    <m/>
    <x v="2"/>
    <m/>
    <m/>
    <x v="0"/>
    <m/>
    <m/>
  </r>
  <r>
    <x v="138"/>
    <x v="85"/>
    <s v="Yes"/>
    <m/>
    <s v=""/>
    <s v="Reject file if cab30_3 =0, or -1, or NULL and tvcab30_3 has data_x000a_Reject file if cab30_3=1 and tvcab30_3 is NULL from the ncr tab: follow_up "/>
    <s v="N"/>
    <s v="_x000a_0=No_x000a_1=Yes_x000a_-1=Unknown"/>
    <s v="-1"/>
    <s v="1"/>
    <m/>
    <m/>
    <s v="We need to talk to some cardiothoracic surgeons._x000a__x000a_Possibly available from a Cardiothoracic surgical system?"/>
    <m/>
    <x v="2"/>
    <m/>
    <s v=""/>
    <m/>
    <m/>
    <m/>
    <m/>
    <m/>
    <m/>
    <m/>
    <m/>
    <m/>
    <m/>
    <x v="0"/>
    <m/>
    <m/>
    <x v="0"/>
    <m/>
    <n v="0"/>
    <m/>
    <x v="2"/>
    <m/>
    <m/>
    <x v="0"/>
    <m/>
    <m/>
  </r>
  <r>
    <x v="139"/>
    <x v="92"/>
    <s v="No"/>
    <s v="The time the patient was admitted to the emergency department in the hospital the treating cath lab is located in"/>
    <s v="This definition is not in the NCR data dictionary."/>
    <s v="This definition is not in the NCR data dictionary."/>
    <s v="HH:MM"/>
    <m/>
    <s v="00:00"/>
    <d v="1899-12-30T23:59:00"/>
    <s v="10 = definition drafted"/>
    <m/>
    <s v="NOTE: TIME_OF ARRIVAL_ED currently not used in Cardiobase.  Investigate EDIS as data source Presentation DateTime (YYY-MM-DD HH:MM:SS) may be suitable. It is derived from the earlier of Arrival DateTime and Triage DateTime in EDIS"/>
    <m/>
    <x v="27"/>
    <m/>
    <s v="Development"/>
    <m/>
    <m/>
    <m/>
    <m/>
    <m/>
    <m/>
    <m/>
    <m/>
    <m/>
    <s v="Development"/>
    <x v="4"/>
    <m/>
    <s v="Data-Dictionary-Emergency-Department.docx (live.com)"/>
    <x v="7"/>
    <m/>
    <m/>
    <m/>
    <x v="2"/>
    <m/>
    <m/>
    <x v="0"/>
    <m/>
    <m/>
  </r>
  <r>
    <x v="140"/>
    <x v="93"/>
    <s v="No"/>
    <s v="The date the patient was admitted to the emergency department in the hospital the treating cath lab is located in"/>
    <s v="This definition is not in the NCR data dictionary."/>
    <s v="This definition is not in the NCR data dictionary."/>
    <s v="DD/MM/YYYY"/>
    <m/>
    <m/>
    <m/>
    <s v="10 = definition drafted"/>
    <m/>
    <s v="NOTE: TIME_OF ARRIVAL_ED currently not used in Cardiobase.  Investigate EDIS as data source Presentation DateTime (YYY-MM-DD HH:MM:SS) may be suitable. It is derived from the earlier of Arrival DateTime and Triage DateTime in EDIS"/>
    <m/>
    <x v="27"/>
    <s v="Must be same day or before dop (date of procedure)"/>
    <s v="Development"/>
    <m/>
    <m/>
    <m/>
    <m/>
    <m/>
    <m/>
    <m/>
    <m/>
    <m/>
    <s v="Development"/>
    <x v="4"/>
    <m/>
    <s v="Data-Dictionary-Emergency-Department.docx (live.com)"/>
    <x v="7"/>
    <m/>
    <m/>
    <m/>
    <x v="2"/>
    <m/>
    <m/>
    <x v="0"/>
    <m/>
    <m/>
  </r>
  <r>
    <x v="141"/>
    <x v="94"/>
    <s v="Yes"/>
    <m/>
    <s v="Has the patient previously undergone a CABG? Indicate if the patient has undergone a previous Coronary Artery Bypass (CABG) surgery prior to the current PCI procedure."/>
    <s v="Reject file if NULL from the NCR tab: admission_preprocedural "/>
    <s v=""/>
    <s v="0=No_x000a_1=Yes"/>
    <s v="0"/>
    <s v="1"/>
    <m/>
    <s v="This definition is for patients who have had a previous procedure at hospitals within Western Australia only.   _x000a__x000a_For patients who have had procedures outside of the state, this may be recorded on the catheterisation laboratory system, however this may not be captured in all cases."/>
    <s v="Derivable with history from HMDS, and/or NACS, and/or Cardiobase - needs additional variables to be added to explain why this field is set to  TRUE and originating data source._x000a__x000a_Definition requires caveat - may be limited to WA procedures only_x000a_ICD-10 CABG procedure codes:_x000a_38500-05 [679] CABG 1 comp graft_x000a_38503-05 [679] CABG &gt;= 2 comp grafts_x000a_38497-00 [672] CABG 1 saph vein graft_x000a_38497-01 [672] CABG 2 saph vein grafts_x000a_38497-02 [672] CABG 3 saph vein grafts_x000a_38497-03 [672] CABG 4 &gt;saph vein grafts_x000a_38497-04 [673] CABG - 1 other vein graft_x000a_38497-05 [673] CABG - 2 other vein grafts_x000a_38497-06 [673] CABG - 3 other vein grafts_x000a_38497-07 [673] CABG - 4&gt; other vein grafts_x000a_38500-00 [674] CABG 1 LIMA graft_x000a_38503-00 [674] CABG- 2 or &gt; LIMA grafts_x000a_38500-01 [675] CABG- 1 RIMA graft_x000a_38503-01 [675] CABG-2 or &gt; RIMA grafts_x000a_38500-02 [676] CABG-1 radial artery graft_x000a_38503-02 [676] CABG-2 or &gt; radi art grafts_x000a_38500-03 [677] CABG- 1epigast artery graft_x000a_38503-03 [677] CABG - 2 or &gt;     &quot;         &quot;_x000a_38500-04 [678] CABG - 1 other artery graft_x000a_38503-04 [678] CABG - 2or&gt; other art graft_x000a_90201-00[679] CABG 1 other graft NEC_x000a_90201-01 [679] CABG 2 other grafts NEC_x000a_90201-02 [679] CABG 3 other grafts NEC_x000a_90201-03 679] CABG 4&gt; other grafts NEC_x000a_38637-00 [680] Reoperation for reconstruction of coronary arteries._x000a__x000a_Implemented in ETL0705"/>
    <m/>
    <x v="1"/>
    <m/>
    <s v="Cardiobase Angioplasty, HMDC"/>
    <s v="Cardiobase Angioplasty"/>
    <m/>
    <s v="HMDC"/>
    <m/>
    <m/>
    <m/>
    <m/>
    <m/>
    <m/>
    <m/>
    <x v="1"/>
    <n v="344424"/>
    <m/>
    <x v="3"/>
    <m/>
    <s v="PL"/>
    <s v="wa_p_cabg_hmdc_x000a_wa_PriorCABG_cbap_x000a__x000a_wa_p_cabg_merged"/>
    <x v="0"/>
    <m/>
    <s v="HMDC_CABG - https://hsswa.australia-east.azure.snowflakecomputing.com/console#/internal/worksheet"/>
    <x v="0"/>
    <s v="Merged result from HMDC and Cardiobase Angioplasty_x000a__x000a_"/>
    <s v="Yes"/>
  </r>
  <r>
    <x v="142"/>
    <x v="95"/>
    <s v="Yes"/>
    <m/>
    <s v="What was the reason for the current PCI?1= Primary PCI for STEMI &lt;12hours -  Primary PCI for patient with STEMI (or STEMI equivalent) within 12 hours of symptom onset._x000a_2 = PCI for STEMI (12-24 hours) - PCI for patient with STEMI (or STEMI equivalent) between 12-24 hours of symptom onset._x000a_3= Rescue PCI for STEMI (&lt;24 hours - unstable following lysis) -  Rescue PCI for STEMI (or STEMI equivalent) after a failed full-dose lysis._x000a_4= PCI for STEMI &lt;24 hours - stable following lysis) - PCI for STEMI (or STEMI equivalent) where the patient is stable after receiving full-dose lysis._x000a_5= PCI for STEMI (1-7 days no prior lysis)_x000a_6= PCI for STEMI (1-7 days - following lysis)_x000a_7= PCI for cardiac arrest/cardiogenic shock (Not a STEMI) - PCI performed post cardiac arrest or cardiogenic shock but without ECG or biomarker evidence of acute myocardial infarction. Note: This does not include any PCI cases for Myocardial Infarction (MI)._x000a_8= PCI for NSTEMI (&lt;7 days) - Includes patients with NSTEMI who have high risk features for short-term risk of death or nonfatal MI. High risk features includes at least one of the following:_x000a_  1. History - accelerating tempo of ischaemic symptoms in preceding 48 hours _x000a_  2. Character of pain - prolonged ongoing (greater than 20 minutes) rest pain _x000a_  3. Clinical findings: Pulmonary oedema, most likely due to ischemia _x000a_  4. New or worsening mitral regurgitation murmur _x000a_  5. S3 or new worsening crackles/crepitations _x000a_  6. Hypotension, bradycardia, tachycardia _x000a_  7. Age greater than 75 years _x000a_  8. ECG: Angina at rest with transient ST-segment changes greater than 0.5 mm _x000a_  9. Bundle-branch block, new or presumed new _x000a_  10. Sustained ventricular tachycardia._x000a_  11.Cardiac markers - NSTEMI patients with elevated cardiac Tn-T, Tn-l, or CK-MB._x000a_9= PCI for unstable angina (&lt;7 days) -  Includes patients with unstable angina who have high risk features for short-term risk of death or nonfatal MI. High risk features includes at least one of the following:_x000a_  1. History - accelerating tempo of ischaemic symptoms in preceding 48 hours _x000a_  2. Character of pain - prolonged ongoing (greater than 20 minutes) rest pain _x000a_  3. Clinical findings: Pulmonary oedema, most likely due to ischemia _x000a_  4. New or worsening mitral regurgitation murmur _x000a_  5. S3 or new worsening crackles/crepitations _x000a_  6. Hypotension, bradycardia, tachycardia _x000a_  7. Age greater than 75 years _x000a_  8. ECG: Angina at rest with transient ST-segment changes greater than 0.5 mm _x000a_  9. Bundle-branch block, new or presumed new _x000a_  10. Sustained ventricular tachycardia._x000a_10= PCI for recent ACS (7-30 days) - Patient diagnosed with ACS symptoms more than 7 days ago (e.g. STEMI, NSTEMI or Unstable Angina) but symptoms have stabilised without repeated or recurrent events. Patient is no longer considered ‘acute’ at the time of the current PCI if symptom onset was &gt;7 days ago._x000a_11= Staged PCI -  Any subsequent, PLANNED PCI procedure undertaken as part of a multi-vessel intervention strategy. Earlier PCIs could have been in a prior admission or during the current admission and must be within 3 months from the current PCI_x000a_12 = PCI for Angina/angina equivalent symptoms_x000a_13= PCI for No angina/angina equivalent symptoms"/>
    <s v="Reject file if ACS = 0 AND PCI = 1, 2, 3, 4, 5 or 6._x000a_Reject file if ACST=3 AND PCI = 7, 8, 9, 10, 11, 12 or 13._x000a_Reject file if ACST = 2 AND PCI does not =8_x000a_Reject file is ACST=1 AND PCI does not =9_x000a_Reject file if NULL from the ncr tab: procedure "/>
    <s v="N"/>
    <s v="1= Primary PCI for STEMI &lt;12hours_x000a_2 = PCI for STEMI (12-24 hours)_x000a_3= Rescue PCI for STEMI (&lt;24 hours - unstable following lysis)_x000a_4= PCI for STEMI &lt;24 hours - stable following lysis)_x000a_5= PCI for STEMI (1-7 days no prior lysis)_x000a_6= PCI for STEMI (1-7 days -  following lysis)_x000a_7= PCI for cardiac arrest/cardiogenic shock (Without evidence of STEMI) _x000a_8= PCI for NSTEMI (&lt;7 days)_x000a_9= PCI for unstable angina (&lt;7 days)_x000a_10= PCI for recent ACS (7-30 days)_x000a_11= Staged PCI_x000a_12 = Angina/angina equivalent symptoms_x000a_13= No angina/angina equivalent symptoms"/>
    <s v="1"/>
    <s v="13"/>
    <m/>
    <m/>
    <s v="Needs WACOR DD defined terms for :_x000a__x000a_STEMI equivalent_x000a_lysis_x000a_failed lysis_x000a_full dose lysis_x000a_biomarker evidence_x000a__x000a_1 is derivable_x000a__x000a_8 requires 11 subfields for high risk features_x000a__x000a_8 requires 11 subfields_x000a__x000a_9 requires 10 subfields"/>
    <s v="Yes, needs early discsussion with interventionalists and possible request change to Cardiobase.  What are the cardiobase options?"/>
    <x v="1"/>
    <m/>
    <s v="Cardiobase Angioplasty"/>
    <s v="Cardiobase Angioplasty"/>
    <m/>
    <m/>
    <m/>
    <m/>
    <m/>
    <m/>
    <m/>
    <m/>
    <m/>
    <x v="0"/>
    <m/>
    <m/>
    <x v="6"/>
    <m/>
    <s v="RG/FC"/>
    <m/>
    <x v="1"/>
    <m/>
    <m/>
    <x v="0"/>
    <s v="Requires clinician input and standardised data entry"/>
    <m/>
  </r>
  <r>
    <x v="143"/>
    <x v="96"/>
    <s v="Yes"/>
    <m/>
    <s v=""/>
    <s v="Reject file if pci30_4 =0 or -1 and tvr30_4 has data_x000a_Reject file if pci30_4=1 and tvr30_4 is NULL from the ncr tab: follow_up "/>
    <s v="N"/>
    <s v="_x000a_0=No_x000a_1=Yes_x000a_-1=Unknown"/>
    <s v="-1"/>
    <s v="1"/>
    <m/>
    <m/>
    <s v=""/>
    <m/>
    <x v="2"/>
    <m/>
    <s v="Cardiobase Angioplasty"/>
    <s v="Cardiobase Angioplasty"/>
    <m/>
    <m/>
    <m/>
    <m/>
    <m/>
    <m/>
    <m/>
    <m/>
    <m/>
    <x v="0"/>
    <m/>
    <m/>
    <x v="6"/>
    <m/>
    <s v="PL"/>
    <m/>
    <x v="2"/>
    <m/>
    <m/>
    <x v="0"/>
    <m/>
    <m/>
  </r>
  <r>
    <x v="144"/>
    <x v="97"/>
    <s v="Yes"/>
    <m/>
    <s v="Where In-hospital stroke was coded 'yes', specify the type of stroke. Indicate whether the stroke was haemorrhagic or ischaemic. Select ONE of the following options:_x000a_- Haemorrhagic: Imaging evidence (MRI or CT), lumbar puncture, neurosurgery or autopsy evidence confirms haemorrhage in the cerebral parenchyma, or subdural/subarachnoid haemorrhage; _x000a_- Ischaemic: In the absence of haemorrhagic evidence, inadequate cerebral blood supply is the suspected cause of stroke.  Cerebrovascular occlusion may be caused by (but is not limited to) thrombus, embolism or vasoconstriction, etc. _x000a_- Unknown: Stroke type could not be conclusively determined."/>
    <s v="Reject file if ihstr=0 and Ihstrt has data_x000a_Reject file if ihstr=1 and ihstrt is NULL from the ncr tab: post_procedural "/>
    <s v="N"/>
    <s v="1=Haemorrhagic_x000a_2=Ischaemic_x000a_-1=Unknown"/>
    <s v="-1"/>
    <s v="2"/>
    <m/>
    <s v="If there are multiple strokes that occur in-hospital, this extracts the type that is assigned to the highest ICD priority."/>
    <s v="This data could be sourced from :_x000a__x000a_The Stroke Registry (would require custodian approval)._x000a__x000a_The HMDS data for the separation, i.e. where the patient had a stroke and the condition onset flag (COF) was set to 1, indicating that the stroke occurred in hospital.   The coding specifies the type of stroke in line with the ICD coding._x000a__x000a_(subject to the time window constraints, i.e. separation end date &amp; end time being within the period)._x000a__x000a_Use the Disease Register table &quot;HMDC_IH_STROKE&quot;, match by EVENT_ID and pull out the &quot;C_STROKE_TYPE&quot; column."/>
    <m/>
    <x v="29"/>
    <m/>
    <s v="HMDC"/>
    <m/>
    <m/>
    <s v="HMDC"/>
    <m/>
    <m/>
    <m/>
    <m/>
    <m/>
    <m/>
    <m/>
    <x v="5"/>
    <m/>
    <m/>
    <x v="1"/>
    <m/>
    <s v="PL"/>
    <m/>
    <x v="0"/>
    <m/>
    <m/>
    <x v="0"/>
    <m/>
    <m/>
  </r>
  <r>
    <x v="145"/>
    <x v="98"/>
    <s v="Yes"/>
    <m/>
    <s v="Was the patient referred to cardiac rehabilitation program? Indicate if there was written documentation of a patient referral to an outpatient cardiac rehabilitation program, or a documented reason why referral was not made (by physician, nurse, or other hospital personnel)."/>
    <s v="Reject file if dis=6 and crehab has data_x000a_Reject file if dis &lt; 6 crehab is NULL from the ncr tab: discharge "/>
    <s v="N"/>
    <s v="0=No_x000a_1=Yes_x000a_-1 = Unknown"/>
    <s v="-1"/>
    <s v="1"/>
    <m/>
    <s v="Z50.0 Cardiac Rehabilitation_x000a_96139-00 exercise therapy, cardiorespiratory/cardiovascular system"/>
    <s v="Outpatient dataset may assist in identification to OWPL or OPD.  Requires business rules to identify.   No mention in the NCR definition for the commencement of early cardiac rehab in an inpatient setting.  Where cardiac rehab occurs in an inpatient setting this can be identified through ICD coding. _x000a_METEOR ref will require refinement for WACOR."/>
    <m/>
    <x v="30"/>
    <m/>
    <s v="HIH, NACS"/>
    <m/>
    <m/>
    <m/>
    <m/>
    <m/>
    <s v="HIH"/>
    <m/>
    <m/>
    <s v="NACS"/>
    <m/>
    <x v="0"/>
    <n v="696056"/>
    <m/>
    <x v="1"/>
    <m/>
    <s v="AL"/>
    <m/>
    <x v="0"/>
    <m/>
    <m/>
    <x v="1"/>
    <s v="NACS"/>
    <m/>
  </r>
  <r>
    <x v="146"/>
    <x v="85"/>
    <s v="Yes"/>
    <m/>
    <s v=""/>
    <s v="Reject file if cab30_4 =0, or -1, or NULL and tvcab30_4 has data_x000a_Reject file if cab30_4=1 and tvcab30_4 is NULL from the ncr tab: follow_up "/>
    <s v="N"/>
    <s v="_x000a_0=No_x000a_1=Yes_x000a_-1=Unknown"/>
    <s v="-1"/>
    <s v="1"/>
    <m/>
    <m/>
    <s v="We need to talk to some cardiothoracic surgeons._x000a__x000a_Possibly available from a Cardiothoracic surgical system?"/>
    <m/>
    <x v="2"/>
    <m/>
    <s v=""/>
    <m/>
    <m/>
    <m/>
    <m/>
    <m/>
    <m/>
    <m/>
    <m/>
    <m/>
    <m/>
    <x v="0"/>
    <m/>
    <m/>
    <x v="0"/>
    <m/>
    <n v="0"/>
    <m/>
    <x v="2"/>
    <m/>
    <m/>
    <x v="0"/>
    <m/>
    <m/>
  </r>
  <r>
    <x v="147"/>
    <x v="99"/>
    <s v="Yes"/>
    <m/>
    <s v="Was aspirin prescribed at discharge? Indicate if the patient is prescribed and taking aspirin at discharge from the PCI admission._x000a_Aspirin agents include: aspirin, astrix, cardiprin, cartia, assasantin, aspro, disprin and solprin."/>
    <s v="Reject file if dis=6 and dasp has data_x000a_Reject file if dis = 1-5 and dasp is NULL from the ncr tab: discharge "/>
    <s v="N"/>
    <s v="0=No_x000a_1=Yes_x000a_2=Contraindicated_x000a_3=Not collected"/>
    <s v="0"/>
    <s v="3"/>
    <m/>
    <s v="In Western Australia we also include &quot;Maxiasprin&quot;"/>
    <s v="HIH (NACS) data will be a suitable source._x000a__x000a_Sourced from Cardiovascular_prescribed_medications_targeted_therapies"/>
    <s v="Y"/>
    <x v="30"/>
    <m/>
    <s v="NACS"/>
    <m/>
    <m/>
    <m/>
    <m/>
    <m/>
    <m/>
    <m/>
    <m/>
    <s v="NACS"/>
    <m/>
    <x v="1"/>
    <n v="347829"/>
    <m/>
    <x v="1"/>
    <m/>
    <s v="AL"/>
    <m/>
    <x v="0"/>
    <m/>
    <m/>
    <x v="1"/>
    <s v="A: Take all medication, if the medication contains &quot;aspirin&quot; then 1 else 0_x000a_B: Take all adverse reactions, if the medication contains &quot;aspirin&quot; then 1 else 0_x000a__x000a_If A = 1 then 1 else if B = 1 then 2 else if A = 0 then 0 else 3_x000a__x000a_This flags cases where aspirin is used (1), then checks if there is a contraindication (2), then checks if it was not given (0), then returns Not collected (3)"/>
    <m/>
  </r>
  <r>
    <x v="148"/>
    <x v="100"/>
    <s v="Yes"/>
    <m/>
    <s v="Were other antiplatelets (excluding aspirin) prescribed at discharge? Indicate if the patient is prescribed and taking other antiplatelets at discharge from the PCI admission._x000a_Antiplatelets agents include: Thienopyridine agents (clopidogrel, ticlopidine, prasugrel), Ticagrelor."/>
    <s v="Reject file if dis=6 and doap has data_x000a_Reject file if dis = 1-5 and doap is NULL from the ncr tab: discharge "/>
    <s v="N"/>
    <s v="0=No_x000a_1=Yes_x000a_2=Contraindicated_x000a_3=Not collected"/>
    <s v="0"/>
    <s v="3"/>
    <m/>
    <m/>
    <s v="HIH Results Hub - needs clarification &amp; SME input (SMA)_x000a__x000a_Ipharmacy may offer a secondary source._x000a__x000a_Sourced from Cardiovascular_prescribed_medications_targeted_therapies"/>
    <s v="Y"/>
    <x v="30"/>
    <m/>
    <s v="NACS"/>
    <m/>
    <m/>
    <m/>
    <m/>
    <m/>
    <m/>
    <m/>
    <m/>
    <s v="NACS"/>
    <m/>
    <x v="1"/>
    <m/>
    <m/>
    <x v="1"/>
    <m/>
    <s v="AL"/>
    <m/>
    <x v="0"/>
    <m/>
    <m/>
    <x v="1"/>
    <s v="A: Take all medication, if the medication contains &quot;clopidogrel&quot;, &quot;ticlopidine&quot;, &quot;prasugrel&quot; or &quot;ticagrelor&quot; then 1 else 0_x000a_B: Take all adverse reactions, if the medication contains &quot;clopidogrel&quot;, &quot;ticlopidine&quot;, &quot;prasugrel&quot; or &quot;ticagrelor&quot; then 1 else 0_x000a__x000a_If A = 1 then 1 else if B = 1 then 2 else if A = 0 then 0 else 3_x000a__x000a_This flags cases where Other Anti platelets are used (1), then checks if there is a contraindication (2), then checks if it was not given (0), then returns Not collected (3)"/>
    <m/>
  </r>
  <r>
    <x v="149"/>
    <x v="101"/>
    <s v="Yes"/>
    <m/>
    <s v="Was a statin prescribed at discharge? Indicate if the patient is prescribed and taking a statin at discharge from the PCI admission._x000a_Statin agents include: atorvastatin, fluvastatin, pravastatin, rosuvastatin and simvastatin."/>
    <s v="Reject file if dis=6 and dstp has data_x000a_Reject file if dis = 1-5 and dstp is NULL from the ncr tab: discharge "/>
    <s v="N"/>
    <s v="0=No_x000a_1=Yes_x000a_2=Contraindicated_x000a_3=Not collected"/>
    <s v="0"/>
    <s v="3"/>
    <m/>
    <m/>
    <s v="HIH Results Hub - needs clarification &amp; SME input (SMA)_x000a__x000a_Ipharmacy may offer a secondary source._x000a__x000a_Sourced from Cardiovascular_prescribed_medications_targeted_therapies"/>
    <s v="Y"/>
    <x v="30"/>
    <m/>
    <s v="NACS"/>
    <m/>
    <m/>
    <m/>
    <m/>
    <m/>
    <m/>
    <m/>
    <m/>
    <s v="NACS"/>
    <m/>
    <x v="1"/>
    <m/>
    <m/>
    <x v="1"/>
    <m/>
    <s v="AL"/>
    <m/>
    <x v="0"/>
    <m/>
    <m/>
    <x v="1"/>
    <s v="Take all medication, if the medication contains &quot;statin&quot;, then 1 else 0_x000a_Special exclusion of &quot;nystatin&quot; and &quot;cilastatin&quot;"/>
    <m/>
  </r>
  <r>
    <x v="150"/>
    <x v="102"/>
    <s v="Yes"/>
    <m/>
    <s v="Were other Lipid Lowering Therapies (excluding statins) prescribed at discharge? Indicate if the patient is prescribed and taking other Lipid Lowering Therapies at discharge from the PCI admission._x000a_Other lipid lowering agents include: ezetimibe and fibrates (gemfibrozil, fenofibrate and clofibrate)."/>
    <s v="Reject file if dis=6 and doll has data_x000a_Reject file if dis = 1-5 and doll is NULL from the ncr tab: discharge "/>
    <s v="N"/>
    <s v="0=No_x000a_1=Yes_x000a_2=Contraindicated_x000a_3=Not collected"/>
    <s v="0"/>
    <s v="3"/>
    <m/>
    <m/>
    <s v="HIH Results Hub - needs clarification &amp; SME input (SMA)_x000a__x000a_Ipharmacy may offer a secondary source._x000a__x000a_Sourced from Cardiovascular_prescribed_medications_targeted_therapies_x000a__x000a_Needs further work"/>
    <s v="Y"/>
    <x v="30"/>
    <m/>
    <s v="NACS"/>
    <m/>
    <m/>
    <m/>
    <m/>
    <m/>
    <m/>
    <m/>
    <m/>
    <s v="NACS"/>
    <m/>
    <x v="1"/>
    <m/>
    <m/>
    <x v="1"/>
    <m/>
    <s v="AL"/>
    <m/>
    <x v="0"/>
    <m/>
    <m/>
    <x v="1"/>
    <s v="Take all medication, if the medication contains &quot;statin&quot;, &quot;ezemtimibe&quot;, gemfibrozil&quot;, fenofibrate&quot; or &quot;clofibrate&quot; then 1 else 0"/>
    <m/>
  </r>
  <r>
    <x v="151"/>
    <x v="103"/>
    <s v="Yes"/>
    <m/>
    <s v="Did the patient experience a stroke during the 30-day follow-up period? Indicate if the patient experienced a stroke or new central neurologic deficit (persisting for &gt; 72 hours) during the cardiac catheter lab visit, after the lab visit, but prior to discharge and/or any subsequent lab visits. _x000a_Note: Stroke is evidenced by persistent loss of neurological function caused by an ischaemic or haemorrhagic event."/>
    <s v="Reject file if NULL and STAT30≥0_x000a_Reject file if stat30=-1 and nstr contains data_x000a_Reject file if dis=6 and nstr contains data from the ncr tab: follow_up "/>
    <s v="N"/>
    <s v="0=No_x000a_1=Yes_x000a_-1=Unknown"/>
    <n v="-1"/>
    <s v="1"/>
    <m/>
    <m/>
    <s v="HMDS source identification through haem or isch stroke with Condition Onset Flag set to 1 during the same hospital stay where length of stay is under 30 days.  The definition for stroke should refer to ICD10.   The definition of stroke lasting over 72 hours is challenging for measuring patients who may die within 72 hours, although they have a stroke.   The window of measurement for this indicator is within 30 days.   Subsequent ED attendances, admissions within 30 days where the attendance or admission is classified as an isch or haem stroke should be included.  The definition of haem or isch stroke should align to the national clinical care standards recommended coding for those types of strokes as defined here: https://meteor.aihw.gov.au/content/719072._x000a__x000a_Requires both EDDC and HMDC to determine a new stroke within 30 days._x000a__x000a_Use the Disease Register table &quot;ALL_STROKE30&quot;, match by EVENT_ID and pull out the &quot;STROKE30_HMDC&quot; and &quot;STROKE30_EDDC&quot; columns."/>
    <m/>
    <x v="23"/>
    <m/>
    <s v="HMDC"/>
    <m/>
    <m/>
    <s v="HMDC"/>
    <m/>
    <m/>
    <m/>
    <m/>
    <m/>
    <m/>
    <m/>
    <x v="1"/>
    <m/>
    <m/>
    <x v="1"/>
    <m/>
    <s v="PL"/>
    <m/>
    <x v="0"/>
    <m/>
    <m/>
    <x v="0"/>
    <m/>
    <m/>
  </r>
  <r>
    <x v="152"/>
    <x v="104"/>
    <s v="Yes"/>
    <m/>
    <s v="Where new stroke was coded 'yes', specify the type of stroke. Indicate whether the stroke was haemorrhagic or ischaemic. Select ONE of the following options:_x000a_- Haemorrhagic: Imaging evidence (MRI or CT), lumbar puncture, neurosurgery or autopsy evidence confirms haemorrhage in the cerebral parenchyma, or subdural/subarachnoid haemorrhage; _x000a_- Ischaemic: In the absence of haemorrhagic evidence, inadequate cerebral blood supply is the suspected cause of stroke.  Cerebrovascular occlusion may be caused by (but is not limited to) thrombus, embolism or vasoconstriction, etc. _x000a_- Unknown: Stroke type could not be conclusively determined."/>
    <s v="Reject file if nstr=1 and nstrt is NULL_x000a_Reject file if nstr = 0 or -1 and nstrt contains data from the ncr tab: follow_up "/>
    <s v="N"/>
    <s v="1=Haemorrhagic_x000a_2=Ischaemic_x000a_-1=Unknown"/>
    <s v="-1"/>
    <s v="2"/>
    <m/>
    <m/>
    <s v="See notes for nstr &amp; see descriptors and notes from ICD classification manual https://meteor.aihw.gov.au/content/719072_x000a__x000a_Use the Disease Register table &quot;ALL_STROKE30&quot;, match by EVENT_ID and pull out the &quot;STROKE_TYPE_HMDC&quot; and &quot;STROKE_TYPE_EDDC&quot; columns. If both exist, choose the one which has the earlier date of &quot;STROKE30_DATE_HMDC&quot; and &quot;STROKE30_DATE_EDDC&quot;"/>
    <m/>
    <x v="31"/>
    <m/>
    <s v="HMDC"/>
    <m/>
    <m/>
    <s v="HMDC"/>
    <m/>
    <m/>
    <m/>
    <m/>
    <m/>
    <m/>
    <m/>
    <x v="5"/>
    <m/>
    <m/>
    <x v="1"/>
    <m/>
    <s v="PL"/>
    <m/>
    <x v="0"/>
    <m/>
    <m/>
    <x v="0"/>
    <m/>
    <m/>
  </r>
  <r>
    <x v="153"/>
    <x v="105"/>
    <s v="Yes"/>
    <m/>
    <s v="What is the type of ACS?_x0009_Unstable Angina _x000a_Symptoms must include AT LEAST ONE of the following:_x000a_1._x0009_Angina that occurred at rest and was prolonged, usually lasting &gt;20 mins; _x000a_2._x0009_New-onset angina of at least CCS class III severity; _x000a_3._x0009_Recent acceleration of angina reflected by an increase in severity of at least 1 CCS class (to at least CCS class III)_x000a__x000a__x0009_Non ST-Elevation Myocardial Infarction (NSTEMI) _x000a_AT LEAST ONE of the following biomarkers for detecting myocardial necrosis MUST be present:_x000a_1._x0009_Troponin T or I: Maximal concentration of Troponin T or I greater than the MI diagnostic limit on at least one occasion within 24 hours from the index clinical event; _x000a_2._x0009_CK-MB:_x000a__x0009_Maximal value of CK-MB &gt;2x the upper limit of normal (ULN) on one occasion during the first hours after the index clinical event; OR_x000a__x0009_Maximal value of CK-MB (preferable CK-MB mass) &gt; ULN on two successive samples._x000a_3._x0009_Total CK: Only where Troponin or CK-MB assays are unavailable, total CK &gt;2x the ULN (or the B fraction of CK) may be employed. _x000a_Note: The preferred assay to use as biomarkers for myocardial necrosis is Troponin. In the absence of troponin, CK-MB is the next best alternative but total CK can be used in the absence of troponin and CK-MB._x000a_AND ONE of the following…_x0009__x000a_1._x0009_Either ST segment depression or T wave abnormalities in the ECG; or_x000a_2._x0009_Ischaemic symptoms in the presence or absence of chest discomfort. Ischaemic symptoms may include:_x000a__x0009_- Unexplained nausea and vomiting; or_x000a__x0009_- Persistent shortness of breath secondary to left ventricular failure; or_x000a__x0009_- Unexplained weakness, dizziness, light-headedness, or syncope._x000a__x000a__x0009_ST-Elevation Myocardial Infarction (STEMI) _x000a_AT LEAST ONE of the following biomarkers for detecting myocardial necrosis MUST be present (refer to Note regarding Reference Control Limits):_x000a_1._x0009_Troponin T or I: Maximal concentration of Troponin T or I &gt; the MI diagnostic limit on at least one occasion within 24 hours from the index clinical event; _x000a_2._x0009_CK-MB:_x000a__x0009_- Maximal value of CK-MB &gt;2x the upper limit of normal (ULN) on one occasion during the first hours after the index clinical event; OR_x000a__x0009_- Maximal value of CK-MB (preferable CK-MB mass) &gt; ULN on two successive samples._x000a_3._x0009_Total CK: Only where Troponin or CK-MB assays are unavailable, total CK &gt;2x the ULN (or the B fraction of CK) may be employed. _x000a_Note: The preferred assay to use as biomarkers for myocardial necrosis is Troponin. In the absence of troponin, CK-MB is the next best alternative but total CK can be used in the absence of troponin and CK-MB._x000a_AND ONE of the following ECG changes:_x000a_1._x0009_ST-segment elevation: New or presumed new ST segment elevation at the J point in two or more contiguous leads with the cut-off points ≥ 0.2mV in leads V1, V2, or V3, or ≥0.1 mV in other leads. _x000a_2._x0009_Development of any Q wave in leads V1 through V3, or the development of a Q-wave ≥ 30ms (0.03s) in leads I, II, aVL, aVF, V4, V5, or V6. (Q wave changes must be present in any two contiguous leads, and be ≥1mm in depth)."/>
    <s v="Reject file if acs=1 and acst is NULL from the ncr tab: procedure "/>
    <s v="N"/>
    <s v="1=Unstable Angina _x000a_2=NSTEMI_x000a_3=STEMI"/>
    <s v="1"/>
    <s v="3"/>
    <m/>
    <m/>
    <s v="If individual criteria are needed then …._x000a__x000a_Needs 7 sub-fields to be created for NSTEMI._x000a__x000a_Needs 3 sub fields for angina._x000a__x000a_? Number of additional fields to be created from STEMI._x000a__x000a_Challenge for PCI dataset - compatible with NCR definition. Document as caveated - discuss with EK"/>
    <m/>
    <x v="2"/>
    <m/>
    <s v="Cardiobase Angioplasty, Derived"/>
    <s v="Cardiobase Angioplasty"/>
    <m/>
    <m/>
    <m/>
    <m/>
    <m/>
    <s v="Derived"/>
    <m/>
    <m/>
    <m/>
    <x v="1"/>
    <m/>
    <m/>
    <x v="4"/>
    <m/>
    <m/>
    <m/>
    <x v="0"/>
    <m/>
    <m/>
    <x v="1"/>
    <m/>
    <m/>
  </r>
  <r>
    <x v="154"/>
    <x v="85"/>
    <s v="Yes"/>
    <m/>
    <s v=""/>
    <s v="Reject file if cab30_5 =0, or -1, or NULL and tvcab30_5 has data_x000a_Reject file if cab30_5=1 and tvcab30_5 is NULL from the ncr tab: follow_up "/>
    <s v="N"/>
    <s v="_x000a_0=No_x000a_1=Yes_x000a_-1=Unknown"/>
    <s v="-1"/>
    <s v="1"/>
    <m/>
    <m/>
    <s v="We need to talk to some cardiothoracic surgeons._x000a__x000a_Possibly available from a Cardiothoracic surgical system?"/>
    <m/>
    <x v="2"/>
    <m/>
    <s v=""/>
    <m/>
    <m/>
    <m/>
    <m/>
    <m/>
    <m/>
    <m/>
    <m/>
    <m/>
    <m/>
    <x v="0"/>
    <m/>
    <m/>
    <x v="0"/>
    <m/>
    <n v="0"/>
    <m/>
    <x v="2"/>
    <m/>
    <m/>
    <x v="0"/>
    <m/>
    <m/>
  </r>
  <r>
    <x v="155"/>
    <x v="106"/>
    <s v="Yes"/>
    <m/>
    <s v="Where item In-hospital TVR was coded ‘yes’, was the target lesion also revascularised? Indicate whether the target LESION was also revascularised during the subsequent in-hospital PCI. _x000a_Note: A target lesion revascularisation (TLR) is any revascularisation of the same LESION treated during the index PCI.  This includes treatment of a restenosis/occlusion within a stent implanted during the index PCI (or within 5-mm of the proximal and distal margins of the stent edges). It also includes attempts to revascularise the target lesion where a stent was not successfully implanted and/or plain old balloon angioplasty (POBA) was employed during the index PCI."/>
    <s v="Reject file if ihtvr=0 and ihtlr has data_x000a_Reject file if ihtvr=1 and ihtlr is NULL from the ncr tab: post_procedural "/>
    <s v="N"/>
    <s v="0=No_x000a_1=Yes"/>
    <s v="0"/>
    <s v="1"/>
    <m/>
    <m/>
    <s v="TMS Data?_x000a__x000a__x000a_Query to cardiologists: if the first attempt to review the lesion was diagnostic only or aborted, or partially successful, should the registry treat any subsequent treatment as revascularisation  ?"/>
    <s v="Yes"/>
    <x v="32"/>
    <m/>
    <s v="Cardiobase Angioplasty"/>
    <s v="Cardiobase Angioplasty"/>
    <m/>
    <m/>
    <m/>
    <m/>
    <m/>
    <m/>
    <m/>
    <m/>
    <m/>
    <x v="0"/>
    <m/>
    <m/>
    <x v="6"/>
    <m/>
    <s v="PL"/>
    <m/>
    <x v="1"/>
    <m/>
    <m/>
    <x v="1"/>
    <m/>
    <m/>
  </r>
  <r>
    <x v="156"/>
    <x v="107"/>
    <s v="Yes"/>
    <m/>
    <s v="Which entry location was used to provide access for the procedure? Indicate the percutaneous entry location used to provide arterial vascular access for the procedure.  Note: If crossover occurred, select the percutaneous entry location that successfully facilitated the index PCI procedure."/>
    <s v="Reject file if NULL from the ncr tab: procedure "/>
    <s v="N"/>
    <s v="1=Brachial_x000a_2=Radial_x000a_3=Femoral"/>
    <s v="1"/>
    <s v="3"/>
    <m/>
    <m/>
    <s v="Cardiobase - needs to be mapped (? Done already)_x000a__x000a_Dictionary to define first attempt?"/>
    <m/>
    <x v="1"/>
    <m/>
    <s v="Cardiobase Angioplasty"/>
    <s v="Cardiobase Angioplasty"/>
    <m/>
    <m/>
    <m/>
    <m/>
    <m/>
    <m/>
    <m/>
    <m/>
    <m/>
    <x v="1"/>
    <m/>
    <m/>
    <x v="2"/>
    <d v="2022-07-22T00:00:00"/>
    <m/>
    <m/>
    <x v="0"/>
    <m/>
    <m/>
    <x v="0"/>
    <m/>
    <m/>
  </r>
  <r>
    <x v="157"/>
    <x v="108"/>
    <s v="Yes"/>
    <m/>
    <s v="Where in-hospital bleeding was coded 'Type 1, 2, 3a, 3b, 3c, 4, 5a, or 5b', specify the site. Indicate the bleeding site from the following:_x000a_- Retroperitoneal - Indicate whether retroperitoneal bleeding occurred during or after the cath lab visit and until discharge. _x000a_- Percutaneous entry site - Indicate whether bleeding occurred at the percutaneous entry site during or after the cath lab visit and until discharge.  Bleeding at the percutaneous entry site can be external or a haematoma &gt;10cm for femoral access or &gt;2cm for radial access or &gt;5cm for brachial access. _x000a_- Gastrointestinal tract - Indicate whether gastrointestinal bleeding occurred during or after the cath lab visit and until discharge. _x000a_- Cerebral - Indicate whether cerebral bleeding occurred during or after the cath lab visit and until discharge. _x000a_- Genital/Urinary - Indicate whether genital or urinary bleeding occurred during or after the cath lab visit and until discharge.  _x000a_- Other –"/>
    <s v="Reject file if ihbl = 0 and ihblsite has data_x000a_Reject file if ihbl &gt;=1 and ihblsite is NULL from the ncr tab: post_procedural "/>
    <s v="N"/>
    <s v="1= Retroperitoneal_x000a_2=Percutaneous entry site_x000a_3=Gastrointestinal tract_x000a_4=Cerebral_x000a_5=Genital/Urinary_x000a_6=Other"/>
    <s v="1"/>
    <s v="6"/>
    <m/>
    <m/>
    <s v="NACS?"/>
    <m/>
    <x v="33"/>
    <m/>
    <s v=""/>
    <m/>
    <m/>
    <m/>
    <m/>
    <m/>
    <m/>
    <m/>
    <m/>
    <m/>
    <m/>
    <x v="6"/>
    <m/>
    <m/>
    <x v="6"/>
    <m/>
    <s v="BW/EK"/>
    <m/>
    <x v="1"/>
    <m/>
    <m/>
    <x v="1"/>
    <m/>
    <m/>
  </r>
  <r>
    <x v="158"/>
    <x v="109"/>
    <s v="Yes"/>
    <m/>
    <s v="Was the patient intubated before the PCI procedure commenced? Indicate if the patient was intubated prior to the PCI procedure. Note: intubation during the procedure should be coded under &quot;Procedural intubation required: pintr&quot;"/>
    <s v="Reject file if pint is NULL from the ncr tab: admission_preprocedural "/>
    <s v="N"/>
    <s v="0=No_x000a_1=Yes"/>
    <s v="0"/>
    <s v="1"/>
    <m/>
    <m/>
    <s v="Cardiobase. Not available"/>
    <m/>
    <x v="1"/>
    <m/>
    <s v=""/>
    <m/>
    <m/>
    <m/>
    <m/>
    <m/>
    <m/>
    <m/>
    <m/>
    <m/>
    <m/>
    <x v="0"/>
    <m/>
    <m/>
    <x v="0"/>
    <m/>
    <s v="BW"/>
    <m/>
    <x v="1"/>
    <m/>
    <m/>
    <x v="0"/>
    <m/>
    <m/>
  </r>
  <r>
    <x v="159"/>
    <x v="96"/>
    <s v="Yes"/>
    <m/>
    <s v=""/>
    <s v="Reject file if pci30_6 =0 or -1 and tvr30_6 has data_x000a_Reject file if pci30_6=1 and tvr30_6 is NULL from the ncr tab: follow_up "/>
    <s v="N"/>
    <s v="_x000a_0=No_x000a_1=Yes_x000a_-1=Unknown"/>
    <s v="-1"/>
    <s v="1"/>
    <m/>
    <m/>
    <s v=""/>
    <m/>
    <x v="2"/>
    <m/>
    <s v="Cardiobase Angioplasty"/>
    <s v="Cardiobase Angioplasty"/>
    <m/>
    <m/>
    <m/>
    <m/>
    <m/>
    <m/>
    <m/>
    <m/>
    <m/>
    <x v="0"/>
    <m/>
    <m/>
    <x v="6"/>
    <m/>
    <s v="PL"/>
    <m/>
    <x v="1"/>
    <m/>
    <m/>
    <x v="0"/>
    <m/>
    <m/>
  </r>
  <r>
    <x v="160"/>
    <x v="110"/>
    <s v="Yes"/>
    <m/>
    <s v=""/>
    <s v="Reject file if pci30_6 =0 or -1 and tlr30_6 has data_x000a_Reject file if pci30_6=1 and tlr30_6 is NULL from the ncr tab: follow_up "/>
    <s v="N"/>
    <s v="_x000a_0=No_x000a_1=Yes_x000a_-1=Unknown"/>
    <s v="-1"/>
    <s v="1"/>
    <m/>
    <m/>
    <s v=""/>
    <m/>
    <x v="2"/>
    <m/>
    <s v="Cardiobase Angioplasty"/>
    <s v="Cardiobase Angioplasty"/>
    <m/>
    <m/>
    <m/>
    <m/>
    <m/>
    <m/>
    <m/>
    <m/>
    <m/>
    <x v="0"/>
    <m/>
    <m/>
    <x v="6"/>
    <m/>
    <s v="PL"/>
    <m/>
    <x v="1"/>
    <m/>
    <m/>
    <x v="0"/>
    <m/>
    <m/>
  </r>
  <r>
    <x v="161"/>
    <x v="111"/>
    <s v="Yes"/>
    <m/>
    <s v="Where Discharge status is coded “Hospital Mortality” Indicate the cause of death. Primary cause of death is the first significant abnormal event which ultimately led to death.  Select ONE of the following options: _x000a_- Non-cardiac: The primary cause of death was clearly non-cardiac related AND there is documented evidence of a non-cardiac primary cause of death (e.g. cancer, renal failure, major trauma, etc.)._x000a_- Cardiac: The primary cause of death was diagnosed as clearly cardiac-related and includes, but is not exclusive to any of the following circumstances: chronic heart failure; acute coronary syndrome (e.g. STEMI, NSTEMI; recurrent or unstable angina, etc.); arrhythmia; and/or bleeding or other complications following a cardiac procedure."/>
    <s v="Reject file if dis &lt; 6 and mortc has data_x000a__x000a_Reject file if dis=6 and mortc is NULL from the ncr tab: discharge "/>
    <s v="N"/>
    <s v="1=Cardiac_x000a_2=Non-cardiac"/>
    <s v="1"/>
    <s v="2"/>
    <m/>
    <m/>
    <s v="The Deaths Registry can be used to identify this information with NLP support. Requires test use case, clinical validation. Death registry also has a flag if the death occurred in-hospital._x000a__x000a_The Australian Bureau of Statistics classifies deaths using a standardised nomenclature and cause identification methodology which has been validated. [Access to this classification is currently underway]_x000a__x000a_The IRIS system is used to classify the cause of death._x000a__x000a_Cardiac death is determined through the Death Registration's cause of death text field, where the presence of the following terms determine a cardiac related death:_x000a_cardiac, cardio, coronary, heart, pericardial, pericardium, myocardial, ventricular (but not interventricular)._x000a__x000a_Use the Disease Register table &quot;ALL_IH_DEATH&quot;, match by EVENT_ID and pull the &quot;CARDIAC_IH_DEATH&quot; column."/>
    <s v="Yes"/>
    <x v="34"/>
    <m/>
    <s v="Deaths registry"/>
    <m/>
    <m/>
    <m/>
    <m/>
    <m/>
    <m/>
    <m/>
    <s v="Deaths registry"/>
    <m/>
    <m/>
    <x v="0"/>
    <m/>
    <m/>
    <x v="4"/>
    <m/>
    <s v="PL/EK/BW"/>
    <m/>
    <x v="0"/>
    <m/>
    <m/>
    <x v="0"/>
    <m/>
    <m/>
  </r>
  <r>
    <x v="162"/>
    <x v="85"/>
    <s v="Yes"/>
    <m/>
    <s v=""/>
    <s v="Reject file if cab30_6 =0, or -1, or NULL and tvcab30_6 has data_x000a_Reject file if cab30_6=1 and tvcab30_6 is NULL from the ncr tab: follow_up "/>
    <s v="N"/>
    <s v="_x000a_0=No_x000a_1=Yes_x000a_-1=Unknown"/>
    <s v="-1"/>
    <s v="1"/>
    <m/>
    <m/>
    <s v="We need to talk to some cardiothoracic surgeons._x000a__x000a_Possibly available from a Cardiothoracic surgical system?"/>
    <m/>
    <x v="2"/>
    <m/>
    <s v=""/>
    <m/>
    <m/>
    <m/>
    <m/>
    <m/>
    <m/>
    <m/>
    <m/>
    <m/>
    <m/>
    <x v="0"/>
    <m/>
    <m/>
    <x v="0"/>
    <m/>
    <n v="0"/>
    <m/>
    <x v="2"/>
    <m/>
    <m/>
    <x v="0"/>
    <m/>
    <m/>
  </r>
  <r>
    <x v="163"/>
    <x v="112"/>
    <s v="Yes"/>
    <m/>
    <s v="Was the patient intubated during the procedure? Indicate whether the patient was intubated during the index PCI procedure."/>
    <s v="Reject file if NULL from the ncr tab: procedure "/>
    <s v="N"/>
    <s v="0=No _x000a_1=Yes"/>
    <s v="0"/>
    <s v="1"/>
    <m/>
    <m/>
    <s v="Multiple potential sources: Review HMDS for clinical coding.  Source 2 : cardiobase._x000a__x000a_BW - JC suggested following ACHI codes from HMDC:_x000a_22007-00 – endotrachial intubation, single lumen_x000a_22007-01 – management of endotrachial intubation, single lumen_x000a_22008-00 - endotracheal intubation, double lumen_x000a_22008-01 - management of endotracheal intubation, double lumen_x000a_90179-00 - endotracheal intubation, single lumen_x000a_90179-01 - endotracheal intubation, double lumen_x000a_90179-02 – nasopharyngeal intubation_x000a_90179-03 - management endotracheal intubation, single lumen_x000a_90179-04 - management endotracheal intubation, double lumen_x000a_90179-05 – management of nasopharyngeal intubation_x000a_92035-00 - other intubation of respiratory tract_x000a_92035-01 – management of other intubation of respiratory tract"/>
    <m/>
    <x v="1"/>
    <m/>
    <s v=""/>
    <m/>
    <m/>
    <m/>
    <m/>
    <m/>
    <m/>
    <m/>
    <m/>
    <m/>
    <m/>
    <x v="0"/>
    <m/>
    <m/>
    <x v="0"/>
    <m/>
    <m/>
    <m/>
    <x v="1"/>
    <m/>
    <m/>
    <x v="0"/>
    <m/>
    <m/>
  </r>
  <r>
    <x v="164"/>
    <x v="113"/>
    <s v="Yes"/>
    <m/>
    <s v="Was the patient alive or dead at follow-up? Indicate whether the patient was alive or dead at 30 days after discharge from the index admission."/>
    <s v="Reject file if stat30 is NULL AND dis=1-5_x000a_Reject file if dis=6 and stat30 contains data from the ncr tab: follow_up "/>
    <s v="N"/>
    <s v="0 = Alive_x000a_1 = Deceased_x000a_-1 = Lost to follow-up"/>
    <s v="-1"/>
    <s v="1"/>
    <m/>
    <m/>
    <s v="The WACOR data dictionary should derive this field from the date of death (i.e. if date of death exists, then patient is deceased)."/>
    <m/>
    <x v="35"/>
    <m/>
    <s v="Deaths registry, April 2024 column has been created (it was originally mistitled as DMORT30 with 0/1 outputs)"/>
    <m/>
    <m/>
    <m/>
    <m/>
    <m/>
    <m/>
    <m/>
    <s v="Deaths registry"/>
    <m/>
    <s v="April 2024 column has been created (it was originally mistitled as DMORT30 with 0/1 outputs)"/>
    <x v="0"/>
    <m/>
    <m/>
    <x v="4"/>
    <m/>
    <s v="BW"/>
    <m/>
    <x v="0"/>
    <m/>
    <m/>
    <x v="1"/>
    <m/>
    <m/>
  </r>
  <r>
    <x v="165"/>
    <x v="114"/>
    <s v="Yes"/>
    <m/>
    <s v="Where the Follow-up status is coded as 'Deceased', what was the cause of death? Primary cause of death is the first significant abnormal event which ultimately led to death.  Select ONE of the following options:_x000a_- Non-cardiac: The primary cause of death was clearly non-cardiac related AND there is documented evidence of a non-cardiac primary cause of death (e.g. cancer, renal failure, major trauma, etc.)._x000a_- Cardiac: The primary cause of death was diagnosed as clearly cardiac-related and includes, but is not exclusive to any of the following circumstances: chronic heart failure; acute coronary syndrome (e.g. STEMI, NSTEMI; recurrent or unstable angina, etc.); arrhythmia; and/or bleeding or other complications following a cardiac procedure._x000a_- Uncertain: The primary cause of death is not definitively known._x000a__x000a_Related to mortc. Requires parent/child relationship with stat30, dmort30"/>
    <s v="Reject file if stat30=0 or -1 AND  mort30r contains data_x000a_Reject file if stat30=1 and mort30r is NULL from the ncr tab: follow_up "/>
    <s v="N"/>
    <s v="1=Cardiac_x000a_2=Non-cardiac_x000a_3=Uncertain"/>
    <s v="1"/>
    <s v="3"/>
    <m/>
    <m/>
    <s v="Requires linkage and information from the Deaths Registry._x000a__x000a_Requires NLP to determine cardiac related conditions.  _x000a__x000a_Requires more detailed WACOR definition at the state level defining the cardiac cause being present in the CAUSE OF DEATH field and not ANTECEDENT FACTORS."/>
    <s v="Yes"/>
    <x v="19"/>
    <m/>
    <s v="Deaths registry"/>
    <m/>
    <m/>
    <m/>
    <m/>
    <m/>
    <m/>
    <m/>
    <s v="Deaths registry"/>
    <m/>
    <m/>
    <x v="0"/>
    <m/>
    <m/>
    <x v="4"/>
    <m/>
    <m/>
    <m/>
    <x v="2"/>
    <m/>
    <m/>
    <x v="0"/>
    <m/>
    <m/>
  </r>
  <r>
    <x v="166"/>
    <x v="96"/>
    <s v="Yes"/>
    <m/>
    <s v="Where PCI rehospitalisation  is coded as 'Yes', was the target VESSEL revascularised during the post-discharge subsequent PCI? Indicate whether the target VESSEL was revascularised during the post-discharge subsequent PCI. _x000a_Note: A PCI TVR is any repeated PERCUTANEOUS revascularisation due to restenosis/occlusion within the target coronary artery and/or the same arterial branch that was treated during the index PCI. _x000a_This includes any percutaneous revascularisation within the same arterial branch treated during the index PCI, regardless of whether the index PCI was successful."/>
    <s v="Up to 6 rehospitalisations be entered.  _x000a_ Fields are coded in data extract as CRH30, CRH30_2, CRH30_3-5..,Reject file if pci30 =0 or -1 and tvr30 has data_x000a_Reject file if pci30=1 and tvr30 is NULL from the ncr tab: follow_up "/>
    <s v="N"/>
    <s v="0=No_x000a_1=Yes_x000a_-1=Unknown"/>
    <s v="-1"/>
    <s v="1"/>
    <m/>
    <m/>
    <s v="The underlying cardiobase data extract includes individual vessel identifier and lesion identification.  This patient-procedure-vessel identifier should be created.  If the same patient-procedure-vessel identifier is found within subsequent admissions it should be given a subsequent sequence identifier (i.e. -1, -2). "/>
    <m/>
    <x v="36"/>
    <m/>
    <s v="Cardiobase Angioplasty"/>
    <s v="Cardiobase Angioplasty"/>
    <m/>
    <m/>
    <m/>
    <m/>
    <m/>
    <m/>
    <m/>
    <m/>
    <m/>
    <x v="0"/>
    <m/>
    <m/>
    <x v="6"/>
    <m/>
    <s v="PL"/>
    <m/>
    <x v="1"/>
    <m/>
    <m/>
    <x v="1"/>
    <m/>
    <m/>
  </r>
  <r>
    <x v="167"/>
    <x v="110"/>
    <s v="Yes"/>
    <m/>
    <s v="Where PCI rehospitalisation  is coded as 'Yes', was the target LESION revascularised during the post-discharge subsequent PCI? Indicate whether the target LESION was revascularised during the post-discharge subsequent PCI. _x000a_Note:  A target lesion revascularisation (TLR) is any repeated PERCUTANEOUS revascularisation of the same LESION treated during the index PCI.  _x000a_This includes treatment of a restenosis/occlusion within a stent implanted during the index PCI (or within 5-mm of the proximal and distal margins of the stent edges). It also includes attempts to revascularise the target lesion where a stent was not successfully implanted and/or plain old balloon angioplasty (POBA) was employed during the index PCI."/>
    <s v="Up to 6 rehospitalisations be entered.  _x000a_ Fields are coded in data extract as CRH30, CRH30_2, CRH30_3-5..,Reject file if tvr30 =0 or -1 and tlr30 has data_x000a_Reject file if tvr30=1 and tlr30 is NULL from the ncr tab: follow_up "/>
    <s v="N"/>
    <s v="_x000a_0=No_x000a_1=Yes_x000a_-1=Unknown"/>
    <s v="-1"/>
    <s v="1"/>
    <m/>
    <m/>
    <s v="The underlying cardiobase data extract includes individual vessel identifier and lesion identification.  This patient-procedure-lesion identifier should be created.  If the same patient-procedure-lesion identifier is found within subsequent admissions it should be given a subsequent sequence identifier (i.e. -1, -2). "/>
    <m/>
    <x v="37"/>
    <m/>
    <s v="Cardiobase Angioplasty"/>
    <s v="Cardiobase Angioplasty"/>
    <m/>
    <m/>
    <m/>
    <m/>
    <m/>
    <m/>
    <m/>
    <m/>
    <m/>
    <x v="0"/>
    <m/>
    <m/>
    <x v="6"/>
    <m/>
    <s v="PL"/>
    <m/>
    <x v="1"/>
    <m/>
    <m/>
    <x v="1"/>
    <m/>
    <m/>
  </r>
  <r>
    <x v="168"/>
    <x v="96"/>
    <s v="Yes"/>
    <m/>
    <s v=""/>
    <s v="Reject file if pci30_2 =0 or -1 and tvr30_2 has data_x000a_Reject file if pci30_2=1 and tvr30_2 is NULL from the ncr tab: follow_up "/>
    <s v="N"/>
    <s v="_x000a_0=No_x000a_1=Yes_x000a_-1=Unknown"/>
    <s v="-1"/>
    <s v="1"/>
    <m/>
    <m/>
    <s v=""/>
    <m/>
    <x v="2"/>
    <m/>
    <s v="Cardiobase Angioplasty"/>
    <s v="Cardiobase Angioplasty"/>
    <m/>
    <m/>
    <m/>
    <m/>
    <m/>
    <m/>
    <m/>
    <m/>
    <m/>
    <x v="0"/>
    <m/>
    <m/>
    <x v="6"/>
    <m/>
    <s v="PL"/>
    <m/>
    <x v="2"/>
    <m/>
    <m/>
    <x v="0"/>
    <m/>
    <m/>
  </r>
  <r>
    <x v="169"/>
    <x v="110"/>
    <s v="Yes"/>
    <m/>
    <s v=""/>
    <s v="Reject file if tvr30_2 =0 or -1 and tlr30_2 has data_x000a_Reject file if tvr30_2=1 and tlr30_2 is NULL from the ncr tab: follow_up "/>
    <s v="N"/>
    <s v="_x000a_0=No_x000a_1=Yes_x000a_-1=Unknown"/>
    <s v="-1"/>
    <s v="1"/>
    <m/>
    <m/>
    <s v=""/>
    <m/>
    <x v="2"/>
    <m/>
    <s v="Cardiobase Angioplasty"/>
    <s v="Cardiobase Angioplasty"/>
    <m/>
    <m/>
    <m/>
    <m/>
    <m/>
    <m/>
    <m/>
    <m/>
    <m/>
    <x v="0"/>
    <m/>
    <m/>
    <x v="6"/>
    <m/>
    <s v="PL/EK/BW"/>
    <m/>
    <x v="2"/>
    <m/>
    <m/>
    <x v="0"/>
    <m/>
    <m/>
  </r>
  <r>
    <x v="170"/>
    <x v="96"/>
    <s v="Yes"/>
    <m/>
    <s v=""/>
    <s v="Reject file if pci30_3 =0 or -1 and tvr30_3 has data_x000a_Reject file if pci30_3=1 and tvr30_3 is NULL from the ncr tab: follow_up "/>
    <s v="N"/>
    <s v="_x000a_0=No_x000a_1=Yes_x000a_-1=Unknown"/>
    <s v="-1"/>
    <s v="1"/>
    <m/>
    <m/>
    <s v=""/>
    <m/>
    <x v="2"/>
    <m/>
    <s v="Cardiobase Angioplasty"/>
    <s v="Cardiobase Angioplasty"/>
    <m/>
    <m/>
    <m/>
    <m/>
    <m/>
    <m/>
    <m/>
    <m/>
    <m/>
    <x v="0"/>
    <m/>
    <m/>
    <x v="6"/>
    <m/>
    <s v="PL"/>
    <m/>
    <x v="2"/>
    <m/>
    <m/>
    <x v="0"/>
    <m/>
    <m/>
  </r>
  <r>
    <x v="171"/>
    <x v="110"/>
    <s v="Yes"/>
    <m/>
    <s v=""/>
    <s v="Reject file if tvr30_3 =0 or -1 and tlr30_3 has data_x000a_Reject file if tvr30_3=1 and tlr30_3 is NULL from the ncr tab: follow_up "/>
    <s v="N"/>
    <s v="_x000a_0=No_x000a_1=Yes_x000a_-1=Unknown"/>
    <s v="-1"/>
    <s v="1"/>
    <m/>
    <m/>
    <s v=""/>
    <m/>
    <x v="2"/>
    <m/>
    <s v="Cardiobase Angioplasty"/>
    <s v="Cardiobase Angioplasty"/>
    <m/>
    <m/>
    <m/>
    <m/>
    <m/>
    <m/>
    <m/>
    <m/>
    <m/>
    <x v="0"/>
    <m/>
    <m/>
    <x v="6"/>
    <m/>
    <n v="0"/>
    <m/>
    <x v="2"/>
    <m/>
    <m/>
    <x v="0"/>
    <m/>
    <m/>
  </r>
  <r>
    <x v="172"/>
    <x v="110"/>
    <s v="Yes"/>
    <m/>
    <s v=""/>
    <s v="Reject file if tvr30_4 =0 or -1 and tlr30_4 has data_x000a_Reject file if tvr30_4=1 and tlr30_4 is NULL from the ncr tab: follow_up "/>
    <s v="N"/>
    <s v="_x000a_0=No_x000a_1=Yes_x000a_-1=Unknown"/>
    <s v="-1"/>
    <s v="1"/>
    <m/>
    <m/>
    <s v=""/>
    <m/>
    <x v="2"/>
    <m/>
    <s v="Cardiobase Angioplasty"/>
    <s v="Cardiobase Angioplasty"/>
    <m/>
    <m/>
    <m/>
    <m/>
    <m/>
    <m/>
    <m/>
    <m/>
    <m/>
    <x v="0"/>
    <m/>
    <m/>
    <x v="6"/>
    <m/>
    <s v="BW"/>
    <m/>
    <x v="2"/>
    <m/>
    <m/>
    <x v="0"/>
    <m/>
    <m/>
  </r>
  <r>
    <x v="173"/>
    <x v="115"/>
    <s v="Yes"/>
    <s v="Example: This is the NCR portal user's first name."/>
    <s v=""/>
    <s v="from the NCR tab: user "/>
    <s v=""/>
    <s v=""/>
    <s v=""/>
    <s v=""/>
    <m/>
    <m/>
    <s v=""/>
    <m/>
    <x v="22"/>
    <m/>
    <s v="Cardiobase Angioplasty, HMDC, HIH"/>
    <s v="Cardiobase Angioplasty"/>
    <m/>
    <s v="HMDC"/>
    <m/>
    <m/>
    <s v="HIH"/>
    <m/>
    <m/>
    <m/>
    <m/>
    <x v="2"/>
    <n v="453734"/>
    <m/>
    <x v="0"/>
    <m/>
    <m/>
    <m/>
    <x v="2"/>
    <m/>
    <m/>
    <x v="0"/>
    <m/>
    <m/>
  </r>
  <r>
    <x v="174"/>
    <x v="116"/>
    <s v="Yes"/>
    <m/>
    <s v=""/>
    <s v="from the NCR tab: user "/>
    <s v=""/>
    <s v=""/>
    <s v=""/>
    <s v=""/>
    <m/>
    <m/>
    <s v=""/>
    <m/>
    <x v="22"/>
    <m/>
    <s v=""/>
    <m/>
    <m/>
    <m/>
    <m/>
    <m/>
    <m/>
    <m/>
    <m/>
    <m/>
    <m/>
    <x v="0"/>
    <n v="286953"/>
    <m/>
    <x v="0"/>
    <m/>
    <m/>
    <m/>
    <x v="2"/>
    <m/>
    <m/>
    <x v="0"/>
    <m/>
    <m/>
  </r>
  <r>
    <x v="175"/>
    <x v="117"/>
    <s v="Yes"/>
    <m/>
    <s v="Has the patient had a prior PCI? Indicate if patient has had a prior Percutaneous Transluminal Coronary Angioplasty, Coronary Atherectomy, and/or coronary stent done at any time prior to the current PCI procedure. _x000a_Note: This may include a PCI performed during the current admission."/>
    <s v="Reject file if NULL from the ncr tab: admission_preprocedural "/>
    <s v="N"/>
    <s v="0=No_x000a_1=Yes"/>
    <s v="0"/>
    <s v="1"/>
    <m/>
    <m/>
    <s v="Cardiobase Prior PTCA"/>
    <m/>
    <x v="1"/>
    <m/>
    <s v="Cardiobase Angioplasty, HMDC"/>
    <s v="Cardiobase Angioplasty"/>
    <m/>
    <s v="HMDC"/>
    <m/>
    <m/>
    <m/>
    <m/>
    <m/>
    <m/>
    <m/>
    <x v="1"/>
    <m/>
    <m/>
    <x v="3"/>
    <m/>
    <s v="PL"/>
    <s v="wa_p_pci_hmdc_x000a_wa_PriorPCI_cbap_x000a__x000a_wa_p_pci_merged"/>
    <x v="0"/>
    <s v="?"/>
    <s v="HMDC_PCI - https://hsswa.australia-east.azure.snowflakecomputing.com/console#/internal/worksheet"/>
    <x v="0"/>
    <s v="From the Disease Register HMDC_PCI_x000a_https://github.com/AUS-DOH-Safety-and-Quality/Disease-Register_x000a_Merged with Prior PTCA from cardiobase"/>
    <s v="Yes"/>
  </r>
  <r>
    <x v="176"/>
    <x v="118"/>
    <s v="Yes"/>
    <s v="This is the email address of the NCR user's login account."/>
    <s v=""/>
    <s v="This will act as the username from the ncr tab: user "/>
    <s v=""/>
    <s v=""/>
    <s v=""/>
    <s v=""/>
    <m/>
    <m/>
    <s v=""/>
    <m/>
    <x v="22"/>
    <m/>
    <s v=""/>
    <m/>
    <m/>
    <m/>
    <m/>
    <m/>
    <m/>
    <m/>
    <m/>
    <m/>
    <m/>
    <x v="0"/>
    <m/>
    <m/>
    <x v="0"/>
    <m/>
    <m/>
    <m/>
    <x v="2"/>
    <m/>
    <m/>
    <x v="0"/>
    <m/>
    <m/>
  </r>
  <r>
    <x v="177"/>
    <x v="119"/>
    <s v="Yes"/>
    <s v="This descries th role of the user for the NCR.  "/>
    <s v=""/>
    <s v="On commencement just NCR and State admin, clinicians and hospitals could be added in the future from the ncr tab: user "/>
    <s v=""/>
    <s v="1 = NCR Administrator_x000a_2 = State Administrator_x000a_3 = Clinician_x000a_4 = Hospital?? (HOU/Q&amp;S person?)"/>
    <s v=""/>
    <s v=""/>
    <m/>
    <m/>
    <s v=""/>
    <m/>
    <x v="38"/>
    <m/>
    <s v=""/>
    <m/>
    <m/>
    <m/>
    <m/>
    <m/>
    <m/>
    <m/>
    <m/>
    <m/>
    <m/>
    <x v="0"/>
    <m/>
    <m/>
    <x v="0"/>
    <m/>
    <m/>
    <m/>
    <x v="2"/>
    <m/>
    <m/>
    <x v="0"/>
    <m/>
    <m/>
  </r>
  <r>
    <x v="178"/>
    <x v="120"/>
    <s v="Yes"/>
    <m/>
    <s v=""/>
    <s v="from the NCR tab: user "/>
    <s v=""/>
    <s v="Check if user no longer active"/>
    <s v=""/>
    <s v=""/>
    <m/>
    <m/>
    <s v=""/>
    <m/>
    <x v="39"/>
    <m/>
    <s v=""/>
    <m/>
    <m/>
    <m/>
    <m/>
    <m/>
    <m/>
    <m/>
    <m/>
    <m/>
    <m/>
    <x v="0"/>
    <m/>
    <m/>
    <x v="0"/>
    <m/>
    <m/>
    <m/>
    <x v="2"/>
    <m/>
    <m/>
    <x v="0"/>
    <m/>
    <m/>
  </r>
  <r>
    <x v="179"/>
    <x v="121"/>
    <s v="Yes"/>
    <m/>
    <s v=""/>
    <s v="from the NCR tab: patient "/>
    <s v="NNNNNN"/>
    <s v="System generate unique ID number = site state code + site public/private code + PatientID"/>
    <s v=""/>
    <s v=""/>
    <m/>
    <m/>
    <s v=""/>
    <m/>
    <x v="0"/>
    <m/>
    <s v=""/>
    <m/>
    <m/>
    <m/>
    <m/>
    <m/>
    <m/>
    <m/>
    <m/>
    <m/>
    <m/>
    <x v="0"/>
    <m/>
    <m/>
    <x v="0"/>
    <m/>
    <m/>
    <m/>
    <x v="0"/>
    <m/>
    <m/>
    <x v="0"/>
    <m/>
    <m/>
  </r>
  <r>
    <x v="180"/>
    <x v="122"/>
    <s v="Yes"/>
    <m/>
    <s v=""/>
    <s v="from the NCR tab: site "/>
    <s v="1=Public_x000a_2=Private"/>
    <s v=""/>
    <s v=""/>
    <s v=""/>
    <m/>
    <m/>
    <s v=""/>
    <m/>
    <x v="1"/>
    <m/>
    <s v=""/>
    <m/>
    <m/>
    <m/>
    <m/>
    <m/>
    <m/>
    <m/>
    <m/>
    <m/>
    <m/>
    <x v="0"/>
    <m/>
    <m/>
    <x v="0"/>
    <m/>
    <m/>
    <m/>
    <x v="0"/>
    <m/>
    <m/>
    <x v="0"/>
    <m/>
    <m/>
  </r>
  <r>
    <x v="181"/>
    <x v="123"/>
    <s v="Yes"/>
    <m/>
    <s v=""/>
    <s v="Reject file if sex is NULL from the ncr tab: patient "/>
    <s v="N"/>
    <s v="1=Male_x000a_2=Female"/>
    <s v="1"/>
    <s v="2"/>
    <m/>
    <m/>
    <s v="Hmds (mapped already in business rules).  In WA (September 2022) the HMDS definitions for sex are being consulted upon to reflect sex and gender expression.  The consultation is expected to result in changes to the recording of sex in WA Health's core datasets.    _x000a__x000a_NCR to be advised of the expected changes, and concurrent national definitional changes._x000a__x000a_METEOR ref will require refinement for WACOR."/>
    <m/>
    <x v="1"/>
    <m/>
    <s v="HMDC"/>
    <m/>
    <m/>
    <s v="HMDC"/>
    <m/>
    <m/>
    <m/>
    <m/>
    <m/>
    <m/>
    <m/>
    <x v="1"/>
    <n v="291045"/>
    <m/>
    <x v="2"/>
    <d v="2022-07-22T00:00:00"/>
    <m/>
    <m/>
    <x v="0"/>
    <m/>
    <m/>
    <x v="0"/>
    <m/>
    <m/>
  </r>
  <r>
    <x v="182"/>
    <x v="96"/>
    <s v="Yes"/>
    <m/>
    <s v=""/>
    <s v="Reject file if pci30_5 =0 or -1 and tvr30_5 has data_x000a_Reject file if pci30_5=1 and tvr30_5 is NULL from the ncr tab: follow_up "/>
    <s v="N"/>
    <s v="_x000a_0=No_x000a_1=Yes_x000a_-1=Unknown"/>
    <s v="-1"/>
    <s v="1"/>
    <m/>
    <m/>
    <s v=""/>
    <m/>
    <x v="22"/>
    <m/>
    <s v="Cardiobase Angioplasty"/>
    <s v="Cardiobase Angioplasty"/>
    <m/>
    <m/>
    <m/>
    <m/>
    <m/>
    <m/>
    <m/>
    <m/>
    <m/>
    <x v="0"/>
    <m/>
    <m/>
    <x v="6"/>
    <m/>
    <s v="PL"/>
    <m/>
    <x v="2"/>
    <m/>
    <m/>
    <x v="0"/>
    <m/>
    <m/>
  </r>
  <r>
    <x v="183"/>
    <x v="124"/>
    <s v="Yes"/>
    <m/>
    <s v="Was the patient in cardiogenic shock at the time of index PCI? Indicate if the patient was in cardiogenic shock at the time of index PCI. _x000a__x000a_There may be some minor variation in the way participating registries define this item._x000a__x000a_Cardiogenic supporting definition:_x000a_Transient episodes of hypotension reversed with IV fluid or atropine do not constitute cardiogenic shock. Cardiogenic shock is coded as ‘yes’ if all of the following apply: 1. Sustained (&gt;30 minutes) episode of systolic blood pressure &lt;90 mm Hg (or vasopressors required to maintain BP &gt;90 mm Hg); AND 2. Evidence of elevated filling pressures (e.g. pulmonary congestion on examination or chest radiograph); AND 3. Evidence of end organ hypoperfusion (e.g. urine output 30mL/hour; or cold/diaphoretic extremities; or altered mental status, etc.)."/>
    <s v="Reject file if shock is NULL from the ncr tab: admission_preprocedural "/>
    <s v="N"/>
    <s v="0=No_x000a_1=Yes"/>
    <s v="0"/>
    <s v="1"/>
    <m/>
    <m/>
    <s v="Cardiobase (see field 'Indication' where the value is cardiogenic shock).  HMDS or HIH (ICD R57.0 symptom)"/>
    <m/>
    <x v="1"/>
    <m/>
    <s v="Cardiobase RiskScore, HMDC"/>
    <m/>
    <s v="Cardiobase RiskScore"/>
    <s v="HMDC"/>
    <m/>
    <m/>
    <m/>
    <m/>
    <m/>
    <m/>
    <m/>
    <x v="1"/>
    <m/>
    <m/>
    <x v="3"/>
    <m/>
    <m/>
    <s v="wa_cardiogenic_shock_hmdc"/>
    <x v="0"/>
    <m/>
    <s v="Cardiovascular Disease Type - &quot;Hypotension and shock&quot;"/>
    <x v="0"/>
    <s v="From the SQL Query HMDC_Cardiogenic_Shock_x000a_https://github.com/AUS-DOH-Safety-and-Quality/Snowflake-SQL/tree/main/PCI"/>
    <s v="Yes"/>
  </r>
  <r>
    <x v="184"/>
    <x v="125"/>
    <s v="Yes"/>
    <s v="For NCR users this describes the state which the user represents."/>
    <s v=""/>
    <s v="NCR staff to have access to all, some s/t registries will manage contributions for other s/ts (e.g. VIC for TAS) from the ncr tab: user "/>
    <s v=""/>
    <s v="Check all that apply:_x000a_ACT_x000a_NSW_x000a_NT_x000a_QLD_x000a_SA_x000a_TAS_x000a_VIC_x000a_WA"/>
    <s v=""/>
    <s v=""/>
    <m/>
    <m/>
    <s v=""/>
    <m/>
    <x v="1"/>
    <m/>
    <s v=""/>
    <m/>
    <m/>
    <m/>
    <m/>
    <m/>
    <m/>
    <m/>
    <m/>
    <m/>
    <m/>
    <x v="0"/>
    <m/>
    <m/>
    <x v="0"/>
    <m/>
    <m/>
    <m/>
    <x v="0"/>
    <m/>
    <m/>
    <x v="0"/>
    <m/>
    <m/>
  </r>
  <r>
    <x v="185"/>
    <x v="126"/>
    <s v="Yes"/>
    <s v="Derived field from the earliest of: _x000a_i) ambulance handover time_x000a_ii) emergency department arrival time (Emergency Department dataset : arrival_datetime) _x000a_iii) ward admission time_x000a_iv) cath lab arrival time_x000a_"/>
    <s v="At what time did the patient arrive at the PCI hospital? Indicate the time the patient arrived at the PCI hospital. _x000a_Note: This is the time that the patient arrived at the PCI hospital and when they were triaged (entered into the hospital administrative system)."/>
    <s v="Reject file if  NULL_x000a_Reject file if doa, toa, dop, top and patientID are all the same across multiple entries within this import_x000a_ from the ncr tab: admission_preprocedural "/>
    <s v="HH:MM"/>
    <s v="EDDC DD"/>
    <s v="00:00"/>
    <s v="23:59"/>
    <m/>
    <s v="This data element is derived from the earliest available time which is recorded for the patient's attendance at a hospital.  This is taken from the data elements shown in the wa_definition column."/>
    <s v="hmds - needs clarification with webpas team on direct admissions to cath lab, or business rule to take date &amp; time of arrival at cath lab as this field. Would need from Cardiobase - needs discussion with vendor/CardioBase leads._x000a__x000a_ETL0701 - ETL0703,_x000a_ETL0814,_x000a_ETL1112_x000a_ETL1207"/>
    <s v="Yes"/>
    <x v="1"/>
    <m/>
    <s v="Cardiobase Angioplasty, HMDC, EDDC, SJA (Ambulance)"/>
    <s v="Cardiobase Angioplasty"/>
    <m/>
    <s v="HMDC"/>
    <s v="EDDC"/>
    <s v="SJA (Ambulance)"/>
    <m/>
    <m/>
    <m/>
    <m/>
    <m/>
    <x v="1"/>
    <m/>
    <m/>
    <x v="2"/>
    <d v="2022-07-22T00:00:00"/>
    <m/>
    <m/>
    <x v="0"/>
    <m/>
    <m/>
    <x v="1"/>
    <m/>
    <m/>
  </r>
  <r>
    <x v="186"/>
    <x v="127"/>
    <s v="Yes"/>
    <m/>
    <s v="At what time was the PCI performed? The time the patient crossed the threshold of entry into the catheter laboratory for the current PCI."/>
    <s v="Reject file if dop=doa and top &lt; toa_x000a_Reject file if top is NULL_x000a_Reject file if doa, toa, dop, top and patientID are all the same across multiple entries within this import from the ncr tab: admission_preprocedural "/>
    <s v="HH:MM"/>
    <s v=""/>
    <s v="00:00"/>
    <s v="23:59"/>
    <m/>
    <s v="Where a Procedure Start date is available in Cardiobase, this is used as the PCI Procedure Date. If a Procedure Start date is not available in Cardiobase, the relevant matched HMDS.[Date of Procedure] is used."/>
    <s v="Cardiobase - needs validation &amp; engagement with vendor.  Should this be the same as the Cath Lab Arrival Time or should it be when the procedure actually commences?"/>
    <m/>
    <x v="1"/>
    <m/>
    <s v="Cardiobase Angioplasty"/>
    <s v="Cardiobase Angioplasty"/>
    <m/>
    <m/>
    <m/>
    <m/>
    <m/>
    <m/>
    <m/>
    <m/>
    <m/>
    <x v="1"/>
    <m/>
    <m/>
    <x v="2"/>
    <d v="2022-07-22T00:00:00"/>
    <s v="BW"/>
    <m/>
    <x v="0"/>
    <m/>
    <m/>
    <x v="0"/>
    <m/>
    <m/>
  </r>
  <r>
    <x v="187"/>
    <x v="128"/>
    <s v="Yes"/>
    <m/>
    <s v=""/>
    <s v="from the NCR tab: site "/>
    <s v="To be derived and live, based on tertiles High, Medium and Low"/>
    <s v=""/>
    <s v=""/>
    <s v=""/>
    <m/>
    <m/>
    <s v=""/>
    <m/>
    <x v="18"/>
    <m/>
    <s v=""/>
    <m/>
    <m/>
    <m/>
    <m/>
    <m/>
    <m/>
    <m/>
    <m/>
    <m/>
    <m/>
    <x v="0"/>
    <m/>
    <m/>
    <x v="0"/>
    <m/>
    <m/>
    <m/>
    <x v="2"/>
    <m/>
    <m/>
    <x v="0"/>
    <m/>
    <m/>
  </r>
  <r>
    <x v="188"/>
    <x v="129"/>
    <s v="Yes"/>
    <m/>
    <s v="Was ventricular support required during the procedure? Indicate if the patient required mechanical ventricular support prior to or during the index PCI procedure. _x000a_Note: Mechanical ventricular support includes: intra-aortic balloon pump (IABP), cardiopulmonary bypass, left ventricular assist device (LVAD), extracorporeal membrane oxygenation (ECMO), mechanical chest compression device (e.g. Lund University Cardiac Arrest System - LUCAS) and/or catheter based cardiac assist device (e.g. IMPELLA heart pump)."/>
    <s v="Reject file if NULL  from the ncr tab: procedure "/>
    <s v="N"/>
    <s v="0=No_x000a_1=Yes"/>
    <s v="0"/>
    <s v="1"/>
    <m/>
    <m/>
    <s v="May require 4 additional columns for clarity :_x000a__x000a_Mechanical ventilation hours in HMDS. Cardiobase._x000a__x000a_Cardiobase.[IABP] (checkbox)_x000a__x000a_Note: ECMO dataset is held by ANZICS, and this may be a useful data source to assit populating this field."/>
    <m/>
    <x v="1"/>
    <m/>
    <s v="Cardiobase Angioplasty"/>
    <s v="Cardiobase Angioplasty"/>
    <m/>
    <m/>
    <m/>
    <m/>
    <m/>
    <m/>
    <m/>
    <m/>
    <m/>
    <x v="0"/>
    <m/>
    <m/>
    <x v="0"/>
    <m/>
    <m/>
    <m/>
    <x v="1"/>
    <m/>
    <m/>
    <x v="0"/>
    <m/>
    <m/>
  </r>
  <r>
    <x v="189"/>
    <x v="130"/>
    <s v="Yes"/>
    <m/>
    <s v="How much does the patient weigh in kg?  Weight in kilograms in light clothing. Note: Can be self-reported, estimated or measured."/>
    <s v="from the NCR tab: admission_preprocedural "/>
    <s v="NNN"/>
    <s v="Numeric (3)"/>
    <s v=""/>
    <s v=""/>
    <m/>
    <m/>
    <s v="METEOR ref will require refinement for WA PCI Dataset."/>
    <m/>
    <x v="1"/>
    <m/>
    <s v="Cardiobase RiskScore"/>
    <m/>
    <s v="Cardiobase RiskScore"/>
    <m/>
    <m/>
    <m/>
    <m/>
    <m/>
    <m/>
    <m/>
    <m/>
    <x v="1"/>
    <n v="702085"/>
    <m/>
    <x v="2"/>
    <d v="2022-07-22T00:00:00"/>
    <m/>
    <m/>
    <x v="0"/>
    <m/>
    <m/>
    <x v="0"/>
    <m/>
    <m/>
  </r>
  <r>
    <x v="190"/>
    <x v="131"/>
    <s v="Yes"/>
    <m/>
    <s v=""/>
    <s v="from the NCR tab: site "/>
    <s v="Reject file for inactive sites"/>
    <s v=""/>
    <s v=""/>
    <s v=""/>
    <m/>
    <m/>
    <s v=""/>
    <m/>
    <x v="40"/>
    <m/>
    <s v=""/>
    <m/>
    <m/>
    <m/>
    <m/>
    <m/>
    <m/>
    <m/>
    <m/>
    <m/>
    <m/>
    <x v="0"/>
    <m/>
    <m/>
    <x v="0"/>
    <m/>
    <m/>
    <m/>
    <x v="2"/>
    <m/>
    <m/>
    <x v="0"/>
    <m/>
    <m/>
  </r>
  <r>
    <x v="191"/>
    <x v="110"/>
    <s v="Yes"/>
    <m/>
    <s v=""/>
    <s v="Reject file if tvr30_5 =0 or -1 and tlr30_5 has data_x000a_Reject file if tvr30_5=1 and tlr30_5 is NULL from the ncr tab: follow_up "/>
    <s v="N"/>
    <s v="_x000a_0=No_x000a_1=Yes_x000a_-1=Unknown"/>
    <s v="-1"/>
    <s v="1"/>
    <m/>
    <m/>
    <s v=""/>
    <m/>
    <x v="2"/>
    <m/>
    <s v="Cardiobase Angioplasty"/>
    <s v="Cardiobase Angioplasty"/>
    <m/>
    <m/>
    <m/>
    <m/>
    <m/>
    <m/>
    <m/>
    <m/>
    <m/>
    <x v="0"/>
    <m/>
    <m/>
    <x v="6"/>
    <m/>
    <n v="0"/>
    <m/>
    <x v="2"/>
    <m/>
    <m/>
    <x v="0"/>
    <m/>
    <m/>
  </r>
  <r>
    <x v="192"/>
    <x v="132"/>
    <s v="No"/>
    <s v="A derived attribute from clinically coded data, referring to patients who have a diabetes code attached to the hospital stay."/>
    <s v="Not applicable, State derived clinical attribute."/>
    <s v="Not applicable."/>
    <s v="NA"/>
    <s v="1 or null"/>
    <s v="null"/>
    <n v="1"/>
    <s v="10 = definition drafted"/>
    <s v="This derives its meaning from the World Health Organisation's Classification of Diseases (ICD-10-AM).  The description has been entered into the casenotes as a confirmed diagnosis and coded by trained staff.   The codes used are E10, E11, E12, E13, E14 and Z86.3.   "/>
    <s v="The current iteration of this looks at the current episode of care only."/>
    <m/>
    <x v="22"/>
    <m/>
    <s v="HMDC"/>
    <m/>
    <m/>
    <s v="HMDC"/>
    <m/>
    <m/>
    <m/>
    <m/>
    <m/>
    <m/>
    <m/>
    <x v="2"/>
    <m/>
    <m/>
    <x v="0"/>
    <m/>
    <m/>
    <m/>
    <x v="2"/>
    <m/>
    <m/>
    <x v="0"/>
    <m/>
    <m/>
  </r>
  <r>
    <x v="193"/>
    <x v="133"/>
    <s v="No"/>
    <s v="A derived attribute from clinically coded data, referring to patients who have an MI attached to this hospital stay."/>
    <s v="Not applicable, State derived clinical attribute."/>
    <s v="Not applicable."/>
    <s v="NA"/>
    <s v="1 or null"/>
    <s v="null"/>
    <n v="1"/>
    <s v="10 = definition drafted"/>
    <s v="This derives its meaning from the World Health Organisation's Classification of Diseases (ICD-10-AM).  The description has been entered into the casenotes as a confirmed diagnosis and coded by trained staff.   The codes used are E10, E11, E12, E13, E14 and Z86.3.   "/>
    <m/>
    <m/>
    <x v="22"/>
    <m/>
    <s v="HMDC"/>
    <m/>
    <m/>
    <s v="HMDC"/>
    <m/>
    <m/>
    <m/>
    <m/>
    <m/>
    <m/>
    <m/>
    <x v="2"/>
    <m/>
    <m/>
    <x v="0"/>
    <m/>
    <m/>
    <m/>
    <x v="2"/>
    <m/>
    <m/>
    <x v="0"/>
    <m/>
    <m/>
  </r>
  <r>
    <x v="194"/>
    <x v="134"/>
    <s v="Yes"/>
    <s v="Where adr is yes, please indicate all devices that were used during the current PCI procedure."/>
    <s v="adrt_1=Intravascular ultrasound"/>
    <m/>
    <s v="N"/>
    <s v="0=No_x000a_1=Yes"/>
    <n v="0"/>
    <n v="1"/>
    <m/>
    <m/>
    <m/>
    <m/>
    <x v="41"/>
    <s v="Field cannot be blank when adr=1._x000a_Reject file where adr=1 and adrt_1 - adrt_9 are all NULL or 0_x000a_Reject file where adr=0 and adrt_1 - adrt_9 have a value of 1 "/>
    <s v=""/>
    <m/>
    <m/>
    <m/>
    <m/>
    <m/>
    <m/>
    <m/>
    <m/>
    <m/>
    <m/>
    <x v="0"/>
    <m/>
    <m/>
    <x v="0"/>
    <m/>
    <m/>
    <m/>
    <x v="2"/>
    <m/>
    <m/>
    <x v="0"/>
    <m/>
    <m/>
  </r>
  <r>
    <x v="195"/>
    <x v="134"/>
    <s v="Yes"/>
    <s v="Where adr is yes, please indicate all devices that were used during the current PCI procedure."/>
    <s v="adrt_2=Optical coherence tomography"/>
    <m/>
    <s v="N"/>
    <s v="0=No_x000a_1=Yes"/>
    <n v="0"/>
    <n v="1"/>
    <m/>
    <m/>
    <m/>
    <m/>
    <x v="41"/>
    <s v="Field cannot be blank when adr=1._x000a_Reject file where adr=1 and adrt_1 - adrt_9 are all NULL or 0_x000a_Reject file where adr=0 and adrt_1 - adrt_9 have a value of 2"/>
    <s v=""/>
    <m/>
    <m/>
    <m/>
    <m/>
    <m/>
    <m/>
    <m/>
    <m/>
    <m/>
    <m/>
    <x v="0"/>
    <m/>
    <m/>
    <x v="0"/>
    <m/>
    <m/>
    <m/>
    <x v="2"/>
    <m/>
    <m/>
    <x v="0"/>
    <m/>
    <m/>
  </r>
  <r>
    <x v="196"/>
    <x v="134"/>
    <s v="Yes"/>
    <s v="Where adr is yes, please indicate all devices that were used during the current PCI procedure."/>
    <s v="adrt_3=Thrombus aspiration device"/>
    <m/>
    <s v="N"/>
    <s v="0=No_x000a_1=Yes"/>
    <n v="0"/>
    <n v="1"/>
    <m/>
    <m/>
    <m/>
    <m/>
    <x v="41"/>
    <s v="Field cannot be blank when adr=1._x000a_Reject file where adr=1 and adrt_1 - adrt_9 are all NULL or 0_x000a_Reject file where adr=0 and adrt_1 - adrt_9 have a value of 3"/>
    <s v=""/>
    <m/>
    <m/>
    <m/>
    <m/>
    <m/>
    <m/>
    <m/>
    <m/>
    <m/>
    <m/>
    <x v="0"/>
    <m/>
    <m/>
    <x v="0"/>
    <m/>
    <m/>
    <m/>
    <x v="2"/>
    <m/>
    <m/>
    <x v="0"/>
    <m/>
    <m/>
  </r>
  <r>
    <x v="197"/>
    <x v="134"/>
    <s v="Yes"/>
    <s v="Where adr is yes, please indicate all devices that were used during the current PCI procedure."/>
    <s v="adrt_4=Rotational atherectomy"/>
    <m/>
    <s v="N"/>
    <s v="0=No_x000a_1=Yes"/>
    <n v="0"/>
    <n v="1"/>
    <m/>
    <m/>
    <m/>
    <m/>
    <x v="41"/>
    <s v="Field cannot be blank when adr=1._x000a_Reject file where adr=1 and adrt_1 - adrt_9 are all NULL or 0_x000a_Reject file where adr=0 and adrt_1 - adrt_9 have a value of 4"/>
    <s v=""/>
    <m/>
    <m/>
    <m/>
    <m/>
    <m/>
    <m/>
    <m/>
    <m/>
    <m/>
    <m/>
    <x v="0"/>
    <m/>
    <m/>
    <x v="0"/>
    <m/>
    <m/>
    <m/>
    <x v="2"/>
    <m/>
    <m/>
    <x v="0"/>
    <m/>
    <m/>
  </r>
  <r>
    <x v="198"/>
    <x v="134"/>
    <s v="Yes"/>
    <s v="Where adr is yes, please indicate all devices that were used during the current PCI procedure."/>
    <s v="adrt_5=Orbital atherectomy"/>
    <m/>
    <s v="N"/>
    <s v="0=No_x000a_1=Yes"/>
    <n v="0"/>
    <n v="1"/>
    <m/>
    <m/>
    <m/>
    <m/>
    <x v="41"/>
    <s v="Field cannot be blank when adr=1._x000a_Reject file where adr=1 and adrt_1 - adrt_9 are all NULL or 0_x000a_Reject file where adr=0 and adrt_1 - adrt_9 have a value of 5"/>
    <s v=""/>
    <m/>
    <m/>
    <m/>
    <m/>
    <m/>
    <m/>
    <m/>
    <m/>
    <m/>
    <m/>
    <x v="0"/>
    <m/>
    <m/>
    <x v="0"/>
    <m/>
    <m/>
    <m/>
    <x v="2"/>
    <m/>
    <m/>
    <x v="0"/>
    <m/>
    <m/>
  </r>
  <r>
    <x v="199"/>
    <x v="134"/>
    <s v="Yes"/>
    <s v="Where adr is yes, please indicate all devices that were used during the current PCI procedure."/>
    <s v="adrt_6=Pressure wire"/>
    <m/>
    <s v="N"/>
    <s v="0=No_x000a_1=Yes"/>
    <n v="0"/>
    <n v="1"/>
    <m/>
    <m/>
    <m/>
    <m/>
    <x v="41"/>
    <s v="Field cannot be blank when adr=1._x000a_Reject file where adr=1 and adrt_1 - adrt_9 are all NULL or 0_x000a_Reject file where adr=0 and adrt_1 - adrt_9 have a value of 6"/>
    <s v=""/>
    <m/>
    <m/>
    <m/>
    <m/>
    <m/>
    <m/>
    <m/>
    <m/>
    <m/>
    <m/>
    <x v="0"/>
    <m/>
    <m/>
    <x v="0"/>
    <m/>
    <m/>
    <m/>
    <x v="2"/>
    <m/>
    <m/>
    <x v="0"/>
    <m/>
    <m/>
  </r>
  <r>
    <x v="200"/>
    <x v="134"/>
    <s v="Yes"/>
    <s v="Where adr is yes, please indicate all devices that were used during the current PCI procedure."/>
    <s v="adrt_7=Lithotripsy balloon"/>
    <m/>
    <s v="N"/>
    <s v="0=No_x000a_1=Yes"/>
    <n v="0"/>
    <n v="1"/>
    <m/>
    <m/>
    <m/>
    <m/>
    <x v="41"/>
    <s v="Field cannot be blank when adr=1._x000a_Reject file where adr=1 and adrt_1 - adrt_9 are all NULL or 0_x000a_Reject file where adr=0 and adrt_1 - adrt_9 have a value of 7"/>
    <s v=""/>
    <m/>
    <m/>
    <m/>
    <m/>
    <m/>
    <m/>
    <m/>
    <m/>
    <m/>
    <m/>
    <x v="0"/>
    <m/>
    <m/>
    <x v="0"/>
    <m/>
    <m/>
    <m/>
    <x v="2"/>
    <m/>
    <m/>
    <x v="0"/>
    <m/>
    <m/>
  </r>
  <r>
    <x v="201"/>
    <x v="134"/>
    <s v="Yes"/>
    <s v="Where adr is yes, please indicate all devices that were used during the current PCI procedure."/>
    <s v="adrt_8=Cutting balloon"/>
    <m/>
    <s v="N"/>
    <s v="0=No_x000a_1=Yes"/>
    <n v="0"/>
    <n v="1"/>
    <m/>
    <m/>
    <m/>
    <m/>
    <x v="41"/>
    <s v="Field cannot be blank when adr=1._x000a_Reject file where adr=1 and adrt_1 - adrt_9 are all NULL or 0_x000a_Reject file where adr=0 and adrt_1 - adrt_9 have a value of 8"/>
    <s v=""/>
    <m/>
    <m/>
    <m/>
    <m/>
    <m/>
    <m/>
    <m/>
    <m/>
    <m/>
    <m/>
    <x v="0"/>
    <m/>
    <m/>
    <x v="0"/>
    <m/>
    <m/>
    <m/>
    <x v="2"/>
    <m/>
    <m/>
    <x v="0"/>
    <m/>
    <m/>
  </r>
  <r>
    <x v="202"/>
    <x v="134"/>
    <s v="Yes"/>
    <s v="Where adr is yes, please indicate all devices that were used during the current PCI procedure."/>
    <s v="adrt_9=Other"/>
    <m/>
    <s v="N"/>
    <s v="0=No_x000a_1=Yes"/>
    <n v="0"/>
    <n v="1"/>
    <m/>
    <m/>
    <m/>
    <m/>
    <x v="41"/>
    <s v="Field cannot be blank when adr=1._x000a_Reject file where adr=1 and adrt_1 - adrt_9 are all NULL or 0_x000a_Reject file where adr=0 and adrt_1 - adrt_9 have a value of 9"/>
    <s v=""/>
    <m/>
    <m/>
    <m/>
    <m/>
    <m/>
    <m/>
    <m/>
    <m/>
    <m/>
    <m/>
    <x v="0"/>
    <m/>
    <m/>
    <x v="0"/>
    <m/>
    <m/>
    <m/>
    <x v="2"/>
    <m/>
    <m/>
    <x v="0"/>
    <m/>
    <m/>
  </r>
  <r>
    <x v="203"/>
    <x v="135"/>
    <s v="Yes"/>
    <s v="Australian Statistical Geography Standard (ASGS) Edition 3"/>
    <m/>
    <m/>
    <s v="N"/>
    <s v="1=Major cities_x000a_2=Inner Regional_x000a_3=Outer Regional_x000a_4=Remote_x000a_5=Very Remote"/>
    <n v="1"/>
    <n v="5"/>
    <m/>
    <m/>
    <m/>
    <m/>
    <x v="42"/>
    <s v="Reject file if ARIA is null and pcode is null."/>
    <s v=""/>
    <m/>
    <m/>
    <m/>
    <m/>
    <m/>
    <m/>
    <m/>
    <m/>
    <m/>
    <m/>
    <x v="0"/>
    <m/>
    <m/>
    <x v="0"/>
    <m/>
    <m/>
    <m/>
    <x v="2"/>
    <m/>
    <m/>
    <x v="0"/>
    <m/>
    <m/>
  </r>
  <r>
    <x v="204"/>
    <x v="136"/>
    <s v="Yes"/>
    <s v="Indicate the result of the functional test performed prior to the current PCI."/>
    <s v="Positive functional test = suggestion of ischaemia or abnormality_x000a_Negative function test = No suggestion of ischaemia or abnormality_x000a_Functional test equivocal = Results were uninterpretable and/or cannot be determined if positive or negative._x000a_Functional tests can comprise of: Exercise stress test, stress echocardiogram (exercise or pharmacological stress), nuclear stress test (exercise or pharmacological stress), CT scan or FFR. The test could be performed at this admission (but prior to the current PCI), or it could be a test that resulted in the admission. "/>
    <m/>
    <s v="N"/>
    <s v="1=Positive functional test_x000a_2=Negative functional test_x000a_3=Functional test equivocal_x000a_4=Functional test not done_x000a_5=Functional test results not available"/>
    <n v="1"/>
    <n v="5"/>
    <m/>
    <m/>
    <m/>
    <m/>
    <x v="43"/>
    <s v="Field cannot be blank when PCI indication is angina equivalent/no equivalent._x000a__x000a_Reject file if PCI = 11, 12 or 13 and field is NULL._x000a_"/>
    <s v=""/>
    <m/>
    <m/>
    <m/>
    <m/>
    <m/>
    <m/>
    <m/>
    <m/>
    <m/>
    <m/>
    <x v="0"/>
    <m/>
    <m/>
    <x v="0"/>
    <m/>
    <m/>
    <m/>
    <x v="2"/>
    <m/>
    <m/>
    <x v="0"/>
    <m/>
    <m/>
  </r>
  <r>
    <x v="205"/>
    <x v="137"/>
    <s v="Yes"/>
    <s v="Indicate the grade of stenosis for the lesion treated."/>
    <s v="Where the indication for the current PCI is: Staged, Angina/angina equivalent symptoms or No Angina/angina equivalent, please records the grade of stenosis for the lesion treated."/>
    <m/>
    <s v="N"/>
    <s v="1= High Grade Stenosis &gt;70%_x000a_2=Medium Grade Stenosis (50-70%)_x000a_3=Low Grade Stenosis (&lt;50%)"/>
    <n v="1"/>
    <n v="3"/>
    <m/>
    <m/>
    <m/>
    <m/>
    <x v="43"/>
    <s v="Field cannot be blank when PCI indication is angina equivalent/no equivalent._x000a__x000a_Reject file if PCI = 11, 12 or 13 and field is NULL._x000a_"/>
    <s v=""/>
    <m/>
    <m/>
    <m/>
    <m/>
    <m/>
    <m/>
    <m/>
    <m/>
    <m/>
    <m/>
    <x v="0"/>
    <m/>
    <m/>
    <x v="0"/>
    <m/>
    <m/>
    <m/>
    <x v="2"/>
    <m/>
    <m/>
    <x v="0"/>
    <m/>
    <m/>
  </r>
  <r>
    <x v="206"/>
    <x v="138"/>
    <s v="Yes"/>
    <m/>
    <s v="Did the patient experience a myocardial infarction during the 30-day follow-up period? Indicate if the patient experienced a new myocardial infarction (MI) within 30 days from the date of discharge from the index admission. _x000a__x000a_The new MI is defined by the following criteria: _x000a_Non ST-Elevation Myocardial Infarction (NSTEMI): _x000a_AT LEAST ONE of the following biomarkers for detecting myocardial necrosis MUST be present (refer to note regarding Reference Control Limits):_x000a_1.       Troponin T or I: Maximal concentration of Troponin T or I &gt; the MI diagnostic limit on at least one occasion within 24 hours from the index clinical event; _x000a_2.       CK-MB:_x000a_-  Maximal value of CK-MB &gt;2x the upper limit of normal (ULN) on one occasion during the first hours after the index clinical event; OR_x000a_-  Maximal value of CK-MB (preferable CK-MB mass) &gt; ULN on two successive samples._x000a_3.       Total CK: Only where Troponin or CK-MB assays are unavailable, total CK &gt;2x the ULN (or the B fraction of CK) may be employed. _x000a_Note: The preferred assay to use as biomarkers for myocardial necrosis is Troponin. In the absence of troponin, CK-MB is the next best alternative but total CK can be used in the absence of troponin and CK-MB._x000a_AND ONE of the following… _x000a_1.       Either ST segment depression or T wave abnormalities in the ECG; or_x000a_2.       Ischaemic symptoms in the presence or absence of chest discomfort. Ischaemic symptoms may include:_x000a_-  Unexplained nausea and vomiting; or_x000a_-  Persistent shortness of breath secondary to left ventricular failure; or_x000a_-  Unexplained weakness, dizziness, light-headedness, or syncope_x000a__x000a_ST-Elevation Myocardial Infarction (STEMI) _x000a_AT LEAST ONE of the following biomarkers for detecting myocardial necrosis MUST be present (refer to note regarding Reference Control Limits):_x000a_1.       Troponin T or I: Maximal concentration of Troponin T or I &gt; the MI diagnostic limit on at least one occasion within 24 hours from the index clinical event; _x000a_2.       CK-MB:_x000a_-  Maximal value of CK-MB &gt;2x the upper limit of normal (ULN) on one occasion during the first hours after the index clinical event; OR_x000a_-  Maximal value of CK-MB (preferable CK-MB mass) &gt; ULN on two successive samples._x000a_3.       Total CK: Only where Troponin or CK-MB assays are unavailable, total CK &gt;2x the ULN (or the B fraction of CK) may be employed. _x000a_Note: The preferred assay to use as biomarkers for myocardial necrosis is Troponin. In the absence of troponin, CK-MB is the next best alternative but total CK can be used in the absence of troponin and CK-MB._x000a_AND ONE of the following ECG changes…_x000a_1.      ST-segment elevation: New or presumed new ST segment elevation at the J point in two or more contiguous leads with the cut-off points ≥ 0.2mV in leads V1, V2, or V3, or ≥0.1 mV in other leads. _x000a_2.      Development of any Q wave in leads V1 through V3, or the development of a Q-wave ≥ 30ms (0.03s) in leads I, II, aVL, aVF, V4, V5, or V6. (Q wave changes must be present in any two contiguous leads, and be ≥1mm in depth)."/>
    <s v="Reject file if NULL and STAT30≥0_x000a_Reject file if stat30=-1 and mi30 contains data_x000a_Reject file if dis=6 and mi30 contains data from the ncr tab: follow_up "/>
    <s v=""/>
    <s v="0=No_x000a_1=Yes_x000a_-1=Unknown"/>
    <s v="-1"/>
    <s v="1"/>
    <m/>
    <m/>
    <s v="Requires business rule to identify MI date and measure within 30 days._x000a__x000a_Assumes MI event has been captured in a WA Health Information System (e.g. ED, PAS) and/or can be added via the WACOR data collection tool._x000a__x000a_ED Dataset includes primary cause for attendance at ED and captures MI.  _x000a__x000a_Potential future source of information from SJA for ambulance patients._x000a__x000a_Deaths registry can identify patients who die at home from an MI._x000a__x000a_Above assumptions would enable reporting &quot;1&quot; (yes) or &quot;-1&quot; (unknown) only_x000a__x000a_Need to clarify NCR reasoning behind yes/no/unknown"/>
    <m/>
    <x v="23"/>
    <m/>
    <s v="HMDC, EDDC"/>
    <m/>
    <m/>
    <s v="HMDC"/>
    <s v="EDDC"/>
    <m/>
    <m/>
    <m/>
    <m/>
    <m/>
    <m/>
    <x v="0"/>
    <m/>
    <m/>
    <x v="7"/>
    <m/>
    <s v="PL"/>
    <s v="wa_MI30_hmdc_x000a_wa_MI30_eddc"/>
    <x v="0"/>
    <m/>
    <m/>
    <x v="0"/>
    <s v="From Disease Register ALL_MI30"/>
    <m/>
  </r>
  <r>
    <x v="207"/>
    <x v="139"/>
    <s v="Yes"/>
    <s v="Whats was the patients postcode at the time of admission?"/>
    <m/>
    <m/>
    <s v="NNNN"/>
    <s v="Numeric [4]"/>
    <n v="0"/>
    <n v="9999"/>
    <m/>
    <m/>
    <m/>
    <m/>
    <x v="44"/>
    <s v="Reject file when NULL if seifa and aria are also NULL."/>
    <s v=""/>
    <m/>
    <m/>
    <m/>
    <m/>
    <m/>
    <m/>
    <m/>
    <m/>
    <m/>
    <m/>
    <x v="0"/>
    <m/>
    <m/>
    <x v="0"/>
    <m/>
    <m/>
    <m/>
    <x v="2"/>
    <m/>
    <m/>
    <x v="0"/>
    <m/>
    <m/>
  </r>
  <r>
    <x v="208"/>
    <x v="140"/>
    <s v="Yes"/>
    <s v="Index of Relative Socio-economic Disadvantage"/>
    <m/>
    <m/>
    <s v="N"/>
    <s v="1=Most Disadvantaged_x000a_2_x000a_3_x000a_4_x000a_5_x000a_6_x000a_7_x000a_8_x000a_9_x000a_10=Least Disadvantaged"/>
    <n v="1"/>
    <n v="10"/>
    <m/>
    <m/>
    <m/>
    <m/>
    <x v="42"/>
    <s v="Reject file if SEIFA is null and pcode is null."/>
    <s v=""/>
    <m/>
    <m/>
    <m/>
    <m/>
    <m/>
    <m/>
    <m/>
    <m/>
    <m/>
    <m/>
    <x v="0"/>
    <m/>
    <m/>
    <x v="0"/>
    <m/>
    <m/>
    <m/>
    <x v="2"/>
    <m/>
    <m/>
    <x v="0"/>
    <m/>
    <m/>
  </r>
  <r>
    <x v="209"/>
    <x v="141"/>
    <s v="Yes"/>
    <s v="History confirming any form of tobacco used in the past. This includes manufactured (packet) cigarettes, roll-your-own cigarettes, cigars and pipes."/>
    <m/>
    <m/>
    <s v="N"/>
    <s v="0=Never Smoked_x000a_1=Previously smoked - more than one month prior to this admission._x000a_2=Currently smoking - within 1 month of this admission"/>
    <n v="0"/>
    <n v="2"/>
    <m/>
    <m/>
    <m/>
    <m/>
    <x v="4"/>
    <m/>
    <s v=""/>
    <m/>
    <m/>
    <m/>
    <m/>
    <m/>
    <m/>
    <m/>
    <m/>
    <m/>
    <m/>
    <x v="0"/>
    <m/>
    <m/>
    <x v="0"/>
    <m/>
    <m/>
    <m/>
    <x v="2"/>
    <m/>
    <m/>
    <x v="0"/>
    <m/>
    <m/>
  </r>
  <r>
    <x v="210"/>
    <x v="142"/>
    <s v="Yes"/>
    <s v="Indicate the type of mechanical ventricular support used prior to or during the current PCI procedure."/>
    <m/>
    <m/>
    <s v="N"/>
    <s v="1=Intra-aortic balloon pump (IABP)_x000a_2=Extracorporeal membrane oxygenation (ECMO)_x000a_3=Left ventricular assist device (LVAD)_x000a_4=Impella"/>
    <n v="1"/>
    <n v="4"/>
    <m/>
    <m/>
    <m/>
    <m/>
    <x v="45"/>
    <s v="Field cannot be blank when vsr=1._x000a_Reject file if vsr=1 and vsrt is NULL"/>
    <s v=""/>
    <m/>
    <m/>
    <m/>
    <m/>
    <m/>
    <m/>
    <m/>
    <m/>
    <m/>
    <m/>
    <x v="0"/>
    <m/>
    <m/>
    <x v="0"/>
    <m/>
    <m/>
    <m/>
    <x v="2"/>
    <m/>
    <m/>
    <x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AC5BC9F-6D20-403C-98CF-3CE7FF737684}" name="PivotTable1" cacheId="0"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A7:F190" firstHeaderRow="1" firstDataRow="2" firstDataCol="3" rowPageCount="2" colPageCount="1"/>
  <pivotFields count="40">
    <pivotField axis="axisRow" dataField="1" compact="0" outline="0" showAll="0" defaultSubtotal="0">
      <items count="211">
        <item x="1"/>
        <item x="153"/>
        <item x="3"/>
        <item x="6"/>
        <item x="96"/>
        <item x="98"/>
        <item x="100"/>
        <item x="102"/>
        <item x="104"/>
        <item x="106"/>
        <item x="4"/>
        <item x="145"/>
        <item x="5"/>
        <item x="115"/>
        <item x="118"/>
        <item x="121"/>
        <item x="125"/>
        <item x="128"/>
        <item x="83"/>
        <item x="147"/>
        <item x="7"/>
        <item x="38"/>
        <item x="41"/>
        <item x="12"/>
        <item x="48"/>
        <item x="22"/>
        <item x="43"/>
        <item x="8"/>
        <item x="11"/>
        <item x="87"/>
        <item x="15"/>
        <item x="148"/>
        <item x="17"/>
        <item x="150"/>
        <item x="21"/>
        <item x="16"/>
        <item x="18"/>
        <item x="32"/>
        <item x="149"/>
        <item x="51"/>
        <item x="28"/>
        <item x="24"/>
        <item x="25"/>
        <item x="23"/>
        <item x="29"/>
        <item x="26"/>
        <item x="27"/>
        <item x="176"/>
        <item x="0"/>
        <item x="173"/>
        <item x="47"/>
        <item x="50"/>
        <item x="46"/>
        <item x="30"/>
        <item x="42"/>
        <item x="52"/>
        <item x="53"/>
        <item x="157"/>
        <item x="54"/>
        <item x="55"/>
        <item x="91"/>
        <item x="56"/>
        <item x="36"/>
        <item x="57"/>
        <item x="58"/>
        <item x="144"/>
        <item x="31"/>
        <item x="155"/>
        <item x="92"/>
        <item x="88"/>
        <item x="59"/>
        <item x="111"/>
        <item x="174"/>
        <item x="86"/>
        <item x="60"/>
        <item x="61"/>
        <item x="62"/>
        <item x="63"/>
        <item x="64"/>
        <item x="65"/>
        <item x="66"/>
        <item x="67"/>
        <item x="68"/>
        <item x="69"/>
        <item x="70"/>
        <item x="71"/>
        <item x="72"/>
        <item x="73"/>
        <item x="74"/>
        <item x="75"/>
        <item x="76"/>
        <item x="77"/>
        <item x="78"/>
        <item x="79"/>
        <item x="80"/>
        <item x="81"/>
        <item x="85"/>
        <item x="89"/>
        <item x="90"/>
        <item x="206"/>
        <item x="165"/>
        <item x="161"/>
        <item x="109"/>
        <item x="179"/>
        <item x="10"/>
        <item x="20"/>
        <item x="151"/>
        <item x="152"/>
        <item x="34"/>
        <item x="113"/>
        <item x="114"/>
        <item x="94"/>
        <item x="117"/>
        <item x="120"/>
        <item x="124"/>
        <item x="127"/>
        <item x="131"/>
        <item x="141"/>
        <item x="142"/>
        <item x="95"/>
        <item x="97"/>
        <item x="99"/>
        <item x="101"/>
        <item x="103"/>
        <item x="105"/>
        <item x="207"/>
        <item x="19"/>
        <item x="156"/>
        <item x="37"/>
        <item x="158"/>
        <item x="163"/>
        <item x="9"/>
        <item x="175"/>
        <item x="180"/>
        <item x="13"/>
        <item x="14"/>
        <item x="93"/>
        <item x="116"/>
        <item x="119"/>
        <item x="123"/>
        <item x="126"/>
        <item x="129"/>
        <item x="177"/>
        <item x="181"/>
        <item x="183"/>
        <item x="190"/>
        <item x="45"/>
        <item x="40"/>
        <item x="35"/>
        <item x="112"/>
        <item x="164"/>
        <item x="184"/>
        <item x="82"/>
        <item x="39"/>
        <item x="49"/>
        <item x="44"/>
        <item x="84"/>
        <item x="167"/>
        <item x="169"/>
        <item x="171"/>
        <item x="172"/>
        <item x="191"/>
        <item x="160"/>
        <item x="185"/>
        <item x="186"/>
        <item x="33"/>
        <item x="122"/>
        <item x="130"/>
        <item x="138"/>
        <item x="146"/>
        <item x="154"/>
        <item x="162"/>
        <item x="166"/>
        <item x="168"/>
        <item x="170"/>
        <item x="143"/>
        <item x="182"/>
        <item x="159"/>
        <item h="1" x="178"/>
        <item x="187"/>
        <item x="188"/>
        <item h="1" x="134"/>
        <item h="1" x="135"/>
        <item h="1" x="110"/>
        <item h="1" x="133"/>
        <item h="1" x="132"/>
        <item h="1" x="107"/>
        <item h="1" x="192"/>
        <item h="1" x="140"/>
        <item h="1" x="139"/>
        <item h="1" x="193"/>
        <item h="1" x="108"/>
        <item h="1" x="137"/>
        <item h="1" x="136"/>
        <item x="189"/>
        <item h="1" x="2"/>
        <item h="1" x="194"/>
        <item h="1" x="195"/>
        <item h="1" x="196"/>
        <item h="1" x="197"/>
        <item h="1" x="198"/>
        <item h="1" x="199"/>
        <item h="1" x="200"/>
        <item h="1" x="201"/>
        <item h="1" x="202"/>
        <item h="1" x="203"/>
        <item h="1" x="204"/>
        <item h="1" x="205"/>
        <item h="1" x="208"/>
        <item h="1" x="209"/>
        <item h="1" x="210"/>
      </items>
    </pivotField>
    <pivotField axis="axisRow" compact="0" outline="0" showAll="0" defaultSubtotal="0">
      <items count="151">
        <item m="1" x="148"/>
        <item x="99"/>
        <item x="38"/>
        <item x="39"/>
        <item x="6"/>
        <item x="76"/>
        <item x="98"/>
        <item x="5"/>
        <item x="73"/>
        <item x="124"/>
        <item x="20"/>
        <item x="32"/>
        <item x="15"/>
        <item x="69"/>
        <item x="48"/>
        <item x="17"/>
        <item x="43"/>
        <item x="8"/>
        <item x="22"/>
        <item x="7"/>
        <item x="12"/>
        <item x="51"/>
        <item x="11"/>
        <item x="41"/>
        <item m="1" x="150"/>
        <item x="25"/>
        <item x="26"/>
        <item x="27"/>
        <item x="50"/>
        <item x="47"/>
        <item x="46"/>
        <item x="113"/>
        <item x="57"/>
        <item x="53"/>
        <item x="108"/>
        <item x="54"/>
        <item x="55"/>
        <item x="58"/>
        <item x="97"/>
        <item x="106"/>
        <item x="70"/>
        <item x="72"/>
        <item x="81"/>
        <item x="60"/>
        <item x="31"/>
        <item x="19"/>
        <item x="68"/>
        <item x="62"/>
        <item x="63"/>
        <item x="29"/>
        <item x="23"/>
        <item x="129"/>
        <item x="0"/>
        <item x="10"/>
        <item x="138"/>
        <item x="82"/>
        <item x="103"/>
        <item x="104"/>
        <item sd="0" x="34"/>
        <item x="100"/>
        <item x="102"/>
        <item x="83"/>
        <item x="3"/>
        <item x="52"/>
        <item x="130"/>
        <item x="95"/>
        <item x="21"/>
        <item x="127"/>
        <item x="75"/>
        <item x="107"/>
        <item x="13"/>
        <item x="14"/>
        <item x="74"/>
        <item x="71"/>
        <item x="36"/>
        <item x="139"/>
        <item x="37"/>
        <item x="109"/>
        <item x="94"/>
        <item x="117"/>
        <item m="1" x="149"/>
        <item x="9"/>
        <item x="112"/>
        <item x="35"/>
        <item x="101"/>
        <item x="61"/>
        <item x="56"/>
        <item x="45"/>
        <item m="1" x="147"/>
        <item x="110"/>
        <item x="85"/>
        <item x="96"/>
        <item x="33"/>
        <item x="126"/>
        <item x="49"/>
        <item x="44"/>
        <item x="65"/>
        <item x="66"/>
        <item x="67"/>
        <item x="105"/>
        <item x="64"/>
        <item x="16"/>
        <item x="18"/>
        <item x="86"/>
        <item x="87"/>
        <item x="88"/>
        <item x="89"/>
        <item x="90"/>
        <item x="91"/>
        <item m="1" x="144"/>
        <item m="1" x="146"/>
        <item x="77"/>
        <item x="78"/>
        <item x="115"/>
        <item x="116"/>
        <item x="125"/>
        <item x="118"/>
        <item x="119"/>
        <item x="120"/>
        <item x="121"/>
        <item x="84"/>
        <item x="123"/>
        <item x="59"/>
        <item x="42"/>
        <item x="79"/>
        <item x="30"/>
        <item x="122"/>
        <item x="128"/>
        <item x="28"/>
        <item x="4"/>
        <item x="131"/>
        <item m="1" x="143"/>
        <item x="132"/>
        <item x="133"/>
        <item x="80"/>
        <item x="1"/>
        <item x="92"/>
        <item x="93"/>
        <item m="1" x="145"/>
        <item x="24"/>
        <item x="40"/>
        <item x="111"/>
        <item x="114"/>
        <item x="2"/>
        <item x="134"/>
        <item x="135"/>
        <item x="136"/>
        <item x="137"/>
        <item x="140"/>
        <item x="141"/>
        <item x="14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9">
        <item x="2"/>
        <item x="1"/>
        <item x="18"/>
        <item x="3"/>
        <item x="16"/>
        <item x="15"/>
        <item x="24"/>
        <item x="21"/>
        <item x="5"/>
        <item x="30"/>
        <item x="35"/>
        <item x="34"/>
        <item x="13"/>
        <item x="14"/>
        <item x="12"/>
        <item x="33"/>
        <item x="20"/>
        <item x="17"/>
        <item x="29"/>
        <item x="32"/>
        <item x="10"/>
        <item x="31"/>
        <item x="8"/>
        <item x="36"/>
        <item x="11"/>
        <item x="9"/>
        <item x="7"/>
        <item x="6"/>
        <item x="19"/>
        <item x="23"/>
        <item x="37"/>
        <item x="4"/>
        <item x="0"/>
        <item x="25"/>
        <item x="26"/>
        <item x="27"/>
        <item x="28"/>
        <item x="22"/>
        <item m="1" x="46"/>
        <item x="38"/>
        <item x="39"/>
        <item m="1" x="47"/>
        <item x="40"/>
        <item x="41"/>
        <item x="42"/>
        <item x="43"/>
        <item x="44"/>
        <item x="45"/>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multipleItemSelectionAllowed="1" showAll="0" sortType="ascending" defaultSubtotal="0">
      <items count="10">
        <item x="9"/>
        <item x="2"/>
        <item x="6"/>
        <item x="8"/>
        <item x="3"/>
        <item x="7"/>
        <item x="1"/>
        <item x="4"/>
        <item x="5"/>
        <item x="0"/>
      </items>
    </pivotField>
    <pivotField compact="0" outline="0" showAll="0"/>
    <pivotField compact="0" outline="0" showAll="0"/>
    <pivotField compact="0" outline="0" showAll="0"/>
    <pivotField compact="0" outline="0" showAll="0"/>
    <pivotField compact="0" outline="0" showAll="0" defaultSubtotal="0"/>
    <pivotField compact="0" outline="0" showAll="0"/>
    <pivotField axis="axisPage" compact="0" outline="0" showAll="0">
      <items count="3">
        <item x="0"/>
        <item x="1"/>
        <item t="default"/>
      </items>
    </pivotField>
    <pivotField compact="0" outline="0" showAll="0"/>
    <pivotField compact="0" outline="0" showAll="0"/>
  </pivotFields>
  <rowFields count="3">
    <field x="0"/>
    <field x="1"/>
    <field x="30"/>
  </rowFields>
  <rowItems count="182">
    <i>
      <x/>
      <x v="135"/>
      <x v="6"/>
    </i>
    <i>
      <x v="1"/>
      <x v="99"/>
      <x v="7"/>
    </i>
    <i>
      <x v="2"/>
      <x v="62"/>
      <x v="1"/>
    </i>
    <i>
      <x v="3"/>
      <x v="4"/>
      <x v="9"/>
    </i>
    <i>
      <x v="4"/>
      <x v="5"/>
      <x v="4"/>
    </i>
    <i>
      <x v="5"/>
      <x v="5"/>
      <x v="4"/>
    </i>
    <i>
      <x v="6"/>
      <x v="5"/>
      <x v="4"/>
    </i>
    <i>
      <x v="7"/>
      <x v="5"/>
      <x v="4"/>
    </i>
    <i>
      <x v="8"/>
      <x v="5"/>
      <x v="4"/>
    </i>
    <i>
      <x v="9"/>
      <x v="5"/>
      <x v="4"/>
    </i>
    <i>
      <x v="10"/>
      <x v="129"/>
      <x v="9"/>
    </i>
    <i>
      <x v="11"/>
      <x v="6"/>
      <x v="6"/>
    </i>
    <i>
      <x v="12"/>
      <x v="7"/>
      <x v="4"/>
    </i>
    <i>
      <x v="13"/>
      <x v="7"/>
      <x v="5"/>
    </i>
    <i>
      <x v="14"/>
      <x v="7"/>
      <x v="4"/>
    </i>
    <i>
      <x v="15"/>
      <x v="7"/>
      <x/>
    </i>
    <i>
      <x v="16"/>
      <x v="7"/>
      <x v="5"/>
    </i>
    <i>
      <x v="17"/>
      <x v="7"/>
      <x v="5"/>
    </i>
    <i>
      <x v="18"/>
      <x v="97"/>
      <x v="1"/>
    </i>
    <i>
      <x v="19"/>
      <x v="1"/>
      <x v="6"/>
    </i>
    <i>
      <x v="20"/>
      <x v="19"/>
      <x v="4"/>
    </i>
    <i>
      <x v="21"/>
      <x v="2"/>
      <x v="1"/>
    </i>
    <i>
      <x v="22"/>
      <x v="23"/>
      <x v="9"/>
    </i>
    <i>
      <x v="23"/>
      <x v="20"/>
      <x v="9"/>
    </i>
    <i>
      <x v="24"/>
      <x v="14"/>
      <x v="1"/>
    </i>
    <i>
      <x v="25"/>
      <x v="18"/>
      <x v="9"/>
    </i>
    <i>
      <x v="26"/>
      <x v="16"/>
      <x v="9"/>
    </i>
    <i>
      <x v="27"/>
      <x v="17"/>
      <x v="7"/>
    </i>
    <i>
      <x v="28"/>
      <x v="22"/>
      <x v="4"/>
    </i>
    <i>
      <x v="29"/>
      <x v="13"/>
      <x v="4"/>
    </i>
    <i>
      <x v="30"/>
      <x v="12"/>
      <x v="1"/>
    </i>
    <i>
      <x v="31"/>
      <x v="59"/>
      <x v="6"/>
    </i>
    <i>
      <x v="32"/>
      <x v="15"/>
      <x v="4"/>
    </i>
    <i>
      <x v="33"/>
      <x v="60"/>
      <x v="6"/>
    </i>
    <i>
      <x v="34"/>
      <x v="66"/>
      <x v="1"/>
    </i>
    <i>
      <x v="35"/>
      <x v="101"/>
      <x v="4"/>
    </i>
    <i>
      <x v="36"/>
      <x v="102"/>
      <x v="4"/>
    </i>
    <i>
      <x v="37"/>
      <x v="11"/>
      <x v="2"/>
    </i>
    <i>
      <x v="38"/>
      <x v="84"/>
      <x v="6"/>
    </i>
    <i>
      <x v="39"/>
      <x v="21"/>
      <x v="9"/>
    </i>
    <i>
      <x v="40"/>
      <x v="128"/>
      <x v="1"/>
    </i>
    <i>
      <x v="41"/>
      <x v="139"/>
      <x v="8"/>
    </i>
    <i>
      <x v="42"/>
      <x v="25"/>
      <x v="9"/>
    </i>
    <i>
      <x v="43"/>
      <x v="50"/>
      <x v="9"/>
    </i>
    <i>
      <x v="44"/>
      <x v="49"/>
      <x v="9"/>
    </i>
    <i>
      <x v="45"/>
      <x v="26"/>
      <x v="8"/>
    </i>
    <i>
      <x v="46"/>
      <x v="27"/>
      <x v="8"/>
    </i>
    <i>
      <x v="47"/>
      <x v="116"/>
      <x v="9"/>
    </i>
    <i>
      <x v="48"/>
      <x v="52"/>
      <x v="9"/>
    </i>
    <i>
      <x v="49"/>
      <x v="113"/>
      <x v="9"/>
    </i>
    <i>
      <x v="50"/>
      <x v="29"/>
      <x v="9"/>
    </i>
    <i>
      <x v="51"/>
      <x v="28"/>
      <x v="9"/>
    </i>
    <i>
      <x v="52"/>
      <x v="30"/>
      <x v="9"/>
    </i>
    <i>
      <x v="53"/>
      <x v="125"/>
      <x v="9"/>
    </i>
    <i>
      <x v="54"/>
      <x v="123"/>
      <x v="1"/>
    </i>
    <i>
      <x v="55"/>
      <x v="63"/>
      <x v="1"/>
    </i>
    <i>
      <x v="56"/>
      <x v="33"/>
      <x v="2"/>
    </i>
    <i>
      <x v="57"/>
      <x v="34"/>
      <x v="2"/>
    </i>
    <i>
      <x v="58"/>
      <x v="35"/>
      <x v="2"/>
    </i>
    <i>
      <x v="59"/>
      <x v="36"/>
      <x v="9"/>
    </i>
    <i>
      <x v="60"/>
      <x v="73"/>
      <x v="2"/>
    </i>
    <i>
      <x v="61"/>
      <x v="86"/>
      <x v="5"/>
    </i>
    <i>
      <x v="62"/>
      <x v="74"/>
      <x v="4"/>
    </i>
    <i>
      <x v="63"/>
      <x v="32"/>
      <x v="7"/>
    </i>
    <i>
      <x v="64"/>
      <x v="37"/>
      <x v="6"/>
    </i>
    <i>
      <x v="65"/>
      <x v="38"/>
      <x v="6"/>
    </i>
    <i>
      <x v="66"/>
      <x v="44"/>
      <x v="4"/>
    </i>
    <i>
      <x v="67"/>
      <x v="39"/>
      <x v="2"/>
    </i>
    <i>
      <x v="68"/>
      <x v="41"/>
      <x v="9"/>
    </i>
    <i>
      <x v="69"/>
      <x v="40"/>
      <x v="9"/>
    </i>
    <i>
      <x v="70"/>
      <x v="122"/>
      <x v="4"/>
    </i>
    <i>
      <x v="71"/>
      <x v="42"/>
      <x v="2"/>
    </i>
    <i>
      <x v="72"/>
      <x v="114"/>
      <x v="9"/>
    </i>
    <i>
      <x v="73"/>
      <x v="46"/>
      <x v="4"/>
    </i>
    <i>
      <x v="74"/>
      <x v="43"/>
      <x v="9"/>
    </i>
    <i>
      <x v="75"/>
      <x v="85"/>
      <x v="9"/>
    </i>
    <i>
      <x v="76"/>
      <x v="47"/>
      <x v="1"/>
    </i>
    <i>
      <x v="77"/>
      <x v="48"/>
      <x v="9"/>
    </i>
    <i>
      <x v="78"/>
      <x v="100"/>
      <x v="1"/>
    </i>
    <i>
      <x v="79"/>
      <x v="43"/>
      <x v="9"/>
    </i>
    <i>
      <x v="80"/>
      <x v="85"/>
      <x v="9"/>
    </i>
    <i>
      <x v="81"/>
      <x v="47"/>
      <x v="1"/>
    </i>
    <i>
      <x v="82"/>
      <x v="48"/>
      <x v="9"/>
    </i>
    <i>
      <x v="83"/>
      <x v="100"/>
      <x v="1"/>
    </i>
    <i>
      <x v="84"/>
      <x v="43"/>
      <x v="9"/>
    </i>
    <i>
      <x v="85"/>
      <x v="85"/>
      <x v="9"/>
    </i>
    <i>
      <x v="86"/>
      <x v="47"/>
      <x v="1"/>
    </i>
    <i>
      <x v="87"/>
      <x v="48"/>
      <x v="9"/>
    </i>
    <i>
      <x v="88"/>
      <x v="100"/>
      <x v="1"/>
    </i>
    <i>
      <x v="89"/>
      <x v="43"/>
      <x v="9"/>
    </i>
    <i>
      <x v="90"/>
      <x v="85"/>
      <x v="9"/>
    </i>
    <i>
      <x v="91"/>
      <x v="47"/>
      <x v="1"/>
    </i>
    <i>
      <x v="92"/>
      <x v="48"/>
      <x v="9"/>
    </i>
    <i>
      <x v="93"/>
      <x v="100"/>
      <x v="1"/>
    </i>
    <i>
      <x v="94"/>
      <x v="43"/>
      <x v="9"/>
    </i>
    <i>
      <x v="95"/>
      <x v="85"/>
      <x v="9"/>
    </i>
    <i>
      <x v="96"/>
      <x v="47"/>
      <x v="1"/>
    </i>
    <i>
      <x v="97"/>
      <x v="48"/>
      <x v="9"/>
    </i>
    <i>
      <x v="98"/>
      <x v="100"/>
      <x v="1"/>
    </i>
    <i>
      <x v="99"/>
      <x v="54"/>
      <x v="5"/>
    </i>
    <i>
      <x v="100"/>
      <x v="142"/>
      <x v="7"/>
    </i>
    <i>
      <x v="101"/>
      <x v="141"/>
      <x v="7"/>
    </i>
    <i>
      <x v="102"/>
      <x v="124"/>
      <x v="1"/>
    </i>
    <i>
      <x v="103"/>
      <x v="119"/>
      <x v="9"/>
    </i>
    <i>
      <x v="104"/>
      <x v="53"/>
      <x v="9"/>
    </i>
    <i>
      <x v="105"/>
      <x v="10"/>
      <x v="9"/>
    </i>
    <i>
      <x v="106"/>
      <x v="56"/>
      <x v="6"/>
    </i>
    <i>
      <x v="107"/>
      <x v="57"/>
      <x v="6"/>
    </i>
    <i>
      <x v="108"/>
      <x v="58"/>
    </i>
    <i>
      <x v="109"/>
      <x v="61"/>
      <x v="9"/>
    </i>
    <i>
      <x v="110"/>
      <x v="120"/>
      <x v="9"/>
    </i>
    <i>
      <x v="111"/>
      <x v="72"/>
      <x v="4"/>
    </i>
    <i>
      <x v="112"/>
      <x v="72"/>
      <x v="5"/>
    </i>
    <i>
      <x v="113"/>
      <x v="72"/>
      <x v="5"/>
    </i>
    <i>
      <x v="114"/>
      <x v="72"/>
      <x v="5"/>
    </i>
    <i>
      <x v="115"/>
      <x v="72"/>
      <x v="2"/>
    </i>
    <i>
      <x v="116"/>
      <x v="72"/>
      <x v="5"/>
    </i>
    <i>
      <x v="117"/>
      <x v="78"/>
      <x v="4"/>
    </i>
    <i>
      <x v="118"/>
      <x v="65"/>
      <x v="2"/>
    </i>
    <i>
      <x v="119"/>
      <x v="68"/>
      <x v="4"/>
    </i>
    <i>
      <x v="120"/>
      <x v="68"/>
      <x v="4"/>
    </i>
    <i>
      <x v="121"/>
      <x v="68"/>
      <x v="4"/>
    </i>
    <i>
      <x v="122"/>
      <x v="68"/>
      <x v="4"/>
    </i>
    <i>
      <x v="123"/>
      <x v="68"/>
      <x v="4"/>
    </i>
    <i>
      <x v="124"/>
      <x v="68"/>
      <x v="4"/>
    </i>
    <i>
      <x v="125"/>
      <x v="75"/>
      <x v="9"/>
    </i>
    <i>
      <x v="126"/>
      <x v="45"/>
      <x v="9"/>
    </i>
    <i>
      <x v="127"/>
      <x v="69"/>
      <x v="1"/>
    </i>
    <i>
      <x v="128"/>
      <x v="76"/>
      <x v="9"/>
    </i>
    <i>
      <x v="129"/>
      <x v="77"/>
      <x v="9"/>
    </i>
    <i>
      <x v="130"/>
      <x v="82"/>
      <x v="9"/>
    </i>
    <i>
      <x v="131"/>
      <x v="81"/>
      <x v="9"/>
    </i>
    <i>
      <x v="132"/>
      <x v="79"/>
      <x v="4"/>
    </i>
    <i>
      <x v="133"/>
      <x v="126"/>
      <x v="9"/>
    </i>
    <i>
      <x v="134"/>
      <x v="70"/>
      <x v="8"/>
    </i>
    <i>
      <x v="135"/>
      <x v="71"/>
      <x v="8"/>
    </i>
    <i>
      <x v="136"/>
      <x v="8"/>
      <x v="4"/>
    </i>
    <i>
      <x v="137"/>
      <x v="8"/>
      <x v="5"/>
    </i>
    <i>
      <x v="138"/>
      <x v="8"/>
      <x v="2"/>
    </i>
    <i>
      <x v="139"/>
      <x v="8"/>
      <x v="5"/>
    </i>
    <i>
      <x v="140"/>
      <x v="8"/>
      <x v="4"/>
    </i>
    <i>
      <x v="141"/>
      <x v="8"/>
      <x/>
    </i>
    <i>
      <x v="142"/>
      <x v="117"/>
      <x v="9"/>
    </i>
    <i>
      <x v="143"/>
      <x v="121"/>
      <x v="1"/>
    </i>
    <i>
      <x v="144"/>
      <x v="9"/>
      <x v="4"/>
    </i>
    <i>
      <x v="145"/>
      <x v="130"/>
      <x v="9"/>
    </i>
    <i>
      <x v="146"/>
      <x v="87"/>
      <x v="9"/>
    </i>
    <i>
      <x v="147"/>
      <x v="140"/>
      <x v="9"/>
    </i>
    <i>
      <x v="148"/>
      <x v="83"/>
      <x v="4"/>
    </i>
    <i>
      <x v="149"/>
      <x v="55"/>
      <x v="3"/>
    </i>
    <i>
      <x v="150"/>
      <x v="31"/>
      <x v="7"/>
    </i>
    <i>
      <x v="151"/>
      <x v="115"/>
      <x v="9"/>
    </i>
    <i>
      <x v="152"/>
      <x v="96"/>
      <x v="9"/>
    </i>
    <i>
      <x v="153"/>
      <x v="3"/>
      <x v="1"/>
    </i>
    <i>
      <x v="154"/>
      <x v="94"/>
      <x v="1"/>
    </i>
    <i>
      <x v="155"/>
      <x v="95"/>
      <x v="9"/>
    </i>
    <i>
      <x v="156"/>
      <x v="98"/>
      <x v="1"/>
    </i>
    <i>
      <x v="157"/>
      <x v="89"/>
      <x v="2"/>
    </i>
    <i>
      <x v="158"/>
      <x v="89"/>
      <x v="2"/>
    </i>
    <i>
      <x v="159"/>
      <x v="89"/>
      <x v="2"/>
    </i>
    <i>
      <x v="160"/>
      <x v="89"/>
      <x v="2"/>
    </i>
    <i>
      <x v="161"/>
      <x v="89"/>
      <x v="2"/>
    </i>
    <i>
      <x v="162"/>
      <x v="89"/>
      <x v="2"/>
    </i>
    <i>
      <x v="163"/>
      <x v="93"/>
      <x v="1"/>
    </i>
    <i>
      <x v="164"/>
      <x v="67"/>
      <x v="1"/>
    </i>
    <i>
      <x v="165"/>
      <x v="92"/>
      <x v="2"/>
    </i>
    <i>
      <x v="166"/>
      <x v="90"/>
      <x v="9"/>
    </i>
    <i>
      <x v="167"/>
      <x v="90"/>
      <x v="9"/>
    </i>
    <i>
      <x v="168"/>
      <x v="90"/>
      <x v="9"/>
    </i>
    <i>
      <x v="169"/>
      <x v="90"/>
      <x v="9"/>
    </i>
    <i>
      <x v="170"/>
      <x v="90"/>
      <x v="9"/>
    </i>
    <i>
      <x v="171"/>
      <x v="90"/>
      <x v="9"/>
    </i>
    <i>
      <x v="172"/>
      <x v="91"/>
      <x v="2"/>
    </i>
    <i>
      <x v="173"/>
      <x v="91"/>
      <x v="2"/>
    </i>
    <i>
      <x v="174"/>
      <x v="91"/>
      <x v="2"/>
    </i>
    <i>
      <x v="175"/>
      <x v="91"/>
      <x v="2"/>
    </i>
    <i>
      <x v="176"/>
      <x v="91"/>
      <x v="2"/>
    </i>
    <i>
      <x v="177"/>
      <x v="91"/>
      <x v="2"/>
    </i>
    <i>
      <x v="179"/>
      <x v="127"/>
      <x v="9"/>
    </i>
    <i>
      <x v="180"/>
      <x v="51"/>
      <x v="9"/>
    </i>
    <i>
      <x v="194"/>
      <x v="64"/>
      <x v="1"/>
    </i>
    <i t="grand">
      <x/>
    </i>
  </rowItems>
  <colFields count="1">
    <field x="-2"/>
  </colFields>
  <colItems count="3">
    <i>
      <x/>
    </i>
    <i i="1">
      <x v="1"/>
    </i>
    <i i="2">
      <x v="2"/>
    </i>
  </colItems>
  <pageFields count="2">
    <pageField fld="37" hier="-1"/>
    <pageField fld="14" hier="-1"/>
  </pageFields>
  <dataFields count="3">
    <dataField name="Count of field_id" fld="0" subtotal="count" baseField="0" baseItem="0"/>
    <dataField name="Count of Cardiobase Angioplasty" fld="17" subtotal="count" baseField="0" baseItem="0"/>
    <dataField name="Count of Cardiobase RiskScore" fld="18"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DA3D90A-D1DA-4462-B451-271CF9899027}" name="PivotTable1" cacheId="0" applyNumberFormats="0" applyBorderFormats="0" applyFontFormats="0" applyPatternFormats="0" applyAlignmentFormats="0" applyWidthHeightFormats="1" dataCaption="Values" updatedVersion="8" minRefreshableVersion="3" useAutoFormatting="1" itemPrintTitles="1" createdVersion="7" indent="0" compact="0" compactData="0" gridDropZones="1" multipleFieldFilters="0">
  <location ref="A7:F220" firstHeaderRow="1" firstDataRow="2" firstDataCol="3" rowPageCount="2" colPageCount="1"/>
  <pivotFields count="40">
    <pivotField axis="axisRow" dataField="1" compact="0" outline="0" showAll="0" defaultSubtotal="0">
      <items count="211">
        <item x="1"/>
        <item x="153"/>
        <item x="3"/>
        <item x="6"/>
        <item x="96"/>
        <item x="98"/>
        <item x="100"/>
        <item x="102"/>
        <item x="104"/>
        <item x="106"/>
        <item x="4"/>
        <item x="145"/>
        <item x="5"/>
        <item x="115"/>
        <item x="118"/>
        <item x="121"/>
        <item x="125"/>
        <item x="128"/>
        <item x="83"/>
        <item x="147"/>
        <item x="7"/>
        <item x="38"/>
        <item x="41"/>
        <item x="12"/>
        <item x="48"/>
        <item x="22"/>
        <item x="43"/>
        <item x="8"/>
        <item x="11"/>
        <item x="87"/>
        <item x="15"/>
        <item x="148"/>
        <item x="17"/>
        <item x="150"/>
        <item x="21"/>
        <item x="16"/>
        <item x="18"/>
        <item x="32"/>
        <item x="149"/>
        <item x="51"/>
        <item x="28"/>
        <item x="24"/>
        <item x="25"/>
        <item x="23"/>
        <item x="29"/>
        <item x="26"/>
        <item x="27"/>
        <item x="176"/>
        <item x="0"/>
        <item x="173"/>
        <item x="47"/>
        <item x="50"/>
        <item x="46"/>
        <item x="30"/>
        <item x="42"/>
        <item x="52"/>
        <item x="53"/>
        <item x="157"/>
        <item x="54"/>
        <item x="55"/>
        <item x="91"/>
        <item x="56"/>
        <item x="36"/>
        <item x="57"/>
        <item x="58"/>
        <item x="144"/>
        <item x="31"/>
        <item x="155"/>
        <item x="92"/>
        <item x="88"/>
        <item x="59"/>
        <item x="111"/>
        <item x="174"/>
        <item x="86"/>
        <item x="60"/>
        <item x="61"/>
        <item x="62"/>
        <item x="63"/>
        <item x="64"/>
        <item x="65"/>
        <item x="66"/>
        <item x="67"/>
        <item x="68"/>
        <item x="69"/>
        <item x="70"/>
        <item x="71"/>
        <item x="72"/>
        <item x="73"/>
        <item x="74"/>
        <item x="75"/>
        <item x="76"/>
        <item x="77"/>
        <item x="78"/>
        <item x="79"/>
        <item x="80"/>
        <item x="81"/>
        <item x="85"/>
        <item x="89"/>
        <item x="90"/>
        <item x="206"/>
        <item x="165"/>
        <item x="161"/>
        <item x="109"/>
        <item x="179"/>
        <item x="10"/>
        <item x="20"/>
        <item x="151"/>
        <item x="152"/>
        <item x="34"/>
        <item x="113"/>
        <item x="114"/>
        <item x="94"/>
        <item x="117"/>
        <item x="120"/>
        <item x="124"/>
        <item x="127"/>
        <item x="131"/>
        <item x="141"/>
        <item x="142"/>
        <item x="95"/>
        <item x="97"/>
        <item x="99"/>
        <item x="101"/>
        <item x="103"/>
        <item x="105"/>
        <item x="207"/>
        <item x="19"/>
        <item x="156"/>
        <item x="37"/>
        <item x="158"/>
        <item x="163"/>
        <item x="9"/>
        <item x="175"/>
        <item x="180"/>
        <item x="13"/>
        <item x="14"/>
        <item x="93"/>
        <item x="116"/>
        <item x="119"/>
        <item x="123"/>
        <item x="126"/>
        <item x="129"/>
        <item x="177"/>
        <item x="181"/>
        <item x="183"/>
        <item x="190"/>
        <item x="45"/>
        <item x="40"/>
        <item x="35"/>
        <item x="112"/>
        <item x="164"/>
        <item x="184"/>
        <item x="82"/>
        <item x="39"/>
        <item x="49"/>
        <item x="44"/>
        <item x="84"/>
        <item x="167"/>
        <item x="169"/>
        <item x="171"/>
        <item x="172"/>
        <item x="191"/>
        <item x="160"/>
        <item x="185"/>
        <item x="186"/>
        <item x="33"/>
        <item x="122"/>
        <item x="130"/>
        <item x="138"/>
        <item x="146"/>
        <item x="154"/>
        <item x="162"/>
        <item x="166"/>
        <item x="168"/>
        <item x="170"/>
        <item x="143"/>
        <item x="182"/>
        <item x="159"/>
        <item x="178"/>
        <item x="187"/>
        <item x="188"/>
        <item x="134"/>
        <item x="135"/>
        <item x="110"/>
        <item x="133"/>
        <item x="132"/>
        <item x="107"/>
        <item x="192"/>
        <item x="140"/>
        <item x="139"/>
        <item x="193"/>
        <item x="108"/>
        <item x="137"/>
        <item x="136"/>
        <item x="189"/>
        <item x="2"/>
        <item x="194"/>
        <item x="195"/>
        <item x="196"/>
        <item x="197"/>
        <item x="198"/>
        <item x="199"/>
        <item x="200"/>
        <item x="201"/>
        <item x="202"/>
        <item x="203"/>
        <item x="204"/>
        <item x="205"/>
        <item x="208"/>
        <item x="209"/>
        <item x="210"/>
      </items>
    </pivotField>
    <pivotField axis="axisRow" compact="0" outline="0" showAll="0" defaultSubtotal="0">
      <items count="151">
        <item m="1" x="148"/>
        <item x="99"/>
        <item x="38"/>
        <item x="39"/>
        <item x="6"/>
        <item x="76"/>
        <item x="98"/>
        <item x="5"/>
        <item x="73"/>
        <item x="124"/>
        <item x="20"/>
        <item x="32"/>
        <item x="15"/>
        <item x="69"/>
        <item x="48"/>
        <item x="17"/>
        <item x="43"/>
        <item x="8"/>
        <item x="22"/>
        <item x="7"/>
        <item x="12"/>
        <item x="51"/>
        <item x="11"/>
        <item x="41"/>
        <item m="1" x="150"/>
        <item x="25"/>
        <item x="26"/>
        <item x="27"/>
        <item x="50"/>
        <item x="47"/>
        <item x="46"/>
        <item x="113"/>
        <item x="57"/>
        <item x="53"/>
        <item x="108"/>
        <item x="54"/>
        <item x="55"/>
        <item x="58"/>
        <item x="97"/>
        <item x="106"/>
        <item x="70"/>
        <item x="72"/>
        <item x="81"/>
        <item x="60"/>
        <item x="31"/>
        <item x="19"/>
        <item x="68"/>
        <item x="62"/>
        <item x="63"/>
        <item x="29"/>
        <item x="23"/>
        <item x="129"/>
        <item x="0"/>
        <item x="10"/>
        <item x="138"/>
        <item x="82"/>
        <item x="103"/>
        <item x="104"/>
        <item sd="0" x="34"/>
        <item x="100"/>
        <item x="102"/>
        <item x="83"/>
        <item x="3"/>
        <item x="52"/>
        <item x="130"/>
        <item x="95"/>
        <item x="21"/>
        <item x="127"/>
        <item x="75"/>
        <item x="107"/>
        <item x="13"/>
        <item x="14"/>
        <item x="74"/>
        <item x="71"/>
        <item x="36"/>
        <item x="139"/>
        <item x="37"/>
        <item x="109"/>
        <item x="94"/>
        <item x="117"/>
        <item m="1" x="149"/>
        <item x="9"/>
        <item x="112"/>
        <item x="35"/>
        <item x="101"/>
        <item x="61"/>
        <item x="56"/>
        <item x="45"/>
        <item m="1" x="147"/>
        <item x="110"/>
        <item x="85"/>
        <item x="96"/>
        <item x="33"/>
        <item x="126"/>
        <item x="49"/>
        <item x="44"/>
        <item x="65"/>
        <item x="66"/>
        <item x="67"/>
        <item x="105"/>
        <item x="64"/>
        <item x="16"/>
        <item x="18"/>
        <item x="86"/>
        <item x="87"/>
        <item x="88"/>
        <item x="89"/>
        <item x="90"/>
        <item x="91"/>
        <item m="1" x="144"/>
        <item m="1" x="146"/>
        <item x="77"/>
        <item x="78"/>
        <item x="115"/>
        <item x="116"/>
        <item x="125"/>
        <item x="118"/>
        <item x="119"/>
        <item x="120"/>
        <item x="121"/>
        <item x="84"/>
        <item x="123"/>
        <item x="59"/>
        <item x="42"/>
        <item x="79"/>
        <item x="30"/>
        <item x="122"/>
        <item x="128"/>
        <item x="28"/>
        <item x="4"/>
        <item x="131"/>
        <item m="1" x="143"/>
        <item x="132"/>
        <item x="133"/>
        <item x="80"/>
        <item x="1"/>
        <item x="92"/>
        <item x="93"/>
        <item m="1" x="145"/>
        <item x="24"/>
        <item x="40"/>
        <item x="111"/>
        <item x="114"/>
        <item x="2"/>
        <item x="134"/>
        <item x="135"/>
        <item x="136"/>
        <item x="137"/>
        <item x="140"/>
        <item x="141"/>
        <item x="142"/>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9">
        <item x="2"/>
        <item x="1"/>
        <item x="18"/>
        <item x="3"/>
        <item x="16"/>
        <item x="15"/>
        <item x="24"/>
        <item x="21"/>
        <item x="5"/>
        <item x="30"/>
        <item x="35"/>
        <item x="34"/>
        <item x="13"/>
        <item x="14"/>
        <item x="12"/>
        <item x="33"/>
        <item x="20"/>
        <item x="17"/>
        <item x="29"/>
        <item x="32"/>
        <item x="10"/>
        <item x="31"/>
        <item x="8"/>
        <item x="36"/>
        <item x="11"/>
        <item x="9"/>
        <item x="7"/>
        <item x="6"/>
        <item x="19"/>
        <item x="23"/>
        <item x="37"/>
        <item x="4"/>
        <item x="0"/>
        <item x="25"/>
        <item x="26"/>
        <item x="27"/>
        <item x="28"/>
        <item x="22"/>
        <item m="1" x="46"/>
        <item x="38"/>
        <item x="39"/>
        <item m="1" x="47"/>
        <item x="40"/>
        <item x="41"/>
        <item x="42"/>
        <item x="43"/>
        <item x="44"/>
        <item x="4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multipleItemSelectionAllowed="1" showAll="0" sortType="ascending" defaultSubtotal="0">
      <items count="10">
        <item x="9"/>
        <item x="2"/>
        <item x="6"/>
        <item x="8"/>
        <item x="3"/>
        <item x="7"/>
        <item x="1"/>
        <item x="4"/>
        <item x="5"/>
        <item x="0"/>
      </items>
    </pivotField>
    <pivotField compact="0" outline="0" showAll="0"/>
    <pivotField compact="0" outline="0" showAll="0"/>
    <pivotField compact="0" outline="0" showAll="0"/>
    <pivotField dataField="1" compact="0" outline="0" showAll="0"/>
    <pivotField dataField="1" compact="0" outline="0" showAll="0" defaultSubtotal="0"/>
    <pivotField compact="0" outline="0" showAll="0"/>
    <pivotField axis="axisPage" compact="0" outline="0" showAll="0">
      <items count="3">
        <item x="0"/>
        <item x="1"/>
        <item t="default"/>
      </items>
    </pivotField>
    <pivotField compact="0" outline="0" showAll="0"/>
    <pivotField compact="0" outline="0" showAll="0"/>
  </pivotFields>
  <rowFields count="3">
    <field x="0"/>
    <field x="1"/>
    <field x="30"/>
  </rowFields>
  <rowItems count="212">
    <i>
      <x/>
      <x v="135"/>
      <x v="6"/>
    </i>
    <i>
      <x v="1"/>
      <x v="99"/>
      <x v="7"/>
    </i>
    <i>
      <x v="2"/>
      <x v="62"/>
      <x v="1"/>
    </i>
    <i>
      <x v="3"/>
      <x v="4"/>
      <x v="9"/>
    </i>
    <i>
      <x v="4"/>
      <x v="5"/>
      <x v="4"/>
    </i>
    <i>
      <x v="5"/>
      <x v="5"/>
      <x v="4"/>
    </i>
    <i>
      <x v="6"/>
      <x v="5"/>
      <x v="4"/>
    </i>
    <i>
      <x v="7"/>
      <x v="5"/>
      <x v="4"/>
    </i>
    <i>
      <x v="8"/>
      <x v="5"/>
      <x v="4"/>
    </i>
    <i>
      <x v="9"/>
      <x v="5"/>
      <x v="4"/>
    </i>
    <i>
      <x v="10"/>
      <x v="129"/>
      <x v="9"/>
    </i>
    <i>
      <x v="11"/>
      <x v="6"/>
      <x v="6"/>
    </i>
    <i>
      <x v="12"/>
      <x v="7"/>
      <x v="4"/>
    </i>
    <i>
      <x v="13"/>
      <x v="7"/>
      <x v="5"/>
    </i>
    <i>
      <x v="14"/>
      <x v="7"/>
      <x v="4"/>
    </i>
    <i>
      <x v="15"/>
      <x v="7"/>
      <x/>
    </i>
    <i>
      <x v="16"/>
      <x v="7"/>
      <x v="5"/>
    </i>
    <i>
      <x v="17"/>
      <x v="7"/>
      <x v="5"/>
    </i>
    <i>
      <x v="18"/>
      <x v="97"/>
      <x v="1"/>
    </i>
    <i>
      <x v="19"/>
      <x v="1"/>
      <x v="6"/>
    </i>
    <i>
      <x v="20"/>
      <x v="19"/>
      <x v="4"/>
    </i>
    <i>
      <x v="21"/>
      <x v="2"/>
      <x v="1"/>
    </i>
    <i>
      <x v="22"/>
      <x v="23"/>
      <x v="9"/>
    </i>
    <i>
      <x v="23"/>
      <x v="20"/>
      <x v="9"/>
    </i>
    <i>
      <x v="24"/>
      <x v="14"/>
      <x v="1"/>
    </i>
    <i>
      <x v="25"/>
      <x v="18"/>
      <x v="9"/>
    </i>
    <i>
      <x v="26"/>
      <x v="16"/>
      <x v="9"/>
    </i>
    <i>
      <x v="27"/>
      <x v="17"/>
      <x v="7"/>
    </i>
    <i>
      <x v="28"/>
      <x v="22"/>
      <x v="4"/>
    </i>
    <i>
      <x v="29"/>
      <x v="13"/>
      <x v="4"/>
    </i>
    <i>
      <x v="30"/>
      <x v="12"/>
      <x v="1"/>
    </i>
    <i>
      <x v="31"/>
      <x v="59"/>
      <x v="6"/>
    </i>
    <i>
      <x v="32"/>
      <x v="15"/>
      <x v="4"/>
    </i>
    <i>
      <x v="33"/>
      <x v="60"/>
      <x v="6"/>
    </i>
    <i>
      <x v="34"/>
      <x v="66"/>
      <x v="1"/>
    </i>
    <i>
      <x v="35"/>
      <x v="101"/>
      <x v="4"/>
    </i>
    <i>
      <x v="36"/>
      <x v="102"/>
      <x v="4"/>
    </i>
    <i>
      <x v="37"/>
      <x v="11"/>
      <x v="2"/>
    </i>
    <i>
      <x v="38"/>
      <x v="84"/>
      <x v="6"/>
    </i>
    <i>
      <x v="39"/>
      <x v="21"/>
      <x v="9"/>
    </i>
    <i>
      <x v="40"/>
      <x v="128"/>
      <x v="1"/>
    </i>
    <i>
      <x v="41"/>
      <x v="139"/>
      <x v="8"/>
    </i>
    <i>
      <x v="42"/>
      <x v="25"/>
      <x v="9"/>
    </i>
    <i>
      <x v="43"/>
      <x v="50"/>
      <x v="9"/>
    </i>
    <i>
      <x v="44"/>
      <x v="49"/>
      <x v="9"/>
    </i>
    <i>
      <x v="45"/>
      <x v="26"/>
      <x v="8"/>
    </i>
    <i>
      <x v="46"/>
      <x v="27"/>
      <x v="8"/>
    </i>
    <i>
      <x v="47"/>
      <x v="116"/>
      <x v="9"/>
    </i>
    <i>
      <x v="48"/>
      <x v="52"/>
      <x v="9"/>
    </i>
    <i>
      <x v="49"/>
      <x v="113"/>
      <x v="9"/>
    </i>
    <i>
      <x v="50"/>
      <x v="29"/>
      <x v="9"/>
    </i>
    <i>
      <x v="51"/>
      <x v="28"/>
      <x v="9"/>
    </i>
    <i>
      <x v="52"/>
      <x v="30"/>
      <x v="9"/>
    </i>
    <i>
      <x v="53"/>
      <x v="125"/>
      <x v="9"/>
    </i>
    <i>
      <x v="54"/>
      <x v="123"/>
      <x v="1"/>
    </i>
    <i>
      <x v="55"/>
      <x v="63"/>
      <x v="1"/>
    </i>
    <i>
      <x v="56"/>
      <x v="33"/>
      <x v="2"/>
    </i>
    <i>
      <x v="57"/>
      <x v="34"/>
      <x v="2"/>
    </i>
    <i>
      <x v="58"/>
      <x v="35"/>
      <x v="2"/>
    </i>
    <i>
      <x v="59"/>
      <x v="36"/>
      <x v="9"/>
    </i>
    <i>
      <x v="60"/>
      <x v="73"/>
      <x v="2"/>
    </i>
    <i>
      <x v="61"/>
      <x v="86"/>
      <x v="5"/>
    </i>
    <i>
      <x v="62"/>
      <x v="74"/>
      <x v="4"/>
    </i>
    <i>
      <x v="63"/>
      <x v="32"/>
      <x v="7"/>
    </i>
    <i>
      <x v="64"/>
      <x v="37"/>
      <x v="6"/>
    </i>
    <i>
      <x v="65"/>
      <x v="38"/>
      <x v="6"/>
    </i>
    <i>
      <x v="66"/>
      <x v="44"/>
      <x v="4"/>
    </i>
    <i>
      <x v="67"/>
      <x v="39"/>
      <x v="2"/>
    </i>
    <i>
      <x v="68"/>
      <x v="41"/>
      <x v="9"/>
    </i>
    <i>
      <x v="69"/>
      <x v="40"/>
      <x v="9"/>
    </i>
    <i>
      <x v="70"/>
      <x v="122"/>
      <x v="4"/>
    </i>
    <i>
      <x v="71"/>
      <x v="42"/>
      <x v="2"/>
    </i>
    <i>
      <x v="72"/>
      <x v="114"/>
      <x v="9"/>
    </i>
    <i>
      <x v="73"/>
      <x v="46"/>
      <x v="4"/>
    </i>
    <i>
      <x v="74"/>
      <x v="43"/>
      <x v="9"/>
    </i>
    <i>
      <x v="75"/>
      <x v="85"/>
      <x v="9"/>
    </i>
    <i>
      <x v="76"/>
      <x v="47"/>
      <x v="1"/>
    </i>
    <i>
      <x v="77"/>
      <x v="48"/>
      <x v="9"/>
    </i>
    <i>
      <x v="78"/>
      <x v="100"/>
      <x v="1"/>
    </i>
    <i>
      <x v="79"/>
      <x v="43"/>
      <x v="9"/>
    </i>
    <i>
      <x v="80"/>
      <x v="85"/>
      <x v="9"/>
    </i>
    <i>
      <x v="81"/>
      <x v="47"/>
      <x v="1"/>
    </i>
    <i>
      <x v="82"/>
      <x v="48"/>
      <x v="9"/>
    </i>
    <i>
      <x v="83"/>
      <x v="100"/>
      <x v="1"/>
    </i>
    <i>
      <x v="84"/>
      <x v="43"/>
      <x v="9"/>
    </i>
    <i>
      <x v="85"/>
      <x v="85"/>
      <x v="9"/>
    </i>
    <i>
      <x v="86"/>
      <x v="47"/>
      <x v="1"/>
    </i>
    <i>
      <x v="87"/>
      <x v="48"/>
      <x v="9"/>
    </i>
    <i>
      <x v="88"/>
      <x v="100"/>
      <x v="1"/>
    </i>
    <i>
      <x v="89"/>
      <x v="43"/>
      <x v="9"/>
    </i>
    <i>
      <x v="90"/>
      <x v="85"/>
      <x v="9"/>
    </i>
    <i>
      <x v="91"/>
      <x v="47"/>
      <x v="1"/>
    </i>
    <i>
      <x v="92"/>
      <x v="48"/>
      <x v="9"/>
    </i>
    <i>
      <x v="93"/>
      <x v="100"/>
      <x v="1"/>
    </i>
    <i>
      <x v="94"/>
      <x v="43"/>
      <x v="9"/>
    </i>
    <i>
      <x v="95"/>
      <x v="85"/>
      <x v="9"/>
    </i>
    <i>
      <x v="96"/>
      <x v="47"/>
      <x v="1"/>
    </i>
    <i>
      <x v="97"/>
      <x v="48"/>
      <x v="9"/>
    </i>
    <i>
      <x v="98"/>
      <x v="100"/>
      <x v="1"/>
    </i>
    <i>
      <x v="99"/>
      <x v="54"/>
      <x v="5"/>
    </i>
    <i>
      <x v="100"/>
      <x v="142"/>
      <x v="7"/>
    </i>
    <i>
      <x v="101"/>
      <x v="141"/>
      <x v="7"/>
    </i>
    <i>
      <x v="102"/>
      <x v="124"/>
      <x v="1"/>
    </i>
    <i>
      <x v="103"/>
      <x v="119"/>
      <x v="9"/>
    </i>
    <i>
      <x v="104"/>
      <x v="53"/>
      <x v="9"/>
    </i>
    <i>
      <x v="105"/>
      <x v="10"/>
      <x v="9"/>
    </i>
    <i>
      <x v="106"/>
      <x v="56"/>
      <x v="6"/>
    </i>
    <i>
      <x v="107"/>
      <x v="57"/>
      <x v="6"/>
    </i>
    <i>
      <x v="108"/>
      <x v="58"/>
    </i>
    <i>
      <x v="109"/>
      <x v="61"/>
      <x v="9"/>
    </i>
    <i>
      <x v="110"/>
      <x v="120"/>
      <x v="9"/>
    </i>
    <i>
      <x v="111"/>
      <x v="72"/>
      <x v="4"/>
    </i>
    <i>
      <x v="112"/>
      <x v="72"/>
      <x v="5"/>
    </i>
    <i>
      <x v="113"/>
      <x v="72"/>
      <x v="5"/>
    </i>
    <i>
      <x v="114"/>
      <x v="72"/>
      <x v="5"/>
    </i>
    <i>
      <x v="115"/>
      <x v="72"/>
      <x v="2"/>
    </i>
    <i>
      <x v="116"/>
      <x v="72"/>
      <x v="5"/>
    </i>
    <i>
      <x v="117"/>
      <x v="78"/>
      <x v="4"/>
    </i>
    <i>
      <x v="118"/>
      <x v="65"/>
      <x v="2"/>
    </i>
    <i>
      <x v="119"/>
      <x v="68"/>
      <x v="4"/>
    </i>
    <i>
      <x v="120"/>
      <x v="68"/>
      <x v="4"/>
    </i>
    <i>
      <x v="121"/>
      <x v="68"/>
      <x v="4"/>
    </i>
    <i>
      <x v="122"/>
      <x v="68"/>
      <x v="4"/>
    </i>
    <i>
      <x v="123"/>
      <x v="68"/>
      <x v="4"/>
    </i>
    <i>
      <x v="124"/>
      <x v="68"/>
      <x v="4"/>
    </i>
    <i>
      <x v="125"/>
      <x v="75"/>
      <x v="9"/>
    </i>
    <i>
      <x v="126"/>
      <x v="45"/>
      <x v="9"/>
    </i>
    <i>
      <x v="127"/>
      <x v="69"/>
      <x v="1"/>
    </i>
    <i>
      <x v="128"/>
      <x v="76"/>
      <x v="9"/>
    </i>
    <i>
      <x v="129"/>
      <x v="77"/>
      <x v="9"/>
    </i>
    <i>
      <x v="130"/>
      <x v="82"/>
      <x v="9"/>
    </i>
    <i>
      <x v="131"/>
      <x v="81"/>
      <x v="9"/>
    </i>
    <i>
      <x v="132"/>
      <x v="79"/>
      <x v="4"/>
    </i>
    <i>
      <x v="133"/>
      <x v="126"/>
      <x v="9"/>
    </i>
    <i>
      <x v="134"/>
      <x v="70"/>
      <x v="8"/>
    </i>
    <i>
      <x v="135"/>
      <x v="71"/>
      <x v="8"/>
    </i>
    <i>
      <x v="136"/>
      <x v="8"/>
      <x v="4"/>
    </i>
    <i>
      <x v="137"/>
      <x v="8"/>
      <x v="5"/>
    </i>
    <i>
      <x v="138"/>
      <x v="8"/>
      <x v="2"/>
    </i>
    <i>
      <x v="139"/>
      <x v="8"/>
      <x v="5"/>
    </i>
    <i>
      <x v="140"/>
      <x v="8"/>
      <x v="4"/>
    </i>
    <i>
      <x v="141"/>
      <x v="8"/>
      <x/>
    </i>
    <i>
      <x v="142"/>
      <x v="117"/>
      <x v="9"/>
    </i>
    <i>
      <x v="143"/>
      <x v="121"/>
      <x v="1"/>
    </i>
    <i>
      <x v="144"/>
      <x v="9"/>
      <x v="4"/>
    </i>
    <i>
      <x v="145"/>
      <x v="130"/>
      <x v="9"/>
    </i>
    <i>
      <x v="146"/>
      <x v="87"/>
      <x v="9"/>
    </i>
    <i>
      <x v="147"/>
      <x v="140"/>
      <x v="9"/>
    </i>
    <i>
      <x v="148"/>
      <x v="83"/>
      <x v="4"/>
    </i>
    <i>
      <x v="149"/>
      <x v="55"/>
      <x v="3"/>
    </i>
    <i>
      <x v="150"/>
      <x v="31"/>
      <x v="7"/>
    </i>
    <i>
      <x v="151"/>
      <x v="115"/>
      <x v="9"/>
    </i>
    <i>
      <x v="152"/>
      <x v="96"/>
      <x v="9"/>
    </i>
    <i>
      <x v="153"/>
      <x v="3"/>
      <x v="1"/>
    </i>
    <i>
      <x v="154"/>
      <x v="94"/>
      <x v="1"/>
    </i>
    <i>
      <x v="155"/>
      <x v="95"/>
      <x v="9"/>
    </i>
    <i>
      <x v="156"/>
      <x v="98"/>
      <x v="1"/>
    </i>
    <i>
      <x v="157"/>
      <x v="89"/>
      <x v="2"/>
    </i>
    <i>
      <x v="158"/>
      <x v="89"/>
      <x v="2"/>
    </i>
    <i>
      <x v="159"/>
      <x v="89"/>
      <x v="2"/>
    </i>
    <i>
      <x v="160"/>
      <x v="89"/>
      <x v="2"/>
    </i>
    <i>
      <x v="161"/>
      <x v="89"/>
      <x v="2"/>
    </i>
    <i>
      <x v="162"/>
      <x v="89"/>
      <x v="2"/>
    </i>
    <i>
      <x v="163"/>
      <x v="93"/>
      <x v="1"/>
    </i>
    <i>
      <x v="164"/>
      <x v="67"/>
      <x v="1"/>
    </i>
    <i>
      <x v="165"/>
      <x v="92"/>
      <x v="2"/>
    </i>
    <i>
      <x v="166"/>
      <x v="90"/>
      <x v="9"/>
    </i>
    <i>
      <x v="167"/>
      <x v="90"/>
      <x v="9"/>
    </i>
    <i>
      <x v="168"/>
      <x v="90"/>
      <x v="9"/>
    </i>
    <i>
      <x v="169"/>
      <x v="90"/>
      <x v="9"/>
    </i>
    <i>
      <x v="170"/>
      <x v="90"/>
      <x v="9"/>
    </i>
    <i>
      <x v="171"/>
      <x v="90"/>
      <x v="9"/>
    </i>
    <i>
      <x v="172"/>
      <x v="91"/>
      <x v="2"/>
    </i>
    <i>
      <x v="173"/>
      <x v="91"/>
      <x v="2"/>
    </i>
    <i>
      <x v="174"/>
      <x v="91"/>
      <x v="2"/>
    </i>
    <i>
      <x v="175"/>
      <x v="91"/>
      <x v="2"/>
    </i>
    <i>
      <x v="176"/>
      <x v="91"/>
      <x v="2"/>
    </i>
    <i>
      <x v="177"/>
      <x v="91"/>
      <x v="2"/>
    </i>
    <i>
      <x v="178"/>
      <x v="118"/>
      <x v="9"/>
    </i>
    <i>
      <x v="179"/>
      <x v="127"/>
      <x v="9"/>
    </i>
    <i>
      <x v="180"/>
      <x v="51"/>
      <x v="9"/>
    </i>
    <i>
      <x v="181"/>
      <x v="105"/>
      <x v="5"/>
    </i>
    <i>
      <x v="182"/>
      <x v="106"/>
      <x v="5"/>
    </i>
    <i>
      <x v="183"/>
      <x v="134"/>
      <x v="4"/>
    </i>
    <i>
      <x v="184"/>
      <x v="104"/>
      <x v="5"/>
    </i>
    <i>
      <x v="185"/>
      <x v="103"/>
      <x v="5"/>
    </i>
    <i>
      <x v="186"/>
      <x v="111"/>
      <x v="4"/>
    </i>
    <i>
      <x v="187"/>
      <x v="132"/>
      <x v="9"/>
    </i>
    <i>
      <x v="188"/>
      <x v="137"/>
      <x v="5"/>
    </i>
    <i>
      <x v="189"/>
      <x v="136"/>
      <x v="5"/>
    </i>
    <i>
      <x v="190"/>
      <x v="133"/>
      <x v="9"/>
    </i>
    <i>
      <x v="191"/>
      <x v="112"/>
      <x v="4"/>
    </i>
    <i>
      <x v="192"/>
      <x v="108"/>
      <x v="5"/>
    </i>
    <i>
      <x v="193"/>
      <x v="107"/>
      <x v="5"/>
    </i>
    <i>
      <x v="194"/>
      <x v="64"/>
      <x v="1"/>
    </i>
    <i>
      <x v="195"/>
      <x v="143"/>
      <x v="9"/>
    </i>
    <i>
      <x v="196"/>
      <x v="144"/>
      <x v="9"/>
    </i>
    <i>
      <x v="197"/>
      <x v="144"/>
      <x v="9"/>
    </i>
    <i>
      <x v="198"/>
      <x v="144"/>
      <x v="9"/>
    </i>
    <i>
      <x v="199"/>
      <x v="144"/>
      <x v="9"/>
    </i>
    <i>
      <x v="200"/>
      <x v="144"/>
      <x v="9"/>
    </i>
    <i>
      <x v="201"/>
      <x v="144"/>
      <x v="9"/>
    </i>
    <i>
      <x v="202"/>
      <x v="144"/>
      <x v="9"/>
    </i>
    <i>
      <x v="203"/>
      <x v="144"/>
      <x v="9"/>
    </i>
    <i>
      <x v="204"/>
      <x v="144"/>
      <x v="9"/>
    </i>
    <i>
      <x v="205"/>
      <x v="145"/>
      <x v="9"/>
    </i>
    <i>
      <x v="206"/>
      <x v="146"/>
      <x v="9"/>
    </i>
    <i>
      <x v="207"/>
      <x v="147"/>
      <x v="9"/>
    </i>
    <i>
      <x v="208"/>
      <x v="148"/>
      <x v="9"/>
    </i>
    <i>
      <x v="209"/>
      <x v="149"/>
      <x v="9"/>
    </i>
    <i>
      <x v="210"/>
      <x v="150"/>
      <x v="9"/>
    </i>
    <i t="grand">
      <x/>
    </i>
  </rowItems>
  <colFields count="1">
    <field x="-2"/>
  </colFields>
  <colItems count="3">
    <i>
      <x/>
    </i>
    <i i="1">
      <x v="1"/>
    </i>
    <i i="2">
      <x v="2"/>
    </i>
  </colItems>
  <pageFields count="2">
    <pageField fld="37" hier="-1"/>
    <pageField fld="14" hier="-1"/>
  </pageFields>
  <dataFields count="3">
    <dataField name="Count of field_id" fld="0" subtotal="count" baseField="0" baseItem="0"/>
    <dataField name="Count of Cardiovascular" fld="35" subtotal="count" baseField="0" baseItem="0"/>
    <dataField name="Count of PCI Data Set" fld="34" subtotal="count" baseField="1" baseItem="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D1EB81D-CFF0-4B30-AADF-237B602E747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35" firstHeaderRow="1" firstDataRow="1" firstDataCol="1" rowPageCount="2" colPageCount="1"/>
  <pivotFields count="40">
    <pivotField axis="axisRow" showAll="0">
      <items count="212">
        <item x="1"/>
        <item x="153"/>
        <item x="3"/>
        <item x="6"/>
        <item x="96"/>
        <item x="98"/>
        <item x="100"/>
        <item x="102"/>
        <item x="104"/>
        <item x="106"/>
        <item x="4"/>
        <item x="145"/>
        <item x="5"/>
        <item x="115"/>
        <item x="118"/>
        <item x="121"/>
        <item x="125"/>
        <item x="128"/>
        <item x="83"/>
        <item x="147"/>
        <item x="7"/>
        <item x="38"/>
        <item x="41"/>
        <item x="12"/>
        <item x="48"/>
        <item x="22"/>
        <item x="43"/>
        <item x="8"/>
        <item x="11"/>
        <item x="87"/>
        <item x="15"/>
        <item x="148"/>
        <item x="17"/>
        <item x="150"/>
        <item x="21"/>
        <item x="16"/>
        <item x="18"/>
        <item x="32"/>
        <item x="149"/>
        <item x="51"/>
        <item x="28"/>
        <item x="24"/>
        <item x="25"/>
        <item x="23"/>
        <item x="29"/>
        <item x="26"/>
        <item x="27"/>
        <item x="176"/>
        <item x="0"/>
        <item x="173"/>
        <item x="47"/>
        <item x="50"/>
        <item x="46"/>
        <item x="30"/>
        <item x="42"/>
        <item x="52"/>
        <item x="53"/>
        <item x="157"/>
        <item x="54"/>
        <item x="55"/>
        <item x="91"/>
        <item x="56"/>
        <item x="36"/>
        <item x="57"/>
        <item x="58"/>
        <item x="144"/>
        <item x="31"/>
        <item x="155"/>
        <item x="92"/>
        <item x="88"/>
        <item x="59"/>
        <item x="111"/>
        <item x="174"/>
        <item x="86"/>
        <item x="60"/>
        <item x="61"/>
        <item x="62"/>
        <item x="63"/>
        <item x="64"/>
        <item x="65"/>
        <item x="66"/>
        <item x="67"/>
        <item x="68"/>
        <item x="69"/>
        <item x="70"/>
        <item x="71"/>
        <item x="72"/>
        <item x="73"/>
        <item x="74"/>
        <item x="75"/>
        <item x="76"/>
        <item x="77"/>
        <item x="78"/>
        <item x="79"/>
        <item x="80"/>
        <item x="81"/>
        <item x="85"/>
        <item x="89"/>
        <item x="90"/>
        <item x="206"/>
        <item x="165"/>
        <item x="161"/>
        <item x="109"/>
        <item x="179"/>
        <item x="10"/>
        <item x="20"/>
        <item x="151"/>
        <item x="152"/>
        <item x="34"/>
        <item x="113"/>
        <item x="114"/>
        <item x="94"/>
        <item x="117"/>
        <item x="120"/>
        <item x="124"/>
        <item x="127"/>
        <item x="131"/>
        <item x="141"/>
        <item x="142"/>
        <item x="95"/>
        <item x="97"/>
        <item x="99"/>
        <item x="101"/>
        <item x="103"/>
        <item x="105"/>
        <item x="207"/>
        <item x="19"/>
        <item x="156"/>
        <item x="37"/>
        <item x="158"/>
        <item x="163"/>
        <item x="9"/>
        <item x="175"/>
        <item x="180"/>
        <item x="13"/>
        <item x="14"/>
        <item x="93"/>
        <item x="116"/>
        <item x="119"/>
        <item x="123"/>
        <item x="126"/>
        <item x="129"/>
        <item x="177"/>
        <item x="181"/>
        <item x="183"/>
        <item x="190"/>
        <item x="45"/>
        <item x="40"/>
        <item x="35"/>
        <item x="112"/>
        <item x="164"/>
        <item x="184"/>
        <item x="82"/>
        <item x="39"/>
        <item x="49"/>
        <item x="44"/>
        <item x="84"/>
        <item x="167"/>
        <item x="169"/>
        <item x="171"/>
        <item x="172"/>
        <item x="191"/>
        <item x="160"/>
        <item x="185"/>
        <item x="186"/>
        <item x="33"/>
        <item x="122"/>
        <item x="130"/>
        <item x="138"/>
        <item x="146"/>
        <item x="154"/>
        <item x="162"/>
        <item x="166"/>
        <item x="168"/>
        <item x="170"/>
        <item x="143"/>
        <item x="182"/>
        <item x="159"/>
        <item x="178"/>
        <item x="187"/>
        <item x="188"/>
        <item x="134"/>
        <item x="135"/>
        <item x="110"/>
        <item x="133"/>
        <item x="132"/>
        <item x="107"/>
        <item x="192"/>
        <item x="140"/>
        <item x="139"/>
        <item x="193"/>
        <item x="108"/>
        <item x="137"/>
        <item x="136"/>
        <item x="189"/>
        <item x="2"/>
        <item x="194"/>
        <item x="195"/>
        <item x="196"/>
        <item x="197"/>
        <item x="198"/>
        <item x="199"/>
        <item x="200"/>
        <item x="201"/>
        <item x="202"/>
        <item x="203"/>
        <item x="204"/>
        <item x="205"/>
        <item x="208"/>
        <item x="209"/>
        <item x="2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dataField="1" showAll="0">
      <items count="4">
        <item x="0"/>
        <item x="2"/>
        <item x="1"/>
        <item t="default"/>
      </items>
    </pivotField>
    <pivotField showAll="0"/>
    <pivotField showAll="0"/>
    <pivotField axis="axisPage" showAll="0">
      <items count="3">
        <item x="0"/>
        <item x="1"/>
        <item t="default"/>
      </items>
    </pivotField>
    <pivotField showAll="0"/>
    <pivotField showAll="0"/>
  </pivotFields>
  <rowFields count="1">
    <field x="0"/>
  </rowFields>
  <rowItems count="31">
    <i>
      <x/>
    </i>
    <i>
      <x v="1"/>
    </i>
    <i>
      <x v="11"/>
    </i>
    <i>
      <x v="12"/>
    </i>
    <i>
      <x v="19"/>
    </i>
    <i>
      <x v="21"/>
    </i>
    <i>
      <x v="24"/>
    </i>
    <i>
      <x v="28"/>
    </i>
    <i>
      <x v="29"/>
    </i>
    <i>
      <x v="30"/>
    </i>
    <i>
      <x v="31"/>
    </i>
    <i>
      <x v="33"/>
    </i>
    <i>
      <x v="34"/>
    </i>
    <i>
      <x v="38"/>
    </i>
    <i>
      <x v="39"/>
    </i>
    <i>
      <x v="41"/>
    </i>
    <i>
      <x v="56"/>
    </i>
    <i>
      <x v="57"/>
    </i>
    <i>
      <x v="63"/>
    </i>
    <i>
      <x v="64"/>
    </i>
    <i>
      <x v="66"/>
    </i>
    <i>
      <x v="67"/>
    </i>
    <i>
      <x v="111"/>
    </i>
    <i>
      <x v="119"/>
    </i>
    <i>
      <x v="150"/>
    </i>
    <i>
      <x v="153"/>
    </i>
    <i>
      <x v="154"/>
    </i>
    <i>
      <x v="157"/>
    </i>
    <i>
      <x v="163"/>
    </i>
    <i>
      <x v="172"/>
    </i>
    <i t="grand">
      <x/>
    </i>
  </rowItems>
  <colItems count="1">
    <i/>
  </colItems>
  <pageFields count="2">
    <pageField fld="37" item="1" hier="-1"/>
    <pageField fld="34" hier="-1"/>
  </pageFields>
  <dataFields count="1">
    <dataField name="Sum of PCI Data Set" fld="3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EEE9986-EC25-431E-8600-1BFE86E2D4EA}"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A7:D40" firstHeaderRow="0" firstDataRow="1" firstDataCol="1" rowPageCount="2" colPageCount="1"/>
  <pivotFields count="40">
    <pivotField dataField="1" showAll="0"/>
    <pivotField axis="axisRow" showAll="0" defaultSubtotal="0">
      <items count="151">
        <item m="1" x="148"/>
        <item x="99"/>
        <item x="38"/>
        <item x="39"/>
        <item x="6"/>
        <item x="76"/>
        <item x="98"/>
        <item x="5"/>
        <item x="73"/>
        <item x="124"/>
        <item x="20"/>
        <item x="32"/>
        <item x="15"/>
        <item x="69"/>
        <item x="48"/>
        <item x="17"/>
        <item x="43"/>
        <item x="8"/>
        <item x="22"/>
        <item x="7"/>
        <item x="12"/>
        <item x="51"/>
        <item x="11"/>
        <item x="41"/>
        <item m="1" x="150"/>
        <item x="25"/>
        <item x="26"/>
        <item x="27"/>
        <item x="50"/>
        <item x="47"/>
        <item x="46"/>
        <item x="113"/>
        <item x="57"/>
        <item x="53"/>
        <item x="108"/>
        <item x="54"/>
        <item x="55"/>
        <item x="58"/>
        <item x="97"/>
        <item x="106"/>
        <item x="70"/>
        <item x="72"/>
        <item x="81"/>
        <item x="60"/>
        <item x="31"/>
        <item x="19"/>
        <item x="68"/>
        <item x="62"/>
        <item x="63"/>
        <item x="29"/>
        <item x="23"/>
        <item x="129"/>
        <item x="0"/>
        <item x="10"/>
        <item x="138"/>
        <item x="82"/>
        <item x="103"/>
        <item x="104"/>
        <item x="34"/>
        <item x="100"/>
        <item x="102"/>
        <item x="83"/>
        <item x="3"/>
        <item x="52"/>
        <item x="130"/>
        <item x="95"/>
        <item x="21"/>
        <item x="127"/>
        <item x="75"/>
        <item x="107"/>
        <item x="13"/>
        <item x="14"/>
        <item x="74"/>
        <item x="71"/>
        <item x="36"/>
        <item x="139"/>
        <item x="37"/>
        <item x="109"/>
        <item x="94"/>
        <item x="117"/>
        <item m="1" x="149"/>
        <item x="9"/>
        <item x="112"/>
        <item x="35"/>
        <item x="101"/>
        <item x="61"/>
        <item x="56"/>
        <item x="45"/>
        <item m="1" x="147"/>
        <item x="110"/>
        <item x="85"/>
        <item x="96"/>
        <item x="33"/>
        <item x="126"/>
        <item x="49"/>
        <item x="44"/>
        <item x="65"/>
        <item x="66"/>
        <item x="67"/>
        <item x="105"/>
        <item x="64"/>
        <item x="16"/>
        <item x="18"/>
        <item x="86"/>
        <item x="87"/>
        <item x="88"/>
        <item x="89"/>
        <item x="90"/>
        <item x="91"/>
        <item m="1" x="144"/>
        <item m="1" x="146"/>
        <item x="77"/>
        <item x="78"/>
        <item x="115"/>
        <item x="116"/>
        <item x="125"/>
        <item x="118"/>
        <item x="119"/>
        <item x="120"/>
        <item x="121"/>
        <item x="84"/>
        <item x="123"/>
        <item x="59"/>
        <item x="42"/>
        <item x="79"/>
        <item x="30"/>
        <item x="122"/>
        <item x="128"/>
        <item x="28"/>
        <item x="4"/>
        <item x="131"/>
        <item m="1" x="143"/>
        <item x="132"/>
        <item x="133"/>
        <item x="80"/>
        <item x="1"/>
        <item x="92"/>
        <item x="93"/>
        <item m="1" x="145"/>
        <item x="24"/>
        <item x="40"/>
        <item x="111"/>
        <item x="114"/>
        <item x="2"/>
        <item x="134"/>
        <item x="135"/>
        <item x="136"/>
        <item x="137"/>
        <item x="140"/>
        <item x="141"/>
        <item x="142"/>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49">
        <item x="2"/>
        <item x="1"/>
        <item x="18"/>
        <item x="3"/>
        <item x="16"/>
        <item x="15"/>
        <item x="24"/>
        <item x="21"/>
        <item x="5"/>
        <item x="30"/>
        <item x="35"/>
        <item x="34"/>
        <item x="13"/>
        <item x="14"/>
        <item x="12"/>
        <item x="33"/>
        <item x="20"/>
        <item x="17"/>
        <item x="29"/>
        <item x="32"/>
        <item x="10"/>
        <item x="31"/>
        <item x="8"/>
        <item x="36"/>
        <item x="11"/>
        <item x="9"/>
        <item x="7"/>
        <item x="6"/>
        <item x="19"/>
        <item x="23"/>
        <item x="37"/>
        <item x="4"/>
        <item x="0"/>
        <item x="25"/>
        <item x="26"/>
        <item x="27"/>
        <item x="28"/>
        <item x="22"/>
        <item m="1" x="46"/>
        <item x="38"/>
        <item x="39"/>
        <item m="1" x="47"/>
        <item x="40"/>
        <item x="41"/>
        <item x="42"/>
        <item x="43"/>
        <item x="44"/>
        <item x="4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defaultSubtotal="0">
      <items count="10">
        <item h="1" x="2"/>
        <item h="1" x="6"/>
        <item x="3"/>
        <item x="7"/>
        <item h="1" x="0"/>
        <item h="1" x="1"/>
        <item h="1" x="5"/>
        <item h="1" x="4"/>
        <item h="1" x="9"/>
        <item h="1" x="8"/>
      </items>
    </pivotField>
    <pivotField showAll="0"/>
    <pivotField showAll="0"/>
    <pivotField showAll="0"/>
    <pivotField dataField="1" showAll="0"/>
    <pivotField dataField="1" showAll="0" defaultSubtotal="0"/>
    <pivotField showAll="0"/>
    <pivotField showAll="0"/>
    <pivotField showAll="0"/>
    <pivotField showAll="0"/>
  </pivotFields>
  <rowFields count="1">
    <field x="1"/>
  </rowFields>
  <rowItems count="33">
    <i>
      <x v="5"/>
    </i>
    <i>
      <x v="7"/>
    </i>
    <i>
      <x v="8"/>
    </i>
    <i>
      <x v="9"/>
    </i>
    <i>
      <x v="13"/>
    </i>
    <i>
      <x v="15"/>
    </i>
    <i>
      <x v="19"/>
    </i>
    <i>
      <x v="22"/>
    </i>
    <i>
      <x v="44"/>
    </i>
    <i>
      <x v="46"/>
    </i>
    <i>
      <x v="54"/>
    </i>
    <i>
      <x v="68"/>
    </i>
    <i>
      <x v="72"/>
    </i>
    <i>
      <x v="74"/>
    </i>
    <i>
      <x v="78"/>
    </i>
    <i>
      <x v="79"/>
    </i>
    <i>
      <x v="83"/>
    </i>
    <i>
      <x v="86"/>
    </i>
    <i>
      <x v="101"/>
    </i>
    <i>
      <x v="102"/>
    </i>
    <i>
      <x v="103"/>
    </i>
    <i>
      <x v="104"/>
    </i>
    <i>
      <x v="105"/>
    </i>
    <i>
      <x v="106"/>
    </i>
    <i>
      <x v="107"/>
    </i>
    <i>
      <x v="108"/>
    </i>
    <i>
      <x v="111"/>
    </i>
    <i>
      <x v="112"/>
    </i>
    <i>
      <x v="122"/>
    </i>
    <i>
      <x v="134"/>
    </i>
    <i>
      <x v="136"/>
    </i>
    <i>
      <x v="137"/>
    </i>
    <i t="grand">
      <x/>
    </i>
  </rowItems>
  <colFields count="1">
    <field x="-2"/>
  </colFields>
  <colItems count="3">
    <i>
      <x/>
    </i>
    <i i="1">
      <x v="1"/>
    </i>
    <i i="2">
      <x v="2"/>
    </i>
  </colItems>
  <pageFields count="2">
    <pageField fld="14" hier="-1"/>
    <pageField fld="30" hier="-1"/>
  </pageFields>
  <dataFields count="3">
    <dataField name="Count of field_id" fld="0" subtotal="count" baseField="0" baseItem="0"/>
    <dataField name="Count of Cardiovascular" fld="35" subtotal="count" baseField="0" baseItem="0"/>
    <dataField name="Count of PCI Data Set" fld="34" subtotal="count" baseField="1" baseItem="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5)" backgroundRefresh="0" connectionId="1" xr16:uid="{00000000-0016-0000-0000-000000000000}" autoFormatId="16" applyNumberFormats="0" applyBorderFormats="0" applyFontFormats="0" applyPatternFormats="0" applyAlignmentFormats="0" applyWidthHeightFormats="0">
  <queryTableRefresh nextId="63" unboundColumnsLeft="4" unboundColumnsRight="7">
    <queryTableFields count="32">
      <queryTableField id="25" dataBound="0" tableColumnId="25"/>
      <queryTableField id="26" dataBound="0" tableColumnId="26"/>
      <queryTableField id="5" dataBound="0" tableColumnId="5"/>
      <queryTableField id="27" dataBound="0" tableColumnId="27"/>
      <queryTableField id="42" name="Title" tableColumnId="1"/>
      <queryTableField id="43" name="NCR Variable ID" tableColumnId="2"/>
      <queryTableField id="44" name="NCR Field Name" tableColumnId="3"/>
      <queryTableField id="45" name="STEMI ONLY?" tableColumnId="4"/>
      <queryTableField id="46" name="Module" tableColumnId="6"/>
      <queryTableField id="47" name="Field Name" tableColumnId="7"/>
      <queryTableField id="48" name="RPH/FSHCollection Date" tableColumnId="8"/>
      <queryTableField id="49" name="RPH/FSH Collector" tableColumnId="9"/>
      <queryTableField id="50" name="SCGH_x000a_Collection Date" tableColumnId="10"/>
      <queryTableField id="51" name="SCGH Collector" tableColumnId="11"/>
      <queryTableField id="52" name="NCR 1" tableColumnId="12"/>
      <queryTableField id="53" name="NCR 2" tableColumnId="13"/>
      <queryTableField id="54" name="NCR 3" tableColumnId="14"/>
      <queryTableField id="55" name="NCR 4" tableColumnId="15"/>
      <queryTableField id="56" name="NCR 5" tableColumnId="16"/>
      <queryTableField id="57" name="NCR 6" tableColumnId="17"/>
      <queryTableField id="58" name="NCR 7" tableColumnId="18"/>
      <queryTableField id="59" name="NCR 8" tableColumnId="19"/>
      <queryTableField id="60" name="NCR 9" tableColumnId="20"/>
      <queryTableField id="61" name="NCR 10" tableColumnId="21"/>
      <queryTableField id="62" name="NCR 11" tableColumnId="22"/>
      <queryTableField id="35" dataBound="0" tableColumnId="23"/>
      <queryTableField id="36" dataBound="0" tableColumnId="24"/>
      <queryTableField id="37" dataBound="0" tableColumnId="28"/>
      <queryTableField id="38" dataBound="0" tableColumnId="29"/>
      <queryTableField id="39" dataBound="0" tableColumnId="30"/>
      <queryTableField id="40" dataBound="0" tableColumnId="31"/>
      <queryTableField id="41" dataBound="0" tableColumnId="32"/>
    </queryTableFields>
    <queryTableDeletedFields count="3">
      <deletedField name="Item Type"/>
      <deletedField name="Path"/>
      <deletedField name="WAH System"/>
    </queryTableDeleted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67B07EA-E668-4EC8-9B80-A3397FFC325E}" name="Table6" displayName="Table6" ref="A1:E46" totalsRowShown="0">
  <autoFilter ref="A1:E46" xr:uid="{E67B07EA-E668-4EC8-9B80-A3397FFC325E}"/>
  <sortState xmlns:xlrd2="http://schemas.microsoft.com/office/spreadsheetml/2017/richdata2" ref="A2:E46">
    <sortCondition ref="A1:A46"/>
  </sortState>
  <tableColumns count="5">
    <tableColumn id="1" xr3:uid="{84015650-0263-4921-A7F6-3CEA5380E233}" name="Column"/>
    <tableColumn id="2" xr3:uid="{48A53971-1C5C-4F33-B13C-BF8EB5AFC5EC}" name="Relies on Column"/>
    <tableColumn id="3" xr3:uid="{B2E9EA5F-F633-4AF9-9FAA-888B74A366D3}" name="Source"/>
    <tableColumn id="4" xr3:uid="{3198FC00-7649-441B-A345-42277297A1BF}" name="Notes"/>
    <tableColumn id="5" xr3:uid="{F5671795-89C2-431E-95B3-8BA1629B9FE8}" name="Rules" dataDxfId="220"/>
  </tableColumns>
  <tableStyleInfo name="ncr_sty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702765D-FA57-463D-AB89-F7471991EC3E}" name="Table7" displayName="Table7" ref="A1:C60" totalsRowShown="0">
  <autoFilter ref="A1:C60" xr:uid="{4702765D-FA57-463D-AB89-F7471991EC3E}"/>
  <tableColumns count="3">
    <tableColumn id="1" xr3:uid="{A47A6153-3988-4AA2-9052-D9F0CE382717}" name="NCR Col" dataDxfId="219"/>
    <tableColumn id="2" xr3:uid="{823EAC09-E75B-47E8-945A-3B13287DE734}" name="PCI Registry" dataDxfId="218"/>
    <tableColumn id="3" xr3:uid="{09A2CD3C-BE90-4CC7-B1C9-4F1FE3C5032C}" name="Note" dataDxfId="217"/>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query__5" displayName="Table_query__5" ref="A1:AF163" tableType="queryTable" totalsRowShown="0" headerRowDxfId="180" dataDxfId="179">
  <tableColumns count="32">
    <tableColumn id="25" xr3:uid="{00000000-0010-0000-0000-000019000000}" uniqueName="25" name="Choices" queryTableFieldId="25" dataDxfId="178"/>
    <tableColumn id="26" xr3:uid="{00000000-0010-0000-0000-00001A000000}" uniqueName="26" name="Definition" queryTableFieldId="26" dataDxfId="177"/>
    <tableColumn id="5" xr3:uid="{00000000-0010-0000-0000-000005000000}" uniqueName="5" name="WAH System" queryTableFieldId="5" dataDxfId="176"/>
    <tableColumn id="27" xr3:uid="{00000000-0010-0000-0000-00001B000000}" uniqueName="27" name="Tab" queryTableFieldId="27" dataDxfId="175"/>
    <tableColumn id="1" xr3:uid="{7C9051BF-00D4-4847-8487-984B9AA0233E}" uniqueName="Title" name="Title" queryTableFieldId="42" dataDxfId="174"/>
    <tableColumn id="2" xr3:uid="{E676E9E1-FAE9-4A7E-A87B-FCB1DD6B715A}" uniqueName="NCR_x005f_x0020_Variable_x005f_x0020_ID" name="NCR Variable ID" queryTableFieldId="43" dataDxfId="173"/>
    <tableColumn id="3" xr3:uid="{F412B131-6A18-49D3-8B4B-E205A5ECD59B}" uniqueName="NCR_x005f_x0020_Field_x005f_x0020_Name" name="NCR Field Name" queryTableFieldId="44" dataDxfId="172"/>
    <tableColumn id="4" xr3:uid="{B84CB2A7-D151-476C-A730-42D2522D222D}" uniqueName="STEMI_x005f_x0020_ONLY_x005f_x003f_" name="STEMI ONLY?" queryTableFieldId="45" dataDxfId="171"/>
    <tableColumn id="6" xr3:uid="{E5EB59DB-4DE7-44B5-B6DC-68E79575C1CC}" uniqueName="Module" name="Module" queryTableFieldId="46" dataDxfId="170"/>
    <tableColumn id="7" xr3:uid="{0817C017-9553-462E-998C-0B6BBC10AE54}" uniqueName="Field_x005f_x0020_Name" name="Field Name" queryTableFieldId="47" dataDxfId="169"/>
    <tableColumn id="8" xr3:uid="{4AF4DEE3-F5EB-435C-A5E6-31F7FF275357}" uniqueName="RPH_x005f_x002f_FSH_x005f_x000a_Collection_x" name="RPH/FSHCollection Date" queryTableFieldId="48" dataDxfId="168"/>
    <tableColumn id="9" xr3:uid="{E7676024-A06A-4ECC-8BA0-3BED410B3BB0}" uniqueName="RPH_x005f_x002f_FSH_x005f_x0020_Collector" name="RPH/FSH Collector" queryTableFieldId="49" dataDxfId="167"/>
    <tableColumn id="10" xr3:uid="{31D31851-78F0-43FD-8965-8CC1A5E6A7FD}" uniqueName="SCGH_x005f_x000a_Collection_x005f_x0020_Date" name="SCGH_x000a_Collection Date" queryTableFieldId="50" dataDxfId="166"/>
    <tableColumn id="11" xr3:uid="{6C49633E-2FF0-4629-AB41-4F2BC677092E}" uniqueName="SCGH_x005f_x0020_Collector" name="SCGH Collector" queryTableFieldId="51" dataDxfId="165"/>
    <tableColumn id="12" xr3:uid="{1932590C-064F-41F4-A91A-E5D599BE666B}" uniqueName="NCR_x005f_x0020_1" name="NCR 1" queryTableFieldId="52" dataDxfId="164"/>
    <tableColumn id="13" xr3:uid="{F541DEB4-A60E-4FA6-BC44-A0E2BD3B3D44}" uniqueName="NCR_x005f_x0020_2" name="NCR 2" queryTableFieldId="53" dataDxfId="163"/>
    <tableColumn id="14" xr3:uid="{BDE4E7CE-7B84-44CE-8A46-DEFF6B5231BE}" uniqueName="NCR_x005f_x0020_3" name="NCR 3" queryTableFieldId="54" dataDxfId="162"/>
    <tableColumn id="15" xr3:uid="{ECA87530-D781-4542-8A4A-432090741E6E}" uniqueName="NCR_x005f_x0020_4" name="NCR 4" queryTableFieldId="55" dataDxfId="161"/>
    <tableColumn id="16" xr3:uid="{392D04E6-4394-4B23-8DFE-A495CB788EFC}" uniqueName="NCR_x005f_x0020_5" name="NCR 5" queryTableFieldId="56" dataDxfId="160"/>
    <tableColumn id="17" xr3:uid="{8F06C3DD-F5FC-46F9-B4CD-DB3CAFE4C6B5}" uniqueName="NCR_x005f_x0020_6" name="NCR 6" queryTableFieldId="57" dataDxfId="159"/>
    <tableColumn id="18" xr3:uid="{6C9F151A-CB2D-41B7-880C-40BC9223B298}" uniqueName="NCR_x005f_x0020_7" name="NCR 7" queryTableFieldId="58" dataDxfId="158"/>
    <tableColumn id="19" xr3:uid="{17F8F89D-3F3E-440E-940D-365F3F629F77}" uniqueName="NCR_x005f_x0020_8" name="NCR 8" queryTableFieldId="59" dataDxfId="157"/>
    <tableColumn id="20" xr3:uid="{210E70A8-5558-4F48-913B-A6F911EAF9B0}" uniqueName="NCR_x005f_x0020_9" name="NCR 9" queryTableFieldId="60" dataDxfId="156"/>
    <tableColumn id="21" xr3:uid="{73200FE3-8CCD-4E8C-B818-1E026DBF3411}" uniqueName="NCR_x005f_x0020_10" name="NCR 10" queryTableFieldId="61" dataDxfId="155"/>
    <tableColumn id="22" xr3:uid="{ACC6795F-5F68-4FB6-A41A-5501303ECF95}" uniqueName="NCR_x005f_x0020_11" name="NCR 11" queryTableFieldId="62" dataDxfId="154"/>
    <tableColumn id="23" xr3:uid="{6470E5A2-3498-4D8E-B224-50FE63A0962B}" uniqueName="23" name="Angioplasty Data Extract Export Column Name" queryTableFieldId="35" dataDxfId="153"/>
    <tableColumn id="24" xr3:uid="{588B62FB-8217-42DA-8872-9B7C1A8C9CEB}" uniqueName="24" name="Angioplasty Data Extract Export Column ID" queryTableFieldId="36" dataDxfId="152"/>
    <tableColumn id="28" xr3:uid="{C44C92D0-7AD9-4FF0-98D3-FEE4E9C38369}" uniqueName="28" name="NW Comments" queryTableFieldId="37" dataDxfId="151"/>
    <tableColumn id="29" xr3:uid="{043CE533-008A-4ABC-AFA3-1349777426A3}" uniqueName="29" name="Comments" queryTableFieldId="38" dataDxfId="150"/>
    <tableColumn id="30" xr3:uid="{5FCB2CF8-BC6F-4DD8-B41B-C1A477A7E350}" uniqueName="30" name="Field type" queryTableFieldId="39" dataDxfId="149"/>
    <tableColumn id="31" xr3:uid="{56CD9D5A-0323-4B5F-837C-4EAC6046B60D}" uniqueName="31" name="NCR Permitted Values" queryTableFieldId="40" dataDxfId="148"/>
    <tableColumn id="32" xr3:uid="{D0326D3B-BDDD-4355-B8B8-1CFD3CFEE8B4}" uniqueName="32" name="in_progress" queryTableFieldId="41" dataDxfId="14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76D3B2-EC93-4299-B087-1B3FA8DA3984}" name="wacor_data_dictionary" displayName="wacor_data_dictionary" ref="A6:AP212" totalsRowShown="0" headerRowDxfId="119" dataDxfId="118">
  <sortState xmlns:xlrd2="http://schemas.microsoft.com/office/spreadsheetml/2017/richdata2" ref="A7:AP212">
    <sortCondition ref="A6:A212"/>
  </sortState>
  <tableColumns count="42">
    <tableColumn id="1" xr3:uid="{B0A3E61B-0257-4F35-B99A-949C217BB36A}" name="field_id" dataDxfId="117"/>
    <tableColumn id="2" xr3:uid="{C5CCDC64-1E93-4658-836E-16E24BEDAFDC}" name="label" dataDxfId="116"/>
    <tableColumn id="3" xr3:uid="{E847AB91-58A2-4D39-A3FF-0A9FFB970558}" name="ncr_field" dataDxfId="115"/>
    <tableColumn id="4" xr3:uid="{B9E91F5D-E8B8-4EDF-A5B2-F192086A71BE}" name="wa_definition" dataDxfId="114"/>
    <tableColumn id="5" xr3:uid="{A203D040-3A45-4460-8313-103FD73A91FE}" name="ncr_question_and_supporting_definition" dataDxfId="113"/>
    <tableColumn id="6" xr3:uid="{1C2616E9-C323-4529-9233-E7E4080C3CF4}" name="ncr_comments" dataDxfId="112"/>
    <tableColumn id="7" xr3:uid="{BBBBB62E-66EA-42B6-B73C-371CCEB3518A}" name="format" dataDxfId="111"/>
    <tableColumn id="8" xr3:uid="{E62FCE35-444D-4A58-8370-5D89F81938DD}" name="permitted_values" dataDxfId="110"/>
    <tableColumn id="9" xr3:uid="{CE6CB3E2-B034-4E57-A104-D17D9166D03F}" name="range_(min)" dataDxfId="109"/>
    <tableColumn id="10" xr3:uid="{65FB6011-8F87-4E91-9A3C-1BC18EDAD460}" name="range_(max)" dataDxfId="108"/>
    <tableColumn id="11" xr3:uid="{8F5CD4F0-82BF-4B6D-8D48-F5B7746251CC}" name="definition_progress" dataDxfId="107"/>
    <tableColumn id="12" xr3:uid="{74B36EB9-A5F7-4178-BC82-809C0ACE5268}" name="guide_for_use" dataDxfId="106"/>
    <tableColumn id="13" xr3:uid="{80F7A879-F370-41AA-A7D9-44864E681ACF}" name="wa_development_comments" dataDxfId="105"/>
    <tableColumn id="32" xr3:uid="{A7AB88D4-1FA9-4B2B-AC33-3F2ECD75A6C9}" name="Query for Cardiologists" dataDxfId="104"/>
    <tableColumn id="14" xr3:uid="{45388DB2-E313-43B4-BA7D-A4E91DCD65F2}" name="ncr_required" dataDxfId="103"/>
    <tableColumn id="15" xr3:uid="{08E6B255-05FE-467E-A330-5E2D714BF9B5}" name="validations" dataDxfId="102"/>
    <tableColumn id="16" xr3:uid="{47B32E7E-9560-48E5-BADD-8AEB68FFA090}" name="collection_system(s)" dataDxfId="101">
      <calculatedColumnFormula>_xlfn.TEXTJOIN(", ",TRUE,wacor_data_dictionary[[#This Row],[Cardiobase Angioplasty]:[Development]])</calculatedColumnFormula>
    </tableColumn>
    <tableColumn id="25" xr3:uid="{07ECDA3D-6D4D-4AB5-BA74-1E7AAE5CDA0D}" name="Cardiobase Angioplasty" dataDxfId="100"/>
    <tableColumn id="24" xr3:uid="{688AE0F7-A73A-4D20-B1AC-8543592E6819}" name="Cardiobase RiskScore" dataDxfId="99"/>
    <tableColumn id="23" xr3:uid="{AFD2AE9E-A7B4-4B4D-8AA0-0E8EFE43F068}" name="HMDC" dataDxfId="98"/>
    <tableColumn id="26" xr3:uid="{EFF4562B-B5DB-492E-98A4-43E0388D600E}" name="EDDC" dataDxfId="97"/>
    <tableColumn id="27" xr3:uid="{0B13EB75-5323-4EAB-B838-422E55548429}" name="SJA (Ambulance)" dataDxfId="96"/>
    <tableColumn id="28" xr3:uid="{CBF1BDAB-4F7F-463D-A59C-10FCB22B677D}" name="HIH (Snowflake)" dataDxfId="95"/>
    <tableColumn id="29" xr3:uid="{68F91340-65F7-48B0-923A-F8DB522D0B2E}" name="Derived" dataDxfId="94"/>
    <tableColumn id="30" xr3:uid="{B2A0052C-62C9-4C4A-966E-9F7A8C873BF8}" name="Death Registry" dataDxfId="93"/>
    <tableColumn id="33" xr3:uid="{4C115C72-1C94-4095-87D7-4BB0E10E2959}" name="NACS" dataDxfId="92"/>
    <tableColumn id="42" xr3:uid="{0BD2BE9A-FFC1-4138-8B9D-3779ABAC3222}" name="PCI Redcap" dataDxfId="91"/>
    <tableColumn id="31" xr3:uid="{48F325C6-DFE4-4732-884D-81A90DC6A510}" name="Development" dataDxfId="90"/>
    <tableColumn id="17" xr3:uid="{D58921EF-DC27-4673-B881-7FC05089A099}" name="collection_method_status" dataDxfId="89"/>
    <tableColumn id="18" xr3:uid="{D46E5768-BEA6-41EF-8840-EF3C456F29A5}" name="meteor_reference" dataDxfId="88"/>
    <tableColumn id="19" xr3:uid="{B4227601-5578-4FB4-B98A-0AD83E0C841A}" name="wa_health_link" dataDxfId="87"/>
    <tableColumn id="20" xr3:uid="{67744608-BDEA-48D3-9411-85352B4907A8}" name="tranche" dataDxfId="86"/>
    <tableColumn id="21" xr3:uid="{752771FB-018C-489A-9C84-958A3572E00C}" name="date_submitted_ncr" dataDxfId="85"/>
    <tableColumn id="22" xr3:uid="{A46B212F-E8E8-4F15-A99A-789A69650A5A}" name="who" dataDxfId="84"/>
    <tableColumn id="40" xr3:uid="{EEE0824D-2B41-4A91-8020-706B3BD60618}" name="ColumnMerges" dataDxfId="83"/>
    <tableColumn id="34" xr3:uid="{960F6C79-CF5E-41B8-9520-4612E3DEF49D}" name="PCI Data Set" dataDxfId="82"/>
    <tableColumn id="35" xr3:uid="{BB275E5F-79B4-4476-A8DB-A620FF00DA7E}" name="Cardiovascular" dataDxfId="81"/>
    <tableColumn id="36" xr3:uid="{F1223000-8DD0-4205-9FED-02280B10E933}" name="Location" dataDxfId="80"/>
    <tableColumn id="37" xr3:uid="{53331073-1ED6-4E83-BA8C-137CE8515963}" name="Needed for indicator?" dataDxfId="79">
      <calculatedColumnFormula>IF(COUNTIF('NCR Indicators'!K:K,"*"&amp;wacor_data_dictionary[[#This Row],[field_id]]&amp;"*")&gt;=1,"Yes","No")</calculatedColumnFormula>
    </tableColumn>
    <tableColumn id="38" xr3:uid="{ADFF3D98-C41B-4D04-8B54-44B502A09CCE}" name="How is the column made?" dataDxfId="78"/>
    <tableColumn id="41" xr3:uid="{F2CEEB0A-EC4B-4D4D-8613-D34583B0E654}" name="NCR Grouping" dataDxfId="77"/>
    <tableColumn id="39" xr3:uid="{6F924DAF-4AFB-408D-B0A2-EC568E5B9365}" name="Column meets NCR comments and permitted values" dataDxfId="76"/>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581465-55CB-41AA-99EC-8A622A157E19}" name="Table8" displayName="Table8" ref="A1:C172" totalsRowShown="0" headerRowDxfId="75" dataDxfId="74">
  <autoFilter ref="A1:C172" xr:uid="{09581465-55CB-41AA-99EC-8A622A157E19}">
    <filterColumn colId="1">
      <filters>
        <filter val="A few cases are missing data"/>
        <filter val="Data collection error in Oct 2024"/>
        <filter val="Defaults to 00:00 when missing"/>
        <filter val="Low capture rate, most values will be missing"/>
        <filter val="Low capture rate, some values will be missing"/>
        <filter val="Only provided for Nov-Dec at RPH"/>
        <filter val="Relies on tso to calculate, some values will be missing"/>
      </filters>
    </filterColumn>
  </autoFilter>
  <sortState xmlns:xlrd2="http://schemas.microsoft.com/office/spreadsheetml/2017/richdata2" ref="A2:C172">
    <sortCondition ref="C1:C172"/>
  </sortState>
  <tableColumns count="3">
    <tableColumn id="1" xr3:uid="{66C40283-CDEA-40F5-956D-80565E422D39}" name="NCR Cols" dataDxfId="73"/>
    <tableColumn id="2" xr3:uid="{C039EABB-9424-40D9-96DB-B09510ACEC45}" name="Error Report notes" dataDxfId="72"/>
    <tableColumn id="5" xr3:uid="{E1190000-9970-496D-9954-DBF128EE0AE3}" name="Column1" dataDxfId="71"/>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7F9E9D96-5091-435A-9FDF-6909DB862645}" name="ncr_merged" displayName="ncr_merged" ref="A2:Z186" totalsRowShown="0" headerRowDxfId="70" dataDxfId="69">
  <sortState xmlns:xlrd2="http://schemas.microsoft.com/office/spreadsheetml/2017/richdata2" ref="A3:Z186">
    <sortCondition ref="Z3:Z186"/>
  </sortState>
  <tableColumns count="26">
    <tableColumn id="1" xr3:uid="{34A2DF42-4DC8-4E16-96DB-50330A79DA26}" name="source_tab" dataDxfId="68"/>
    <tableColumn id="2" xr3:uid="{36652AE9-9297-42F9-A310-BA1995767621}" name="column_name" dataDxfId="67"/>
    <tableColumn id="3" xr3:uid="{D225CE5C-83DD-4B47-8365-A71A64351859}" name="label" dataDxfId="66"/>
    <tableColumn id="9" xr3:uid="{C455EC03-878B-48E0-B47C-41C75A52FAB8}" name="permitted_values" dataDxfId="65"/>
    <tableColumn id="5" xr3:uid="{306A32E8-5577-4252-9CD7-C3982B3D318C}" name="required" dataDxfId="64"/>
    <tableColumn id="6" xr3:uid="{7A9E34D6-7691-4B56-AAC0-DDE6CFC60293}" name="comments" dataDxfId="63"/>
    <tableColumn id="8" xr3:uid="{56FCE2EB-E7D3-4D8D-9EA9-DF3238AD880A}" name="format" dataDxfId="62"/>
    <tableColumn id="10" xr3:uid="{ECE771D7-4884-41B2-9BB7-570E6B055B4F}" name="range_(min)" dataDxfId="61"/>
    <tableColumn id="11" xr3:uid="{8E96B2D0-568A-49C4-B2B7-A3329E2B8E35}" name="range_(max)" dataDxfId="60"/>
    <tableColumn id="12" xr3:uid="{8579D861-C631-4973-98E6-AB01EDB6F528}" name="validation_rule" dataDxfId="59"/>
    <tableColumn id="13" xr3:uid="{1009CF14-3C75-4715-AED1-15C2F00EA84E}" name="behaviour" dataDxfId="58"/>
    <tableColumn id="14" xr3:uid="{F365B51F-D847-4011-A857-6724E437E9E5}" name="exceptions" dataDxfId="57"/>
    <tableColumn id="15" xr3:uid="{28A353F6-4DA6-4D37-A19B-5B4F6B35F249}" name="column5" dataDxfId="56"/>
    <tableColumn id="16" xr3:uid="{055D5886-F077-40E6-B657-A4B0B11694D8}" name="qi_variable?" dataDxfId="55"/>
    <tableColumn id="17" xr3:uid="{6286903F-8649-4048-B972-D9DB2206D836}" name="question" dataDxfId="54"/>
    <tableColumn id="18" xr3:uid="{8A4A713D-FC85-4684-B628-C70DBFA78AB3}" name="supporting_definition" dataDxfId="53"/>
    <tableColumn id="19" xr3:uid="{B685E887-9F1C-45E5-BEEC-D07E6E9E11CA}" name="parent_/_child" dataDxfId="52"/>
    <tableColumn id="22" xr3:uid="{1C818680-DB49-4786-AF0A-B6B01E23B5C6}" name="parent_/child" dataDxfId="51"/>
    <tableColumn id="20" xr3:uid="{BD7DD4B5-B17B-48B4-A8D1-05ACC443B913}" name="warning_message__range" dataDxfId="50"/>
    <tableColumn id="21" xr3:uid="{16B50330-B060-4DCF-B944-A25FF7DA3524}" name="warning_message" dataDxfId="49"/>
    <tableColumn id="23" xr3:uid="{79B2C8EE-BD37-419E-9E51-5ACB72801D95}" name="column16" dataDxfId="48"/>
    <tableColumn id="24" xr3:uid="{397E6E61-7573-4A8E-BBD8-E54FAB130EA2}" name="column17" dataDxfId="47"/>
    <tableColumn id="25" xr3:uid="{671BBFF2-549C-4F13-A925-5152835963A8}" name="column18" dataDxfId="46"/>
    <tableColumn id="26" xr3:uid="{5CE196A2-473E-4D8C-BA3E-674321E719DE}" name="column19" dataDxfId="45"/>
    <tableColumn id="27" xr3:uid="{9FCE2E40-A349-4368-9662-7FA2F041789C}" name="column20" dataDxfId="44"/>
    <tableColumn id="7" xr3:uid="{CBEE7551-6573-40D0-B8F0-C88134677CC7}" name="Index" dataDxfId="43"/>
  </tableColumns>
  <tableStyleInfo name="ncr_style"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245F0D5-8355-45BA-BE3B-60797322056A}" name="Table1" displayName="Table1" ref="A1:H25" totalsRowShown="0" headerRowDxfId="15" dataDxfId="14">
  <autoFilter ref="A1:H25" xr:uid="{DD9433F0-7849-4A4E-B700-34A745348B90}"/>
  <tableColumns count="8">
    <tableColumn id="1" xr3:uid="{48001A04-2AB4-4A27-8B02-AD9D233F5E33}" name="tranche" dataDxfId="13"/>
    <tableColumn id="2" xr3:uid="{B286F7EB-EE88-4DEB-91F3-2921BFF95333}" name="field_id" dataDxfId="12"/>
    <tableColumn id="3" xr3:uid="{77A942F8-577C-4F20-81CF-E8AC40E10E77}" name="label" dataDxfId="11"/>
    <tableColumn id="4" xr3:uid="{CD31FD34-4BAC-438B-A3ED-1324D91FD36A}" name="Multiples" dataDxfId="10"/>
    <tableColumn id="5" xr3:uid="{A2BA6EAD-CFDE-42EC-8EC7-B2D3B7B21EBA}" name="Notes" dataDxfId="9"/>
    <tableColumn id="7" xr3:uid="{12482E70-4EE3-41E1-86EA-6712F9EB53ED}" name="Joined" dataDxfId="8"/>
    <tableColumn id="8" xr3:uid="{F07D996B-5A12-4170-B730-5FB6CFBE890C}" name="Column Name" dataDxfId="7" dataCellStyle="Normal 4"/>
    <tableColumn id="6" xr3:uid="{CD6EA9DE-B257-4378-8288-8F97B95B55AC}" name="Column1" dataDxfId="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B79B362-134E-4160-8738-2FB687810E9A}" name="Table4" displayName="Table4" ref="A1:AN44" totalsRowShown="0">
  <autoFilter ref="A1:AN44" xr:uid="{2B79B362-134E-4160-8738-2FB687810E9A}"/>
  <tableColumns count="40">
    <tableColumn id="1" xr3:uid="{33E8A5F8-9C78-4334-B96D-BA781FA2E462}" name="field_id"/>
    <tableColumn id="2" xr3:uid="{0CE53E0C-67FD-4F49-B33C-D239654952B4}" name="label"/>
    <tableColumn id="3" xr3:uid="{D77D3459-9E43-4C0F-80A0-D3B7F289084C}" name="ncr_field"/>
    <tableColumn id="4" xr3:uid="{4E0AD352-E251-4D98-AAD7-773865664A99}" name="wa_definition"/>
    <tableColumn id="5" xr3:uid="{24E79DFA-37A4-4633-AD72-C8583C65E898}" name="ncr_question_and_supporting_definition" dataDxfId="5"/>
    <tableColumn id="6" xr3:uid="{401FE803-EA14-4952-9880-7945FF80BADD}" name="ncr_comments" dataDxfId="4"/>
    <tableColumn id="7" xr3:uid="{F58BF51B-6B34-4D91-9F16-A0CAA2C1B2D6}" name="format"/>
    <tableColumn id="8" xr3:uid="{E60E4429-E5ED-4816-BE56-9E24610F5F3E}" name="permitted_values" dataDxfId="3"/>
    <tableColumn id="9" xr3:uid="{64DB012F-3D45-4D86-809A-392F5E75EB42}" name="range_(min)"/>
    <tableColumn id="10" xr3:uid="{019BBDF4-F467-4818-9B6D-362ABDA001D9}" name="range_(max)"/>
    <tableColumn id="11" xr3:uid="{4B4C14AC-F895-4BBC-9BB8-BCB20C90F8AF}" name="definition_progress"/>
    <tableColumn id="12" xr3:uid="{C7EE2949-B007-4C18-822D-C12065FF73BD}" name="guide_for_use"/>
    <tableColumn id="13" xr3:uid="{4F6723B6-F93D-445D-A88F-942EF78E5B70}" name="wa_development_comments"/>
    <tableColumn id="14" xr3:uid="{7F9CD27B-50AB-4C3E-A42A-C7F3BA5C3AEB}" name="Query for Cardiologists"/>
    <tableColumn id="15" xr3:uid="{BFC6C014-A3B7-4263-86A1-F7CE8C80B6CD}" name="ncr_required"/>
    <tableColumn id="16" xr3:uid="{9300908F-D170-4B77-A373-63B095AFC1D6}" name="validations"/>
    <tableColumn id="17" xr3:uid="{57506F1F-608C-408B-9E40-12486F39D231}" name="collection_system(s)"/>
    <tableColumn id="18" xr3:uid="{598FAC63-8327-4EA5-9552-021D11F1CCA1}" name="Cardiobase Angioplasty"/>
    <tableColumn id="19" xr3:uid="{AF25F45F-B210-435C-8710-BD292EC92F4E}" name="Cardiobase RiskScore"/>
    <tableColumn id="20" xr3:uid="{70C03505-BA13-4F08-8995-A09BE3670E9B}" name="HMDC"/>
    <tableColumn id="21" xr3:uid="{5E2D1909-7DCC-4F4F-B3C1-64A335AE3AD4}" name="EDDC"/>
    <tableColumn id="22" xr3:uid="{AF42029F-5A2C-4E3F-868B-98C17A7E3E88}" name="SJA (Ambulance)"/>
    <tableColumn id="23" xr3:uid="{CA5BE696-6FA9-422B-8437-5F67B7DFBF67}" name="HIH (Snowflake)"/>
    <tableColumn id="24" xr3:uid="{5682C8AE-D801-4EB6-8B06-C643E86649DA}" name="Derived"/>
    <tableColumn id="25" xr3:uid="{2BB58577-A2AB-4DF0-B9A0-6A95E8BDAB6C}" name="Death Registry"/>
    <tableColumn id="26" xr3:uid="{92288CD4-F04B-41F5-B1BD-70BBBA4D6F0D}" name="NACS"/>
    <tableColumn id="27" xr3:uid="{340D8C4A-C6B3-4413-A81F-6EB571EBCF52}" name="Development"/>
    <tableColumn id="28" xr3:uid="{C660306D-BC91-46CF-B653-50B828DFAA6D}" name="collection_method_status"/>
    <tableColumn id="29" xr3:uid="{8617DDFA-308A-43A4-B1D2-47A44117F060}" name="meteor_reference"/>
    <tableColumn id="30" xr3:uid="{5F0BB65A-B4BC-4FB4-93AC-9BD2F88F738B}" name="wa_health_link"/>
    <tableColumn id="31" xr3:uid="{DEDEE7FB-F2C8-48F7-B087-5F3F16070CE0}" name="tranche"/>
    <tableColumn id="32" xr3:uid="{D2576D0B-BBB4-415E-AA9D-EB46CA799BB3}" name="date_submitted_ncr"/>
    <tableColumn id="33" xr3:uid="{8EECDEE2-DC4A-4B38-89FC-986FE3658E96}" name="who"/>
    <tableColumn id="34" xr3:uid="{9C1063A4-C87B-4741-90B5-EEB6C15B5DC7}" name="ColumnMerges"/>
    <tableColumn id="35" xr3:uid="{C38D4BB1-6B81-497E-9BE5-ED713B953DAA}" name="PCI Data Set"/>
    <tableColumn id="36" xr3:uid="{883DC646-7996-4CEE-AF0F-EE65EDF490D7}" name="Cardiovascular"/>
    <tableColumn id="37" xr3:uid="{0B40A35F-5F23-47AF-86B3-61FD249CEDC2}" name="Location"/>
    <tableColumn id="38" xr3:uid="{030256C9-9413-48B2-BF94-9C1F3FAFAC83}" name="Needed for indicator?"/>
    <tableColumn id="39" xr3:uid="{E098A87E-5B3F-422D-B573-3625536065E7}" name="How is the column made?"/>
    <tableColumn id="40" xr3:uid="{ECB809E6-B171-4481-A325-068395E1E694}" name="Column meets NCR comments and permitted valu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CE0AD8E-4D77-4B95-9F12-E0A761828C19}" name="Table5" displayName="Table5" ref="A1:AN44" totalsRowShown="0">
  <autoFilter ref="A1:AN44" xr:uid="{0CE0AD8E-4D77-4B95-9F12-E0A761828C19}"/>
  <tableColumns count="40">
    <tableColumn id="1" xr3:uid="{8793DB1D-A8E5-491A-BCEA-2960BA51959C}" name="field_id"/>
    <tableColumn id="2" xr3:uid="{D6E1D988-E30F-47F1-9FF7-E6FD2C0FB584}" name="label"/>
    <tableColumn id="3" xr3:uid="{9A41CF16-03C2-47C7-8BE0-915C1749E06C}" name="ncr_field"/>
    <tableColumn id="4" xr3:uid="{CC7D084C-FA58-49AE-B4BC-1A72C1482493}" name="wa_definition"/>
    <tableColumn id="5" xr3:uid="{04D942D4-4A63-44E7-815A-D50EB104C75E}" name="ncr_question_and_supporting_definition" dataDxfId="2"/>
    <tableColumn id="6" xr3:uid="{95183D7B-EC11-4C3A-9A70-EDF9D77689D7}" name="ncr_comments" dataDxfId="1"/>
    <tableColumn id="7" xr3:uid="{C7A8B454-07FA-4F70-B483-FEF25259D8AC}" name="format"/>
    <tableColumn id="8" xr3:uid="{17D63072-8EED-4CF9-A7A1-04FBDCA52BB2}" name="permitted_values" dataDxfId="0"/>
    <tableColumn id="9" xr3:uid="{3D6D78B0-ADA8-47B1-8C3E-BA7A4A9A30AE}" name="range_(min)"/>
    <tableColumn id="10" xr3:uid="{403D9E1C-8052-4B05-85AB-005E10D9B0FE}" name="range_(max)"/>
    <tableColumn id="11" xr3:uid="{AC2C35EB-7B7D-435A-89AF-7308C3A8788C}" name="definition_progress"/>
    <tableColumn id="12" xr3:uid="{72BEF087-72F1-443F-BA07-C1CEEB78C4F1}" name="guide_for_use"/>
    <tableColumn id="13" xr3:uid="{1BCB4C96-77A3-4A88-AE5A-5A88D5CA18D8}" name="wa_development_comments"/>
    <tableColumn id="14" xr3:uid="{EFE59A58-4994-49BE-908B-3BD192454044}" name="Query for Cardiologists"/>
    <tableColumn id="15" xr3:uid="{7C0032D5-CDBB-42FE-8983-BA8585931E85}" name="ncr_required"/>
    <tableColumn id="16" xr3:uid="{41DA9577-B13F-4940-BB2E-19FCCF47494C}" name="validations"/>
    <tableColumn id="17" xr3:uid="{9C2EEFED-0C9A-45F2-8FE8-7CE12E4AAE6D}" name="collection_system(s)"/>
    <tableColumn id="18" xr3:uid="{8C8257D5-DEED-4504-9533-B5D78123E259}" name="Cardiobase Angioplasty"/>
    <tableColumn id="19" xr3:uid="{D21CE3FE-8E2B-440F-8DF4-20E096CAD488}" name="Cardiobase RiskScore"/>
    <tableColumn id="20" xr3:uid="{B5F2FC40-0331-4598-A10A-7A502688FCA7}" name="HMDC"/>
    <tableColumn id="21" xr3:uid="{02567C79-04F0-4168-912D-705FFEC9A1F3}" name="EDDC"/>
    <tableColumn id="22" xr3:uid="{5D2509D8-4AFA-4047-81D1-CF337DB178BB}" name="SJA (Ambulance)"/>
    <tableColumn id="23" xr3:uid="{809B359E-C02E-452E-9F0B-C4F6E73E9400}" name="HIH (Snowflake)"/>
    <tableColumn id="24" xr3:uid="{9AA53DCD-2CF9-4DF1-9CBD-2CA44B68CCD5}" name="Derived"/>
    <tableColumn id="25" xr3:uid="{AF775AEB-9766-4300-9421-AAFAA4C67CEE}" name="Death Registry"/>
    <tableColumn id="26" xr3:uid="{7078C725-AFC7-49B9-91FA-6FC469F7B633}" name="NACS"/>
    <tableColumn id="27" xr3:uid="{553E25E9-C3F0-49DA-A9C5-F84EEDD7B047}" name="Development"/>
    <tableColumn id="28" xr3:uid="{543C4E91-E34B-405F-BBA6-AEA593B4F9D5}" name="collection_method_status"/>
    <tableColumn id="29" xr3:uid="{16F28A56-0B7C-4B0A-B71A-ED13DD17B1DC}" name="meteor_reference"/>
    <tableColumn id="30" xr3:uid="{8F5301CB-8BA3-4439-82E3-40A4A3455891}" name="wa_health_link"/>
    <tableColumn id="31" xr3:uid="{EA7642E4-3985-4F6C-B56F-9F99537C485A}" name="tranche"/>
    <tableColumn id="32" xr3:uid="{1FB7965E-815B-402E-B5AB-1BA7857E4DE2}" name="date_submitted_ncr"/>
    <tableColumn id="33" xr3:uid="{AF6BB878-CE08-47DF-83F9-49E1C550321F}" name="who"/>
    <tableColumn id="34" xr3:uid="{217AB1E6-F10D-43F0-A1CB-4AEF7894060F}" name="ColumnMerges"/>
    <tableColumn id="35" xr3:uid="{1D4868E7-E4FC-45CE-B7D2-7D8D0230DE56}" name="PCI Data Set"/>
    <tableColumn id="36" xr3:uid="{2C346814-6EA4-404E-8D0C-E5F62A8D5CF5}" name="Cardiovascular"/>
    <tableColumn id="37" xr3:uid="{BF57622B-083D-4E7F-AFD0-745DA950AD9E}" name="Location"/>
    <tableColumn id="38" xr3:uid="{B70F654A-3992-4B32-B868-90A75010F18C}" name="Needed for indicator?"/>
    <tableColumn id="39" xr3:uid="{D921A045-7D41-4885-B130-E83703879CF0}" name="How is the column made?"/>
    <tableColumn id="40" xr3:uid="{3B529D60-4292-4115-B0E1-97EA5C89BDDE}" name="Column meets NCR comments and permitted values"/>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6" dT="2022-07-31T08:19:10.96" personId="{6A28A37B-A44B-4A07-ABB3-22278F5F8A12}" id="{1A84D3FE-88DC-40F3-80A6-ABF1AEFDEB2A}">
    <text>Include a clear definitionw without repeating the data element itself.</text>
  </threadedComment>
  <threadedComment ref="O6" dT="2022-08-05T05:26:56.33" personId="{6A28A37B-A44B-4A07-ABB3-22278F5F8A12}" id="{32144F28-5FD1-4586-A24C-F23AACFC5168}">
    <text>this column could be optional? moved to another sheet?</text>
  </threadedComment>
  <threadedComment ref="P6" dT="2022-08-05T05:44:15.65" personId="{6A28A37B-A44B-4A07-ABB3-22278F5F8A12}" id="{D5082EB7-6CE5-4D0D-9690-0408AA249BDF}">
    <text>Shall we split? into ncr data validations and wacor validations</text>
  </threadedComment>
  <threadedComment ref="Q6" dT="2022-07-31T09:54:19.79" personId="{6A28A37B-A44B-4A07-ABB3-22278F5F8A12}" id="{00C1947B-755E-4004-A0EC-F183854A3599}">
    <text>e.g. hmds (view &amp; data item name), HIH (table name &amp; data item name), cardiobase (module name, field name)</text>
  </threadedComment>
  <threadedComment ref="AD6" dT="2022-08-02T02:49:41.67" personId="{6A28A37B-A44B-4A07-ABB3-22278F5F8A12}" id="{C0D6D300-3030-4151-A416-C8CA5248F3E0}">
    <text>six digit number reference for Meteor</text>
  </threadedComment>
  <threadedComment ref="AE6" dT="2022-08-02T02:51:43.58" personId="{6A28A37B-A44B-4A07-ABB3-22278F5F8A12}" id="{77D46ABB-E930-4AE0-919C-165E46B98F9F}">
    <text>Include link to data dictionary or existing references (where it exists)</text>
  </threadedComment>
  <threadedComment ref="M36" dT="2022-08-23T07:37:30.48" personId="{5A40EB21-9CD8-43BE-8D47-33CCB2C2B46D}" id="{18BE8E7F-6F11-41B0-80E8-D9930DB0717E}" done="1">
    <text>@Gillett, Richard NCR 2021 Information Release - dap = ( Cardiobase.[TOTAL_DOSE] / 1000 )</text>
    <mentions>
      <mention mentionpersonId="{60F2DDD5-3D1F-4678-846B-A76C4D23B098}" mentionId="{E678C937-07D0-4485-B471-A3B562EA5705}" startIndex="0" length="17"/>
    </mentions>
  </threadedComment>
  <threadedComment ref="M37" dT="2022-08-23T07:32:45.34" personId="{5A40EB21-9CD8-43BE-8D47-33CCB2C2B46D}" id="{E3F6289C-7A83-4B1B-A359-40016FA5B540}">
    <text>@Gillett, Richard does HIH include all drugs prescribed or only dispensed (in hospital)?</text>
    <mentions>
      <mention mentionpersonId="{60F2DDD5-3D1F-4678-846B-A76C4D23B098}" mentionId="{AF9FC7AC-AE76-4039-9A74-3CF0E74B6910}" startIndex="0" length="17"/>
    </mentions>
  </threadedComment>
  <threadedComment ref="M37" dT="2022-10-07T01:03:46.45" personId="{6A28A37B-A44B-4A07-ABB3-22278F5F8A12}" id="{72DB7B77-359E-4285-BC9C-98AB70E85475}" parentId="{E3F6289C-7A83-4B1B-A359-40016FA5B540}">
    <text>@Weber, Ben  I think @Lee, Alex is better placed to answer this one :-)</text>
    <mentions>
      <mention mentionpersonId="{29CE2F96-9689-4429-B332-7E90F142CFE3}" mentionId="{415A5A44-B51D-4088-AFF6-5E9C02DA32BD}" startIndex="0" length="11"/>
      <mention mentionpersonId="{35288A1A-E218-41FD-B8D5-8937FB53E141}" mentionId="{034D930F-4B23-4990-9A45-D939FCA30160}" startIndex="21" length="10"/>
    </mentions>
  </threadedComment>
  <threadedComment ref="M37" dT="2022-10-07T01:15:26.02" personId="{4B843D90-E8F0-4801-9E0D-74AD3A68EEB1}" id="{30BDF107-3505-4318-90DA-66B6EADF3D3D}" parentId="{E3F6289C-7A83-4B1B-A359-40016FA5B540}">
    <text>I just had a quick look at HIH, and I figure that it has both information. So far I only explore medications that are dispensed in hospital. There is also a table in HIH called 'PERSISTENT_CIM_MEDICATIONPRESCRIPTION' - pretty self-explanatory, but I have not verified its relationship with the discharge summary main table.</text>
  </threadedComment>
  <threadedComment ref="M46" dT="2022-08-23T07:34:09.92" personId="{5A40EB21-9CD8-43BE-8D47-33CCB2C2B46D}" id="{3EB7C014-C36C-4BB2-BBB6-3512DF49E52B}">
    <text>@Gillett, Richard HMDC . [mode_of_separation] may help but this will require further work / use in conjunction with other sources</text>
    <mentions>
      <mention mentionpersonId="{60F2DDD5-3D1F-4678-846B-A76C4D23B098}" mentionId="{CD4EE5F7-FEF4-41D6-B0F0-812EBF5CDD7B}" startIndex="0" length="17"/>
    </mentions>
  </threadedComment>
  <threadedComment ref="M46" dT="2022-09-06T09:15:13.17" personId="{6A28A37B-A44B-4A07-ABB3-22278F5F8A12}" id="{B2B72308-6F4A-4F5E-AAC0-2C61D9DA064B}" parentId="{3EB7C014-C36C-4BB2-BBB6-3512DF49E52B}">
    <text>sure, there are fields in HMDS which specify the onward location, @McMahon, Denise I think you know these off the top of your head - could you update the development comments ? Thanks Denise.</text>
    <mentions>
      <mention mentionpersonId="{7C536178-6F98-4DCB-AFDB-51F522C4670D}" mentionId="{8B98F34D-6302-4203-A8DD-4ADA6FE02B27}" startIndex="66" length="16"/>
    </mentions>
  </threadedComment>
  <threadedComment ref="M50" dT="2022-08-23T07:36:19.64" personId="{5A40EB21-9CD8-43BE-8D47-33CCB2C2B46D}" id="{4D98E14C-4F67-4B23-9DE9-926DB2A13E0A}">
    <text>@Gillett, Richard NW's original mapping suggested NACS.
HMDC.[separation_date] in conjunction with HMDC.[mode_of_separation] may help?</text>
    <mentions>
      <mention mentionpersonId="{60F2DDD5-3D1F-4678-846B-A76C4D23B098}" mentionId="{4B6D61EA-3A80-4D1E-8387-C5657298B164}" startIndex="0" length="17"/>
    </mentions>
  </threadedComment>
  <threadedComment ref="M50" dT="2022-09-14T01:37:53.49" personId="{6A28A37B-A44B-4A07-ABB3-22278F5F8A12}" id="{9DEFB631-320C-4A18-A516-CDBB262CB86A}" parentId="{4D98E14C-4F67-4B23-9DE9-926DB2A13E0A}">
    <text>@Weber, Ben This is separation date from HMDS - for my reading of the defiinition.</text>
    <mentions>
      <mention mentionpersonId="{29CE2F96-9689-4429-B332-7E90F142CFE3}" mentionId="{211EE063-2CA4-4391-9D15-EAC6399F122E}" startIndex="0" length="11"/>
    </mentions>
  </threadedComment>
  <threadedComment ref="M75" dT="2022-08-23T07:35:01.14" personId="{5A40EB21-9CD8-43BE-8D47-33CCB2C2B46D}" id="{BFAF3BFE-F41A-49F3-A5CD-5B0A5908B927}" done="1">
    <text>@Gillett, Richard NW's original mapping suggested NACS</text>
    <mentions>
      <mention mentionpersonId="{60F2DDD5-3D1F-4678-846B-A76C4D23B098}" mentionId="{B7319F93-ACF2-4A31-9A17-120027F2B499}" startIndex="0" length="17"/>
    </mentions>
  </threadedComment>
  <threadedComment ref="M76" dT="2022-09-01T05:00:22.47" personId="{2B5A71B8-4E26-412B-A676-54D32E72616C}" id="{96AA0199-729B-44AE-AEB5-8309DEC89A4C}">
    <text>@Weber, Ben to clarify with NCR</text>
    <mentions>
      <mention mentionpersonId="{29CE2F96-9689-4429-B332-7E90F142CFE3}" mentionId="{7C19DCA3-D90F-486E-A3B1-99493325E999}" startIndex="0" length="11"/>
    </mentions>
  </threadedComment>
  <threadedComment ref="AH88" dT="2023-03-29T09:18:32.41" personId="{6A28A37B-A44B-4A07-ABB3-22278F5F8A12}" id="{5FA1DC1C-48F2-41D7-89E5-7DE644C355E1}">
    <text>@Weber, Ben woudl you check the mapping for this one (I get a value of 4 coming through, but the NCR doesn't allow this value), if you could edit the dataflow/ETL that would be great.</text>
    <mentions>
      <mention mentionpersonId="{29CE2F96-9689-4429-B332-7E90F142CFE3}" mentionId="{BACB0CD1-7708-408D-9756-CD1562639A1A}" startIndex="0" length="11"/>
    </mentions>
  </threadedComment>
  <threadedComment ref="AH88" dT="2023-03-30T01:14:32.64" personId="{5A40EB21-9CD8-43BE-8D47-33CCB2C2B46D}" id="{FDC5201B-CF74-436D-B1A7-87580ED96EFE}" parentId="{5FA1DC1C-48F2-41D7-89E5-7DE644C355E1}">
    <text>mapping table HMDC_Indigenous_Status_inds.xlsx (sharepoint.com) not currently referenced</text>
    <extLst>
      <x:ext xmlns:xltc2="http://schemas.microsoft.com/office/spreadsheetml/2020/threadedcomments2" uri="{F7C98A9C-CBB3-438F-8F68-D28B6AF4A901}">
        <xltc2:checksum>3221589583</xltc2:checksum>
        <xltc2:hyperlink startIndex="14" length="49" url="https://wahealthdept.sharepoint.com/:x:/r/sites/WACardiacOutcomeRegistry/_layouts/15/Doc.aspx?sourcedoc=%7BB7474803-D2D7-4DFD-BCF1-A8D84EF3C087%7D&amp;file=HMDC_Indigenous_Status_inds.xlsx&amp;action=default&amp;mobileredirect=true"/>
      </x:ext>
    </extLst>
  </threadedComment>
  <threadedComment ref="M93" dT="2022-08-23T07:40:24.73" personId="{5A40EB21-9CD8-43BE-8D47-33CCB2C2B46D}" id="{EAA3F177-EB8A-44BA-9986-3F220F7C8C23}" done="1">
    <text>@Gillett, Richard NCR 2021 Information Release - mapped to Cardiobase.[Lesion Site]</text>
    <mentions>
      <mention mentionpersonId="{60F2DDD5-3D1F-4678-846B-A76C4D23B098}" mentionId="{3927BA92-6277-411A-A5F9-150CA8F09261}" startIndex="0" length="17"/>
    </mentions>
  </threadedComment>
  <threadedComment ref="M95" dT="2022-08-23T07:39:04.78" personId="{5A40EB21-9CD8-43BE-8D47-33CCB2C2B46D}" id="{AC52FDA9-BF4D-4EE1-8511-CE7B41509ED6}">
    <text>@Gillett, Richard Cardiobase.[Stents Deployed] identified as potential alternative source? Requires mapping/review</text>
    <mentions>
      <mention mentionpersonId="{60F2DDD5-3D1F-4678-846B-A76C4D23B098}" mentionId="{CEB4E25D-5ABA-459A-996F-419CB8C8E85F}" startIndex="0" length="17"/>
    </mentions>
  </threadedComment>
  <threadedComment ref="M95" dT="2022-08-23T08:22:20.11" personId="{6A28A37B-A44B-4A07-ABB3-22278F5F8A12}" id="{EB352172-322F-4B86-9163-F7D5B8871023}" parentId="{AC52FDA9-BF4D-4EE1-8511-CE7B41509ED6}">
    <text>Sure, that's something we can definitely look at with input from the clinical teams.  Let's set something up to confirm (noting that the definitions allow for mixed here).</text>
  </threadedComment>
  <threadedComment ref="M151" dT="2022-09-28T06:34:58.68" personId="{F2466528-7F1E-43CF-8C53-242994614404}" id="{EE664CCA-30BB-4238-AFA3-C7D7EACD39CF}">
    <text>@McMahon, Denise Not sure what procedure codes should be selected to flag for PVD1. All procedure codes relating to episodes where the ICD-10 PVD code is present can be found in the link below. Happy to just search for key terms rather than list all procedure codes too.</text>
    <mentions>
      <mention mentionpersonId="{7C536178-6F98-4DCB-AFDB-51F522C4670D}" mentionId="{74956E0C-C109-461F-BEAF-CA9D1CCC16B2}" startIndex="0" length="16"/>
    </mentions>
  </threadedComment>
  <threadedComment ref="M151" dT="2022-09-28T06:35:02.76" personId="{F2466528-7F1E-43CF-8C53-242994614404}" id="{BDA3B705-29DB-4C02-A769-F7501462D3F2}" parentId="{EE664CCA-30BB-4238-AFA3-C7D7EACD39CF}">
    <text>https://wahealthdept.sharepoint.com/:x:/r/sites/WACardiacOutcomeRegistry/Shared%20Documents/01%20Starting%20up%20a%20project/06%20Metadata/02%20WACOR/02%20WACOR%20data%20dictionary/etl07xx/icd_achi_mapping.xlsx?d=web8725d8925649f5aa14f09485db30ce&amp;csf=1&amp;web=1&amp;e=lcKAax</text>
  </threadedComment>
  <threadedComment ref="M152" dT="2022-10-07T03:13:11.39" personId="{1E6394EA-80EA-45D1-99BA-2C6879023A5C}" id="{AA0DD919-2497-4768-A9B8-1631C47D94DB}">
    <text>@Li, Peter I have added some T codes here (and in 21 above) +removed R02, to account for complications of surgery for PVD which may accompany reoperations / revisions.  Also added two additional reoperation procedure codes.</text>
    <mentions>
      <mention mentionpersonId="{88A7E721-9BB2-489E-B70C-5E428B5A8471}" mentionId="{5CA1AD35-F0C9-4C16-947D-0174848AD924}" startIndex="0" length="10"/>
    </mentions>
  </threadedComment>
  <threadedComment ref="M152" dT="2022-10-10T03:21:36.02" personId="{F2466528-7F1E-43CF-8C53-242994614404}" id="{2469EF41-6204-45C2-B6DD-7AE00A102275}" parentId="{AA0DD919-2497-4768-A9B8-1631C47D94DB}">
    <text>@McMahon, Denise Thanks. Just wanted to double check that PVD diagnoses are only related to those with the "I" codes? Are the "T" codes secondary diagnoses, where the presence of them does not necessarily mean PVD? May need to chat through to get my understanding right!</text>
    <mentions>
      <mention mentionpersonId="{64914525-8249-4887-9809-66A0E57D569C}" mentionId="{DDF6BC0D-CF96-4A07-9C11-EDA6BF20F6B5}" startIndex="0" length="16"/>
    </mentions>
  </threadedComment>
  <threadedComment ref="M152" dT="2022-10-10T05:31:24.48" personId="{1E6394EA-80EA-45D1-99BA-2C6879023A5C}" id="{D7BA3E20-5844-4AA6-B42D-64752125C6F7}" parentId="{AA0DD919-2497-4768-A9B8-1631C47D94DB}">
    <text xml:space="preserve">Yes I will need to remove them as it wouldnt indicate necessarily a diagnosis of PVD.   Sorry
</text>
  </threadedComment>
  <threadedComment ref="M174" dT="2022-08-23T07:37:56.61" personId="{5A40EB21-9CD8-43BE-8D47-33CCB2C2B46D}" id="{585FBDE2-5DD5-430B-BA13-12E89B4FC77A}" done="1">
    <text>@Gillett, Richard @Gillett, Richard NCR 2021 Information Release - tft = ( Cardiobase.[Procedure Time] )</text>
    <mentions>
      <mention mentionpersonId="{60F2DDD5-3D1F-4678-846B-A76C4D23B098}" mentionId="{EFE8FFC2-312F-4F9D-A4B3-9E3C63E2C651}" startIndex="0" length="17"/>
    </mentions>
  </threadedComment>
  <threadedComment ref="M210" dT="2022-08-23T07:41:48.19" personId="{5A40EB21-9CD8-43BE-8D47-33CCB2C2B46D}" id="{A82E1D9C-A388-4B54-BA36-58E54D7A2823}">
    <text>@Gillett, Richard NW mapping suggests Cardiobase.[IABP] (checkbox) - would require discussion/agreement for consistent use</text>
    <mentions>
      <mention mentionpersonId="{60F2DDD5-3D1F-4678-846B-A76C4D23B098}" mentionId="{2C3C0042-A968-477C-BCC7-05E2D49D61CF}" startIndex="0" length="17"/>
    </mentions>
  </threadedComment>
  <threadedComment ref="M210" dT="2022-08-23T08:20:34.85" personId="{6A28A37B-A44B-4A07-ABB3-22278F5F8A12}" id="{6ACE8D55-78CB-44AB-919E-B549326A5916}" parentId="{A82E1D9C-A388-4B54-BA36-58E54D7A2823}">
    <text>Sure: the definition appears to refer to four categories of which IABP is one.  Looks like we can source that from cardiobase.  I'm not sure which device(s) are used across our cath labs here in WA, so it would be great to get engagement and input from all the sites.</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8" Type="http://schemas.openxmlformats.org/officeDocument/2006/relationships/hyperlink" Target="https://meteor.aihw.gov.au/content/702085" TargetMode="External"/><Relationship Id="rId13" Type="http://schemas.openxmlformats.org/officeDocument/2006/relationships/hyperlink" Target="https://meteor.aihw.gov.au/content/344424" TargetMode="External"/><Relationship Id="rId18" Type="http://schemas.openxmlformats.org/officeDocument/2006/relationships/hyperlink" Target="https://app.powerbi.com/groups/b0065c51-f5e9-4087-a4b2-346df5f00f13/list" TargetMode="External"/><Relationship Id="rId26" Type="http://schemas.microsoft.com/office/2017/10/relationships/threadedComment" Target="../threadedComments/threadedComment1.xml"/><Relationship Id="rId3" Type="http://schemas.openxmlformats.org/officeDocument/2006/relationships/hyperlink" Target="https://view.officeapps.live.com/op/view.aspx?src=https%3A%2F%2Fwww.datalinkage-wa.org.au%2Fwp-content%2Fuploads%2F2020%2F08%2FData-Dictionary-Emergency-Department.docx&amp;wdOrigin=BROWSELINK" TargetMode="External"/><Relationship Id="rId21" Type="http://schemas.openxmlformats.org/officeDocument/2006/relationships/vmlDrawing" Target="../drawings/vmlDrawing1.vml"/><Relationship Id="rId7" Type="http://schemas.openxmlformats.org/officeDocument/2006/relationships/hyperlink" Target="https://meteor.aihw.gov.au/content/493975" TargetMode="External"/><Relationship Id="rId12" Type="http://schemas.openxmlformats.org/officeDocument/2006/relationships/hyperlink" Target="https://meteor.aihw.gov.au/content/270236" TargetMode="External"/><Relationship Id="rId17" Type="http://schemas.openxmlformats.org/officeDocument/2006/relationships/hyperlink" Target="https://app.powerbi.com/groups/8d11fde6-f28f-49ce-b653-2426f100e234/list" TargetMode="External"/><Relationship Id="rId25" Type="http://schemas.openxmlformats.org/officeDocument/2006/relationships/comments" Target="../comments1.xml"/><Relationship Id="rId2" Type="http://schemas.openxmlformats.org/officeDocument/2006/relationships/hyperlink" Target="https://view.officeapps.live.com/op/view.aspx?src=https%3A%2F%2Fwww.datalinkage-wa.org.au%2Fwp-content%2Fuploads%2F2020%2F08%2FData-Dictionary-Emergency-Department.docx&amp;wdOrigin=BROWSELINK" TargetMode="External"/><Relationship Id="rId16" Type="http://schemas.openxmlformats.org/officeDocument/2006/relationships/hyperlink" Target="https://meteor.aihw.gov.au/content/347829" TargetMode="External"/><Relationship Id="rId20" Type="http://schemas.openxmlformats.org/officeDocument/2006/relationships/drawing" Target="../drawings/drawing4.xml"/><Relationship Id="rId1" Type="http://schemas.openxmlformats.org/officeDocument/2006/relationships/hyperlink" Target="https://ww2.health.wa.gov.au/-/media/Corp/Policy-Frameworks/Information-Management/Patient%20Activity%20Data/Supporting/Emergency-Department-Data-Collection-Data-Dictionary-2022.pdf" TargetMode="External"/><Relationship Id="rId6" Type="http://schemas.openxmlformats.org/officeDocument/2006/relationships/hyperlink" Target="https://meteor.aihw.gov.au/content/746669" TargetMode="External"/><Relationship Id="rId11" Type="http://schemas.openxmlformats.org/officeDocument/2006/relationships/hyperlink" Target="https://meteor.aihw.gov.au/content/270194" TargetMode="External"/><Relationship Id="rId24" Type="http://schemas.openxmlformats.org/officeDocument/2006/relationships/table" Target="../tables/table4.xml"/><Relationship Id="rId5" Type="http://schemas.openxmlformats.org/officeDocument/2006/relationships/hyperlink" Target="https://meteor.aihw.gov.au/content/602543" TargetMode="External"/><Relationship Id="rId15" Type="http://schemas.openxmlformats.org/officeDocument/2006/relationships/hyperlink" Target="https://meteor.aihw.gov.au/content/646025" TargetMode="External"/><Relationship Id="rId23" Type="http://schemas.openxmlformats.org/officeDocument/2006/relationships/ctrlProp" Target="../ctrlProps/ctrlProp2.xml"/><Relationship Id="rId10" Type="http://schemas.openxmlformats.org/officeDocument/2006/relationships/hyperlink" Target="https://meteor.aihw.gov.au/content/303794" TargetMode="External"/><Relationship Id="rId19" Type="http://schemas.openxmlformats.org/officeDocument/2006/relationships/printerSettings" Target="../printerSettings/printerSettings5.bin"/><Relationship Id="rId4" Type="http://schemas.openxmlformats.org/officeDocument/2006/relationships/hyperlink" Target="https://meteor.aihw.gov.au/content/291045" TargetMode="External"/><Relationship Id="rId9" Type="http://schemas.openxmlformats.org/officeDocument/2006/relationships/hyperlink" Target="https://meteor.aihw.gov.au/content/270361" TargetMode="External"/><Relationship Id="rId14" Type="http://schemas.openxmlformats.org/officeDocument/2006/relationships/hyperlink" Target="https://meteor.aihw.gov.au/content/696056" TargetMode="External"/><Relationship Id="rId22" Type="http://schemas.openxmlformats.org/officeDocument/2006/relationships/ctrlProp" Target="../ctrlProps/ctrlProp1.xml"/><Relationship Id="rId27" Type="http://schemas.microsoft.com/office/2019/04/relationships/namedSheetView" Target="../namedSheetViews/namedSheetView1.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wahealthdept.sharepoint.com/:x:/r/sites/WACardiacOutcomeRegistry/Shared%20Documents/02%20Project%20Initiation/03%20Current%20State/Data%20Mapping/WACOR%20Data%20Mapping%20Plan%2020201126.xlsx?d=w54774bb9ced94f14ad93896cde55e86f&amp;csf=1&amp;web=1&amp;e=QPZ1X3" TargetMode="Externa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C0048-EAA3-4433-AC9C-E4A735A6CC37}">
  <sheetPr codeName="Sheet1"/>
  <dimension ref="B1:AD26"/>
  <sheetViews>
    <sheetView workbookViewId="0">
      <selection activeCell="F23" sqref="F23"/>
    </sheetView>
  </sheetViews>
  <sheetFormatPr defaultColWidth="3.25" defaultRowHeight="14.25" x14ac:dyDescent="0.2"/>
  <cols>
    <col min="1" max="1" width="3.25" style="30"/>
    <col min="2" max="2" width="36" style="30" bestFit="1" customWidth="1"/>
    <col min="3" max="12" width="3.25" style="30"/>
    <col min="13" max="13" width="5.5" style="30" customWidth="1"/>
    <col min="14" max="16384" width="3.25" style="30"/>
  </cols>
  <sheetData>
    <row r="1" spans="2:30" x14ac:dyDescent="0.2">
      <c r="F1" s="154" t="s">
        <v>0</v>
      </c>
      <c r="G1" s="155"/>
      <c r="H1" s="155"/>
      <c r="I1" s="155"/>
      <c r="J1" s="155"/>
      <c r="K1" s="155"/>
      <c r="L1" s="155"/>
      <c r="M1" s="155"/>
      <c r="N1" s="155"/>
      <c r="O1" s="155"/>
      <c r="P1" s="155"/>
      <c r="Q1" s="155"/>
      <c r="R1" s="155"/>
      <c r="S1" s="155"/>
      <c r="T1" s="155"/>
      <c r="U1" s="155"/>
      <c r="V1" s="155"/>
      <c r="W1" s="155"/>
      <c r="X1" s="155"/>
      <c r="Y1" s="155"/>
      <c r="Z1" s="155"/>
      <c r="AA1" s="155"/>
      <c r="AB1" s="155"/>
      <c r="AC1" s="155"/>
      <c r="AD1" s="155"/>
    </row>
    <row r="2" spans="2:30" x14ac:dyDescent="0.2">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row>
    <row r="3" spans="2:30" x14ac:dyDescent="0.2">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row>
    <row r="4" spans="2:30" x14ac:dyDescent="0.2">
      <c r="F4" s="155"/>
      <c r="G4" s="155"/>
      <c r="H4" s="155"/>
      <c r="I4" s="155"/>
      <c r="J4" s="155"/>
      <c r="K4" s="155"/>
      <c r="L4" s="155"/>
      <c r="M4" s="155"/>
      <c r="N4" s="155"/>
      <c r="O4" s="155"/>
      <c r="P4" s="155"/>
      <c r="Q4" s="155"/>
      <c r="R4" s="155"/>
      <c r="S4" s="155"/>
      <c r="T4" s="155"/>
      <c r="U4" s="155"/>
      <c r="V4" s="155"/>
      <c r="W4" s="155"/>
      <c r="X4" s="155"/>
      <c r="Y4" s="155"/>
      <c r="Z4" s="155"/>
      <c r="AA4" s="155"/>
      <c r="AB4" s="155"/>
      <c r="AC4" s="155"/>
      <c r="AD4" s="155"/>
    </row>
    <row r="5" spans="2:30" x14ac:dyDescent="0.2">
      <c r="F5" s="155"/>
      <c r="G5" s="155"/>
      <c r="H5" s="155"/>
      <c r="I5" s="155"/>
      <c r="J5" s="155"/>
      <c r="K5" s="155"/>
      <c r="L5" s="155"/>
      <c r="M5" s="155"/>
      <c r="N5" s="155"/>
      <c r="O5" s="155"/>
      <c r="P5" s="155"/>
      <c r="Q5" s="155"/>
      <c r="R5" s="155"/>
      <c r="S5" s="155"/>
      <c r="T5" s="155"/>
      <c r="U5" s="155"/>
      <c r="V5" s="155"/>
      <c r="W5" s="155"/>
      <c r="X5" s="155"/>
      <c r="Y5" s="155"/>
      <c r="Z5" s="155"/>
      <c r="AA5" s="155"/>
      <c r="AB5" s="155"/>
      <c r="AC5" s="155"/>
      <c r="AD5" s="155"/>
    </row>
    <row r="7" spans="2:30" x14ac:dyDescent="0.2">
      <c r="B7" s="30" t="s">
        <v>1</v>
      </c>
      <c r="I7" s="30" t="s">
        <v>2</v>
      </c>
      <c r="M7" s="31">
        <f>MAX(change_log!A:A)</f>
        <v>0.2</v>
      </c>
    </row>
    <row r="9" spans="2:30" ht="15" x14ac:dyDescent="0.25">
      <c r="B9" s="33" t="s">
        <v>3</v>
      </c>
    </row>
    <row r="10" spans="2:30" x14ac:dyDescent="0.2">
      <c r="B10" s="32" t="s">
        <v>4</v>
      </c>
    </row>
    <row r="11" spans="2:30" x14ac:dyDescent="0.2">
      <c r="B11" s="32" t="s">
        <v>5</v>
      </c>
    </row>
    <row r="12" spans="2:30" x14ac:dyDescent="0.2">
      <c r="B12" s="30" t="s">
        <v>6</v>
      </c>
    </row>
    <row r="14" spans="2:30" ht="15" x14ac:dyDescent="0.25">
      <c r="B14" s="33" t="s">
        <v>7</v>
      </c>
    </row>
    <row r="15" spans="2:30" x14ac:dyDescent="0.2">
      <c r="B15" s="30" t="s">
        <v>8</v>
      </c>
    </row>
    <row r="16" spans="2:30" ht="28.5" x14ac:dyDescent="0.2">
      <c r="B16" s="149" t="s">
        <v>9</v>
      </c>
    </row>
    <row r="17" spans="2:2" x14ac:dyDescent="0.2">
      <c r="B17" s="32" t="s">
        <v>10</v>
      </c>
    </row>
    <row r="19" spans="2:2" x14ac:dyDescent="0.2">
      <c r="B19" s="30" t="s">
        <v>11</v>
      </c>
    </row>
    <row r="20" spans="2:2" x14ac:dyDescent="0.2">
      <c r="B20" s="30" t="s">
        <v>12</v>
      </c>
    </row>
    <row r="26" spans="2:2" x14ac:dyDescent="0.2">
      <c r="B26"/>
    </row>
  </sheetData>
  <mergeCells count="1">
    <mergeCell ref="F1:AD5"/>
  </mergeCells>
  <hyperlinks>
    <hyperlink ref="B10" location="wacor_data_items!A1" display="WA Cardiac Outcomes Registry data items" xr:uid="{66FED70C-00D4-400E-A0EC-743FD42B6287}"/>
    <hyperlink ref="B11" location="wacor_data_terms!A1" display="WA Cardiac Outcomes Registry data terms" xr:uid="{3B322A4E-D029-4EBB-9064-F9302355B737}"/>
    <hyperlink ref="B16" location="ncr_merged!A1" display="National Cardiac Outcomes Registry data items" xr:uid="{3357E5F1-CC0F-47BB-9347-A01F1107A1F7}"/>
    <hyperlink ref="B17" location="'NCR Indicators'!A1" display="National Cardiac Outcomes Registry indicator specifications" xr:uid="{5A675C0B-27A0-479E-B3E7-B1C0DDC0B4E4}"/>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1C487-49A0-45D1-863B-E9A1397F94AC}">
  <sheetPr codeName="Sheet17">
    <pageSetUpPr fitToPage="1"/>
  </sheetPr>
  <dimension ref="A1:E19"/>
  <sheetViews>
    <sheetView workbookViewId="0">
      <selection activeCell="B8" sqref="B8"/>
    </sheetView>
  </sheetViews>
  <sheetFormatPr defaultRowHeight="14.25" x14ac:dyDescent="0.2"/>
  <cols>
    <col min="2" max="2" width="53.5" customWidth="1"/>
    <col min="3" max="3" width="38.375" customWidth="1"/>
    <col min="4" max="4" width="37.125" customWidth="1"/>
    <col min="5" max="5" width="32.875" customWidth="1"/>
  </cols>
  <sheetData>
    <row r="1" spans="1:5" ht="15" x14ac:dyDescent="0.25">
      <c r="A1" s="129" t="s">
        <v>13</v>
      </c>
      <c r="B1" s="129" t="s">
        <v>14</v>
      </c>
      <c r="C1" s="129" t="s">
        <v>15</v>
      </c>
      <c r="D1" s="129" t="s">
        <v>16</v>
      </c>
      <c r="E1" s="129" t="s">
        <v>17</v>
      </c>
    </row>
    <row r="2" spans="1:5" ht="30" x14ac:dyDescent="0.25">
      <c r="A2" s="129">
        <v>1</v>
      </c>
      <c r="B2" s="130" t="s">
        <v>18</v>
      </c>
      <c r="C2" s="130" t="s">
        <v>19</v>
      </c>
      <c r="D2" s="130" t="s">
        <v>20</v>
      </c>
      <c r="E2" s="130" t="s">
        <v>21</v>
      </c>
    </row>
    <row r="3" spans="1:5" ht="15" x14ac:dyDescent="0.25">
      <c r="A3" s="129">
        <v>2</v>
      </c>
      <c r="B3" s="130" t="s">
        <v>22</v>
      </c>
      <c r="C3" s="130" t="s">
        <v>23</v>
      </c>
      <c r="D3" s="130" t="s">
        <v>24</v>
      </c>
      <c r="E3" s="130" t="s">
        <v>25</v>
      </c>
    </row>
    <row r="4" spans="1:5" ht="30" x14ac:dyDescent="0.25">
      <c r="A4" s="129">
        <v>3</v>
      </c>
      <c r="B4" s="130" t="s">
        <v>26</v>
      </c>
      <c r="C4" s="130" t="s">
        <v>27</v>
      </c>
      <c r="D4" s="126" t="s">
        <v>28</v>
      </c>
      <c r="E4" s="130" t="s">
        <v>29</v>
      </c>
    </row>
    <row r="5" spans="1:5" ht="90" x14ac:dyDescent="0.25">
      <c r="A5" s="129">
        <v>4</v>
      </c>
      <c r="B5" s="130" t="s">
        <v>30</v>
      </c>
      <c r="C5" s="130" t="s">
        <v>31</v>
      </c>
      <c r="D5" s="130" t="s">
        <v>32</v>
      </c>
      <c r="E5" s="130" t="s">
        <v>33</v>
      </c>
    </row>
    <row r="6" spans="1:5" ht="45" x14ac:dyDescent="0.25">
      <c r="A6" s="129">
        <v>5</v>
      </c>
      <c r="B6" s="130" t="s">
        <v>34</v>
      </c>
      <c r="C6" s="130" t="s">
        <v>35</v>
      </c>
      <c r="D6" s="130" t="s">
        <v>36</v>
      </c>
      <c r="E6" s="130" t="s">
        <v>37</v>
      </c>
    </row>
    <row r="7" spans="1:5" ht="42.75" customHeight="1" x14ac:dyDescent="0.25">
      <c r="A7" s="129">
        <v>6</v>
      </c>
      <c r="B7" s="130" t="s">
        <v>38</v>
      </c>
      <c r="C7" s="130" t="s">
        <v>39</v>
      </c>
      <c r="D7" s="130" t="s">
        <v>40</v>
      </c>
      <c r="E7" s="130" t="s">
        <v>41</v>
      </c>
    </row>
    <row r="8" spans="1:5" ht="78" customHeight="1" x14ac:dyDescent="0.25">
      <c r="A8" s="129">
        <v>7</v>
      </c>
      <c r="B8" s="130" t="s">
        <v>42</v>
      </c>
      <c r="C8" s="130" t="s">
        <v>43</v>
      </c>
      <c r="D8" s="130" t="s">
        <v>44</v>
      </c>
      <c r="E8" s="130" t="s">
        <v>45</v>
      </c>
    </row>
    <row r="9" spans="1:5" ht="30" x14ac:dyDescent="0.25">
      <c r="A9" s="129">
        <v>8</v>
      </c>
      <c r="B9" s="130" t="s">
        <v>46</v>
      </c>
      <c r="C9" s="130" t="s">
        <v>47</v>
      </c>
      <c r="D9" s="130" t="s">
        <v>48</v>
      </c>
      <c r="E9" s="130" t="s">
        <v>49</v>
      </c>
    </row>
    <row r="10" spans="1:5" ht="27" customHeight="1" x14ac:dyDescent="0.25">
      <c r="A10" s="129">
        <v>9</v>
      </c>
      <c r="B10" s="130" t="s">
        <v>50</v>
      </c>
      <c r="C10" s="130" t="s">
        <v>51</v>
      </c>
      <c r="D10" s="130" t="s">
        <v>52</v>
      </c>
      <c r="E10" s="130" t="s">
        <v>49</v>
      </c>
    </row>
    <row r="11" spans="1:5" ht="30" x14ac:dyDescent="0.25">
      <c r="A11" s="129">
        <v>10</v>
      </c>
      <c r="B11" s="130" t="s">
        <v>53</v>
      </c>
      <c r="C11" s="128" t="s">
        <v>54</v>
      </c>
      <c r="D11" s="130" t="s">
        <v>55</v>
      </c>
      <c r="E11" s="130" t="s">
        <v>49</v>
      </c>
    </row>
    <row r="12" spans="1:5" ht="30" x14ac:dyDescent="0.25">
      <c r="A12" s="129">
        <v>11</v>
      </c>
      <c r="B12" s="130" t="s">
        <v>56</v>
      </c>
      <c r="C12" s="128" t="s">
        <v>57</v>
      </c>
      <c r="D12" s="130" t="s">
        <v>58</v>
      </c>
      <c r="E12" s="130" t="s">
        <v>49</v>
      </c>
    </row>
    <row r="13" spans="1:5" ht="30" x14ac:dyDescent="0.25">
      <c r="A13" s="129">
        <v>12</v>
      </c>
      <c r="B13" s="130" t="s">
        <v>59</v>
      </c>
      <c r="C13" s="128" t="s">
        <v>60</v>
      </c>
      <c r="D13" s="130" t="s">
        <v>61</v>
      </c>
      <c r="E13" s="130" t="s">
        <v>49</v>
      </c>
    </row>
    <row r="14" spans="1:5" ht="30" x14ac:dyDescent="0.25">
      <c r="A14" s="129">
        <v>13</v>
      </c>
      <c r="B14" s="130" t="s">
        <v>62</v>
      </c>
      <c r="C14" s="130" t="s">
        <v>63</v>
      </c>
      <c r="D14" s="130" t="s">
        <v>64</v>
      </c>
      <c r="E14" s="130" t="s">
        <v>49</v>
      </c>
    </row>
    <row r="15" spans="1:5" ht="45" x14ac:dyDescent="0.25">
      <c r="A15" s="129">
        <v>14</v>
      </c>
      <c r="B15" s="130" t="s">
        <v>65</v>
      </c>
      <c r="C15" s="130" t="s">
        <v>66</v>
      </c>
      <c r="D15" s="130" t="s">
        <v>67</v>
      </c>
      <c r="E15" s="130" t="s">
        <v>37</v>
      </c>
    </row>
    <row r="16" spans="1:5" ht="30" x14ac:dyDescent="0.25">
      <c r="A16" s="129">
        <v>15</v>
      </c>
      <c r="B16" s="130" t="s">
        <v>68</v>
      </c>
      <c r="C16" s="130" t="s">
        <v>69</v>
      </c>
      <c r="D16" s="130" t="s">
        <v>70</v>
      </c>
      <c r="E16" s="130" t="s">
        <v>71</v>
      </c>
    </row>
    <row r="17" spans="1:5" ht="54.75" customHeight="1" x14ac:dyDescent="0.25">
      <c r="A17" s="129">
        <v>16</v>
      </c>
      <c r="B17" s="130" t="s">
        <v>72</v>
      </c>
      <c r="C17" s="130" t="s">
        <v>73</v>
      </c>
      <c r="D17" s="130" t="s">
        <v>74</v>
      </c>
      <c r="E17" s="130" t="s">
        <v>75</v>
      </c>
    </row>
    <row r="18" spans="1:5" ht="47.25" customHeight="1" x14ac:dyDescent="0.25">
      <c r="A18" s="129">
        <v>17</v>
      </c>
      <c r="B18" s="129" t="s">
        <v>76</v>
      </c>
      <c r="C18" s="129" t="s">
        <v>77</v>
      </c>
      <c r="D18" s="130" t="s">
        <v>78</v>
      </c>
      <c r="E18" s="130" t="s">
        <v>79</v>
      </c>
    </row>
    <row r="19" spans="1:5" ht="45" x14ac:dyDescent="0.25">
      <c r="A19" s="129">
        <v>18</v>
      </c>
      <c r="B19" s="129" t="s">
        <v>80</v>
      </c>
      <c r="C19" s="130" t="s">
        <v>81</v>
      </c>
      <c r="D19" s="130" t="s">
        <v>82</v>
      </c>
      <c r="E19" s="130" t="s">
        <v>83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64900-CFBA-4596-9EB1-04ED7EE13B9F}">
  <dimension ref="A1:F20"/>
  <sheetViews>
    <sheetView workbookViewId="0">
      <selection activeCell="C18" sqref="C18"/>
    </sheetView>
  </sheetViews>
  <sheetFormatPr defaultRowHeight="14.25" x14ac:dyDescent="0.2"/>
  <cols>
    <col min="2" max="2" width="26.375" customWidth="1"/>
    <col min="3" max="3" width="36.25" customWidth="1"/>
    <col min="4" max="4" width="39.75" customWidth="1"/>
    <col min="5" max="5" width="31.5" customWidth="1"/>
    <col min="6" max="6" width="10.5" bestFit="1" customWidth="1"/>
  </cols>
  <sheetData>
    <row r="1" spans="1:6" ht="15" x14ac:dyDescent="0.25">
      <c r="A1" s="128" t="s">
        <v>13</v>
      </c>
      <c r="B1" s="128" t="s">
        <v>14</v>
      </c>
      <c r="C1" s="128" t="s">
        <v>15</v>
      </c>
      <c r="D1" s="128" t="s">
        <v>16</v>
      </c>
      <c r="E1" s="128" t="s">
        <v>17</v>
      </c>
      <c r="F1" s="128" t="s">
        <v>84</v>
      </c>
    </row>
    <row r="2" spans="1:6" ht="45" x14ac:dyDescent="0.25">
      <c r="A2" s="128">
        <v>1</v>
      </c>
      <c r="B2" s="128" t="s">
        <v>85</v>
      </c>
      <c r="C2" s="128" t="s">
        <v>19</v>
      </c>
      <c r="D2" s="128" t="s">
        <v>86</v>
      </c>
      <c r="E2" s="128" t="s">
        <v>21</v>
      </c>
      <c r="F2" s="128" t="s">
        <v>87</v>
      </c>
    </row>
    <row r="3" spans="1:6" ht="45" x14ac:dyDescent="0.25">
      <c r="A3" s="128">
        <v>2</v>
      </c>
      <c r="B3" s="128" t="s">
        <v>88</v>
      </c>
      <c r="C3" s="128" t="s">
        <v>35</v>
      </c>
      <c r="D3" s="128" t="s">
        <v>89</v>
      </c>
      <c r="E3" s="128" t="s">
        <v>37</v>
      </c>
      <c r="F3" s="128" t="s">
        <v>90</v>
      </c>
    </row>
    <row r="4" spans="1:6" ht="45" x14ac:dyDescent="0.25">
      <c r="A4" s="128">
        <v>3</v>
      </c>
      <c r="B4" s="128" t="s">
        <v>91</v>
      </c>
      <c r="C4" s="128" t="s">
        <v>92</v>
      </c>
      <c r="D4" s="128" t="s">
        <v>67</v>
      </c>
      <c r="E4" s="128" t="s">
        <v>37</v>
      </c>
      <c r="F4" s="128" t="s">
        <v>93</v>
      </c>
    </row>
    <row r="5" spans="1:6" ht="45" x14ac:dyDescent="0.25">
      <c r="A5" s="128">
        <v>4</v>
      </c>
      <c r="B5" s="128" t="s">
        <v>94</v>
      </c>
      <c r="C5" s="128" t="s">
        <v>27</v>
      </c>
      <c r="D5" s="128" t="s">
        <v>95</v>
      </c>
      <c r="E5" s="128" t="s">
        <v>96</v>
      </c>
      <c r="F5" s="128" t="s">
        <v>87</v>
      </c>
    </row>
    <row r="6" spans="1:6" ht="45" x14ac:dyDescent="0.25">
      <c r="A6" s="128">
        <v>5</v>
      </c>
      <c r="B6" s="128" t="s">
        <v>97</v>
      </c>
      <c r="C6" s="128" t="s">
        <v>98</v>
      </c>
      <c r="D6" s="128" t="s">
        <v>82</v>
      </c>
      <c r="E6" s="128" t="s">
        <v>83</v>
      </c>
      <c r="F6" s="128" t="s">
        <v>99</v>
      </c>
    </row>
    <row r="7" spans="1:6" ht="105" x14ac:dyDescent="0.25">
      <c r="A7" s="128">
        <v>6</v>
      </c>
      <c r="B7" s="128" t="s">
        <v>100</v>
      </c>
      <c r="C7" s="128" t="s">
        <v>101</v>
      </c>
      <c r="D7" s="128" t="s">
        <v>102</v>
      </c>
      <c r="E7" s="128"/>
      <c r="F7" s="128" t="s">
        <v>103</v>
      </c>
    </row>
    <row r="8" spans="1:6" ht="30" x14ac:dyDescent="0.25">
      <c r="A8" s="128">
        <v>9</v>
      </c>
      <c r="B8" s="128" t="s">
        <v>104</v>
      </c>
      <c r="C8" s="128" t="s">
        <v>101</v>
      </c>
      <c r="D8" s="128"/>
      <c r="E8" s="128"/>
      <c r="F8" s="128" t="s">
        <v>105</v>
      </c>
    </row>
    <row r="9" spans="1:6" ht="30" x14ac:dyDescent="0.25">
      <c r="A9" s="128">
        <v>10</v>
      </c>
      <c r="B9" s="128" t="s">
        <v>106</v>
      </c>
      <c r="C9" s="128" t="s">
        <v>101</v>
      </c>
      <c r="D9" s="128"/>
      <c r="E9" s="128"/>
      <c r="F9" s="128" t="s">
        <v>107</v>
      </c>
    </row>
    <row r="10" spans="1:6" ht="30" x14ac:dyDescent="0.25">
      <c r="A10" s="128">
        <v>11</v>
      </c>
      <c r="B10" s="128" t="s">
        <v>108</v>
      </c>
      <c r="C10" s="128" t="s">
        <v>101</v>
      </c>
      <c r="D10" s="128"/>
      <c r="E10" s="128"/>
      <c r="F10" s="128" t="s">
        <v>109</v>
      </c>
    </row>
    <row r="11" spans="1:6" ht="30" x14ac:dyDescent="0.25">
      <c r="A11" s="128">
        <v>12</v>
      </c>
      <c r="B11" s="128" t="s">
        <v>110</v>
      </c>
      <c r="C11" s="128" t="s">
        <v>101</v>
      </c>
      <c r="D11" s="128"/>
      <c r="E11" s="128"/>
      <c r="F11" s="128" t="s">
        <v>111</v>
      </c>
    </row>
    <row r="12" spans="1:6" ht="30" x14ac:dyDescent="0.25">
      <c r="A12" s="128">
        <v>13</v>
      </c>
      <c r="B12" s="128" t="s">
        <v>112</v>
      </c>
      <c r="C12" s="128" t="s">
        <v>101</v>
      </c>
      <c r="D12" s="128"/>
      <c r="E12" s="128"/>
      <c r="F12" s="128" t="s">
        <v>113</v>
      </c>
    </row>
    <row r="13" spans="1:6" ht="30" x14ac:dyDescent="0.25">
      <c r="A13" s="128">
        <v>14</v>
      </c>
      <c r="B13" s="128" t="s">
        <v>114</v>
      </c>
      <c r="C13" s="128" t="s">
        <v>101</v>
      </c>
      <c r="D13" s="128"/>
      <c r="E13" s="128"/>
      <c r="F13" s="128" t="s">
        <v>115</v>
      </c>
    </row>
    <row r="14" spans="1:6" ht="30" x14ac:dyDescent="0.25">
      <c r="A14" s="128">
        <v>15</v>
      </c>
      <c r="B14" s="128" t="s">
        <v>116</v>
      </c>
      <c r="C14" s="128" t="s">
        <v>101</v>
      </c>
      <c r="D14" s="128"/>
      <c r="E14" s="128"/>
      <c r="F14" s="128" t="s">
        <v>117</v>
      </c>
    </row>
    <row r="15" spans="1:6" ht="45" x14ac:dyDescent="0.25">
      <c r="A15" s="128">
        <v>16</v>
      </c>
      <c r="B15" s="128" t="s">
        <v>118</v>
      </c>
      <c r="C15" s="128" t="s">
        <v>101</v>
      </c>
      <c r="D15" s="128"/>
      <c r="E15" s="128"/>
      <c r="F15" s="128" t="s">
        <v>119</v>
      </c>
    </row>
    <row r="16" spans="1:6" ht="30" x14ac:dyDescent="0.25">
      <c r="A16" s="128">
        <v>17</v>
      </c>
      <c r="B16" s="128" t="s">
        <v>120</v>
      </c>
      <c r="C16" s="128" t="s">
        <v>101</v>
      </c>
      <c r="D16" s="128"/>
      <c r="E16" s="128"/>
      <c r="F16" s="128" t="s">
        <v>121</v>
      </c>
    </row>
    <row r="17" spans="1:6" ht="90" x14ac:dyDescent="0.25">
      <c r="A17" s="128">
        <v>18</v>
      </c>
      <c r="B17" s="128" t="s">
        <v>30</v>
      </c>
      <c r="C17" s="128" t="s">
        <v>31</v>
      </c>
      <c r="D17" s="128" t="s">
        <v>32</v>
      </c>
      <c r="E17" s="128" t="s">
        <v>33</v>
      </c>
      <c r="F17" s="128"/>
    </row>
    <row r="18" spans="1:6" ht="15" x14ac:dyDescent="0.25">
      <c r="A18" s="128">
        <v>21</v>
      </c>
      <c r="B18" s="128" t="s">
        <v>122</v>
      </c>
      <c r="C18" s="128"/>
      <c r="D18" s="128"/>
      <c r="E18" s="128"/>
      <c r="F18" s="128" t="s">
        <v>123</v>
      </c>
    </row>
    <row r="19" spans="1:6" ht="30" x14ac:dyDescent="0.25">
      <c r="A19" s="128">
        <v>22</v>
      </c>
      <c r="B19" s="128" t="s">
        <v>68</v>
      </c>
      <c r="C19" s="128" t="s">
        <v>124</v>
      </c>
      <c r="D19" s="128" t="s">
        <v>70</v>
      </c>
      <c r="E19" s="128" t="s">
        <v>71</v>
      </c>
      <c r="F19" s="128"/>
    </row>
    <row r="20" spans="1:6" ht="60" x14ac:dyDescent="0.25">
      <c r="A20" s="128">
        <v>23</v>
      </c>
      <c r="B20" s="128" t="s">
        <v>38</v>
      </c>
      <c r="C20" s="128" t="s">
        <v>39</v>
      </c>
      <c r="D20" s="128" t="s">
        <v>40</v>
      </c>
      <c r="E20" s="128" t="s">
        <v>41</v>
      </c>
      <c r="F20" s="128"/>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F7FCC4-3655-41BD-AB1D-A5F8F22AD906}">
  <sheetPr codeName="Sheet20"/>
  <dimension ref="A1:E46"/>
  <sheetViews>
    <sheetView workbookViewId="0">
      <selection activeCell="H10" sqref="H10"/>
    </sheetView>
  </sheetViews>
  <sheetFormatPr defaultRowHeight="14.25" x14ac:dyDescent="0.2"/>
  <cols>
    <col min="1" max="1" width="11.5" customWidth="1"/>
    <col min="2" max="2" width="48.625" bestFit="1" customWidth="1"/>
    <col min="3" max="3" width="10.875" customWidth="1"/>
    <col min="4" max="4" width="76.5" customWidth="1"/>
    <col min="5" max="5" width="28.5" style="36" customWidth="1"/>
  </cols>
  <sheetData>
    <row r="1" spans="1:5" x14ac:dyDescent="0.2">
      <c r="A1" t="s">
        <v>125</v>
      </c>
      <c r="B1" t="s">
        <v>126</v>
      </c>
      <c r="C1" t="s">
        <v>127</v>
      </c>
      <c r="D1" t="s">
        <v>128</v>
      </c>
      <c r="E1" s="36" t="s">
        <v>129</v>
      </c>
    </row>
    <row r="2" spans="1:5" x14ac:dyDescent="0.2">
      <c r="A2" t="s">
        <v>109</v>
      </c>
      <c r="B2" t="s">
        <v>130</v>
      </c>
      <c r="C2" t="s">
        <v>131</v>
      </c>
      <c r="D2" s="36" t="s">
        <v>132</v>
      </c>
      <c r="E2" s="36" t="s">
        <v>133</v>
      </c>
    </row>
    <row r="3" spans="1:5" x14ac:dyDescent="0.2">
      <c r="A3" t="s">
        <v>109</v>
      </c>
      <c r="B3" t="s">
        <v>134</v>
      </c>
      <c r="C3" t="s">
        <v>135</v>
      </c>
      <c r="D3" t="s">
        <v>136</v>
      </c>
      <c r="E3" s="36" t="s">
        <v>133</v>
      </c>
    </row>
    <row r="4" spans="1:5" x14ac:dyDescent="0.2">
      <c r="A4" t="s">
        <v>111</v>
      </c>
      <c r="B4" t="s">
        <v>130</v>
      </c>
      <c r="C4" t="s">
        <v>131</v>
      </c>
      <c r="D4" t="s">
        <v>132</v>
      </c>
      <c r="E4" s="36" t="s">
        <v>133</v>
      </c>
    </row>
    <row r="5" spans="1:5" ht="15" customHeight="1" x14ac:dyDescent="0.2">
      <c r="A5" t="s">
        <v>111</v>
      </c>
      <c r="B5" t="s">
        <v>134</v>
      </c>
      <c r="C5" t="s">
        <v>135</v>
      </c>
      <c r="D5" t="s">
        <v>136</v>
      </c>
      <c r="E5" s="36" t="s">
        <v>133</v>
      </c>
    </row>
    <row r="6" spans="1:5" x14ac:dyDescent="0.2">
      <c r="A6" t="s">
        <v>137</v>
      </c>
      <c r="B6" t="s">
        <v>130</v>
      </c>
      <c r="C6" t="s">
        <v>131</v>
      </c>
      <c r="D6" t="s">
        <v>138</v>
      </c>
      <c r="E6" s="36" t="s">
        <v>133</v>
      </c>
    </row>
    <row r="7" spans="1:5" x14ac:dyDescent="0.2">
      <c r="A7" t="s">
        <v>137</v>
      </c>
      <c r="B7" t="s">
        <v>139</v>
      </c>
      <c r="C7" t="s">
        <v>131</v>
      </c>
      <c r="D7" t="s">
        <v>140</v>
      </c>
      <c r="E7" s="36" t="s">
        <v>133</v>
      </c>
    </row>
    <row r="8" spans="1:5" x14ac:dyDescent="0.2">
      <c r="A8" t="s">
        <v>117</v>
      </c>
      <c r="B8" t="s">
        <v>130</v>
      </c>
      <c r="C8" t="s">
        <v>131</v>
      </c>
      <c r="D8" t="s">
        <v>138</v>
      </c>
      <c r="E8" s="36" t="s">
        <v>133</v>
      </c>
    </row>
    <row r="9" spans="1:5" x14ac:dyDescent="0.2">
      <c r="A9" t="s">
        <v>117</v>
      </c>
      <c r="B9" t="s">
        <v>141</v>
      </c>
      <c r="C9" t="s">
        <v>142</v>
      </c>
      <c r="D9" t="s">
        <v>143</v>
      </c>
      <c r="E9" s="36" t="s">
        <v>133</v>
      </c>
    </row>
    <row r="10" spans="1:5" ht="28.5" x14ac:dyDescent="0.2">
      <c r="A10" t="s">
        <v>144</v>
      </c>
      <c r="B10" t="s">
        <v>145</v>
      </c>
      <c r="C10" t="s">
        <v>135</v>
      </c>
      <c r="D10" t="s">
        <v>146</v>
      </c>
      <c r="E10" s="36" t="s">
        <v>147</v>
      </c>
    </row>
    <row r="11" spans="1:5" ht="28.5" x14ac:dyDescent="0.2">
      <c r="A11" t="s">
        <v>148</v>
      </c>
      <c r="B11" t="s">
        <v>149</v>
      </c>
      <c r="C11" t="s">
        <v>135</v>
      </c>
      <c r="D11" t="s">
        <v>146</v>
      </c>
      <c r="E11" s="36" t="s">
        <v>150</v>
      </c>
    </row>
    <row r="12" spans="1:5" x14ac:dyDescent="0.2">
      <c r="A12" t="s">
        <v>105</v>
      </c>
      <c r="B12" t="s">
        <v>151</v>
      </c>
      <c r="C12" t="s">
        <v>131</v>
      </c>
      <c r="D12" t="s">
        <v>152</v>
      </c>
      <c r="E12" s="36" t="s">
        <v>133</v>
      </c>
    </row>
    <row r="13" spans="1:5" x14ac:dyDescent="0.2">
      <c r="A13" t="s">
        <v>105</v>
      </c>
      <c r="B13" t="s">
        <v>153</v>
      </c>
      <c r="C13" t="s">
        <v>131</v>
      </c>
      <c r="E13" s="36" t="s">
        <v>133</v>
      </c>
    </row>
    <row r="14" spans="1:5" x14ac:dyDescent="0.2">
      <c r="A14" t="s">
        <v>154</v>
      </c>
      <c r="B14" t="s">
        <v>155</v>
      </c>
      <c r="C14" t="s">
        <v>156</v>
      </c>
      <c r="D14" t="s">
        <v>157</v>
      </c>
      <c r="E14" s="36" t="s">
        <v>133</v>
      </c>
    </row>
    <row r="15" spans="1:5" x14ac:dyDescent="0.2">
      <c r="A15" t="s">
        <v>154</v>
      </c>
      <c r="B15" t="s">
        <v>130</v>
      </c>
      <c r="C15" t="s">
        <v>131</v>
      </c>
      <c r="D15" t="s">
        <v>138</v>
      </c>
      <c r="E15" s="36" t="s">
        <v>133</v>
      </c>
    </row>
    <row r="16" spans="1:5" x14ac:dyDescent="0.2">
      <c r="A16" t="s">
        <v>158</v>
      </c>
      <c r="B16" t="s">
        <v>159</v>
      </c>
      <c r="C16" t="s">
        <v>131</v>
      </c>
      <c r="E16" s="36" t="s">
        <v>160</v>
      </c>
    </row>
    <row r="17" spans="1:5" x14ac:dyDescent="0.2">
      <c r="A17" t="s">
        <v>158</v>
      </c>
      <c r="B17" t="s">
        <v>161</v>
      </c>
      <c r="C17" t="s">
        <v>135</v>
      </c>
      <c r="E17" s="36" t="s">
        <v>160</v>
      </c>
    </row>
    <row r="18" spans="1:5" x14ac:dyDescent="0.2">
      <c r="A18" t="s">
        <v>158</v>
      </c>
      <c r="B18" t="s">
        <v>162</v>
      </c>
      <c r="C18" t="s">
        <v>135</v>
      </c>
      <c r="E18" s="36" t="s">
        <v>160</v>
      </c>
    </row>
    <row r="19" spans="1:5" x14ac:dyDescent="0.2">
      <c r="A19" t="s">
        <v>158</v>
      </c>
      <c r="B19" t="s">
        <v>145</v>
      </c>
      <c r="C19" t="s">
        <v>135</v>
      </c>
      <c r="E19" s="36" t="s">
        <v>160</v>
      </c>
    </row>
    <row r="20" spans="1:5" x14ac:dyDescent="0.2">
      <c r="A20" t="s">
        <v>158</v>
      </c>
      <c r="B20" t="s">
        <v>163</v>
      </c>
      <c r="C20" t="s">
        <v>135</v>
      </c>
      <c r="E20" s="36" t="s">
        <v>160</v>
      </c>
    </row>
    <row r="21" spans="1:5" x14ac:dyDescent="0.2">
      <c r="A21" t="s">
        <v>158</v>
      </c>
      <c r="B21" t="s">
        <v>164</v>
      </c>
      <c r="C21" t="s">
        <v>135</v>
      </c>
      <c r="E21" s="36" t="s">
        <v>160</v>
      </c>
    </row>
    <row r="22" spans="1:5" x14ac:dyDescent="0.2">
      <c r="A22" t="s">
        <v>158</v>
      </c>
      <c r="B22" t="s">
        <v>165</v>
      </c>
      <c r="C22" t="s">
        <v>135</v>
      </c>
      <c r="E22" s="36" t="s">
        <v>160</v>
      </c>
    </row>
    <row r="23" spans="1:5" x14ac:dyDescent="0.2">
      <c r="A23" t="s">
        <v>158</v>
      </c>
      <c r="B23" t="s">
        <v>166</v>
      </c>
      <c r="C23" t="s">
        <v>167</v>
      </c>
      <c r="E23" s="36" t="s">
        <v>160</v>
      </c>
    </row>
    <row r="24" spans="1:5" x14ac:dyDescent="0.2">
      <c r="A24" t="s">
        <v>119</v>
      </c>
      <c r="B24" t="s">
        <v>130</v>
      </c>
      <c r="C24" t="s">
        <v>131</v>
      </c>
      <c r="D24" t="s">
        <v>138</v>
      </c>
      <c r="E24" s="36" t="s">
        <v>133</v>
      </c>
    </row>
    <row r="25" spans="1:5" x14ac:dyDescent="0.2">
      <c r="A25" t="s">
        <v>119</v>
      </c>
      <c r="B25" t="s">
        <v>141</v>
      </c>
      <c r="C25" t="s">
        <v>142</v>
      </c>
      <c r="D25" t="s">
        <v>143</v>
      </c>
      <c r="E25" s="36" t="s">
        <v>133</v>
      </c>
    </row>
    <row r="26" spans="1:5" x14ac:dyDescent="0.2">
      <c r="A26" t="s">
        <v>113</v>
      </c>
      <c r="B26" t="s">
        <v>130</v>
      </c>
      <c r="C26" t="s">
        <v>131</v>
      </c>
      <c r="D26" t="s">
        <v>138</v>
      </c>
      <c r="E26" s="36" t="s">
        <v>133</v>
      </c>
    </row>
    <row r="27" spans="1:5" x14ac:dyDescent="0.2">
      <c r="A27" t="s">
        <v>113</v>
      </c>
      <c r="B27" t="s">
        <v>141</v>
      </c>
      <c r="C27" t="s">
        <v>142</v>
      </c>
      <c r="D27" t="s">
        <v>143</v>
      </c>
      <c r="E27" s="36" t="s">
        <v>133</v>
      </c>
    </row>
    <row r="28" spans="1:5" x14ac:dyDescent="0.2">
      <c r="A28" t="s">
        <v>121</v>
      </c>
      <c r="B28" t="s">
        <v>168</v>
      </c>
      <c r="C28" t="s">
        <v>135</v>
      </c>
      <c r="E28" s="36" t="s">
        <v>160</v>
      </c>
    </row>
    <row r="29" spans="1:5" x14ac:dyDescent="0.2">
      <c r="A29" t="s">
        <v>121</v>
      </c>
      <c r="B29" t="s">
        <v>169</v>
      </c>
      <c r="C29" t="s">
        <v>135</v>
      </c>
      <c r="E29" s="36" t="s">
        <v>160</v>
      </c>
    </row>
    <row r="30" spans="1:5" x14ac:dyDescent="0.2">
      <c r="A30" t="s">
        <v>121</v>
      </c>
      <c r="B30" t="s">
        <v>161</v>
      </c>
      <c r="C30" t="s">
        <v>135</v>
      </c>
      <c r="E30" s="36" t="s">
        <v>160</v>
      </c>
    </row>
    <row r="31" spans="1:5" x14ac:dyDescent="0.2">
      <c r="A31" t="s">
        <v>115</v>
      </c>
      <c r="B31" t="s">
        <v>130</v>
      </c>
      <c r="C31" t="s">
        <v>131</v>
      </c>
      <c r="D31" t="s">
        <v>138</v>
      </c>
      <c r="E31" s="36" t="s">
        <v>133</v>
      </c>
    </row>
    <row r="32" spans="1:5" x14ac:dyDescent="0.2">
      <c r="A32" t="s">
        <v>115</v>
      </c>
      <c r="B32" t="s">
        <v>141</v>
      </c>
      <c r="C32" t="s">
        <v>142</v>
      </c>
      <c r="D32" t="s">
        <v>143</v>
      </c>
      <c r="E32" s="36" t="s">
        <v>133</v>
      </c>
    </row>
    <row r="33" spans="1:5" x14ac:dyDescent="0.2">
      <c r="A33" t="s">
        <v>170</v>
      </c>
      <c r="B33" t="s">
        <v>171</v>
      </c>
      <c r="C33" t="s">
        <v>131</v>
      </c>
      <c r="D33" t="s">
        <v>172</v>
      </c>
      <c r="E33" s="36" t="s">
        <v>133</v>
      </c>
    </row>
    <row r="34" spans="1:5" x14ac:dyDescent="0.2">
      <c r="A34" t="s">
        <v>173</v>
      </c>
      <c r="B34" t="s">
        <v>174</v>
      </c>
      <c r="C34" t="s">
        <v>131</v>
      </c>
      <c r="D34" t="s">
        <v>146</v>
      </c>
      <c r="E34" s="36" t="s">
        <v>133</v>
      </c>
    </row>
    <row r="35" spans="1:5" x14ac:dyDescent="0.2">
      <c r="A35" t="s">
        <v>175</v>
      </c>
      <c r="B35" t="s">
        <v>171</v>
      </c>
      <c r="C35" t="s">
        <v>131</v>
      </c>
      <c r="D35" t="s">
        <v>176</v>
      </c>
      <c r="E35" s="36" t="s">
        <v>133</v>
      </c>
    </row>
    <row r="36" spans="1:5" x14ac:dyDescent="0.2">
      <c r="A36" t="s">
        <v>177</v>
      </c>
      <c r="B36" t="s">
        <v>171</v>
      </c>
      <c r="C36" t="s">
        <v>131</v>
      </c>
      <c r="D36" t="s">
        <v>178</v>
      </c>
      <c r="E36" s="36" t="s">
        <v>133</v>
      </c>
    </row>
    <row r="37" spans="1:5" x14ac:dyDescent="0.2">
      <c r="A37" t="s">
        <v>179</v>
      </c>
      <c r="B37" t="s">
        <v>145</v>
      </c>
      <c r="C37" t="s">
        <v>135</v>
      </c>
      <c r="D37" t="s">
        <v>146</v>
      </c>
      <c r="E37" s="36" t="s">
        <v>160</v>
      </c>
    </row>
    <row r="38" spans="1:5" x14ac:dyDescent="0.2">
      <c r="A38" t="s">
        <v>180</v>
      </c>
      <c r="B38" t="s">
        <v>149</v>
      </c>
      <c r="C38" t="s">
        <v>135</v>
      </c>
      <c r="D38" t="s">
        <v>146</v>
      </c>
      <c r="E38" s="36" t="s">
        <v>160</v>
      </c>
    </row>
    <row r="39" spans="1:5" x14ac:dyDescent="0.2">
      <c r="A39" t="s">
        <v>181</v>
      </c>
      <c r="B39" t="s">
        <v>159</v>
      </c>
      <c r="C39" t="s">
        <v>131</v>
      </c>
      <c r="E39" s="36" t="s">
        <v>160</v>
      </c>
    </row>
    <row r="40" spans="1:5" x14ac:dyDescent="0.2">
      <c r="A40" t="s">
        <v>181</v>
      </c>
      <c r="B40" t="s">
        <v>161</v>
      </c>
      <c r="C40" t="s">
        <v>135</v>
      </c>
      <c r="E40" s="36" t="s">
        <v>160</v>
      </c>
    </row>
    <row r="41" spans="1:5" x14ac:dyDescent="0.2">
      <c r="A41" t="s">
        <v>181</v>
      </c>
      <c r="B41" t="s">
        <v>162</v>
      </c>
      <c r="C41" t="s">
        <v>135</v>
      </c>
      <c r="E41" s="36" t="s">
        <v>160</v>
      </c>
    </row>
    <row r="42" spans="1:5" x14ac:dyDescent="0.2">
      <c r="A42" t="s">
        <v>181</v>
      </c>
      <c r="B42" t="s">
        <v>145</v>
      </c>
      <c r="C42" t="s">
        <v>135</v>
      </c>
      <c r="E42" s="36" t="s">
        <v>160</v>
      </c>
    </row>
    <row r="43" spans="1:5" x14ac:dyDescent="0.2">
      <c r="A43" t="s">
        <v>181</v>
      </c>
      <c r="B43" t="s">
        <v>163</v>
      </c>
      <c r="C43" t="s">
        <v>135</v>
      </c>
      <c r="E43" s="36" t="s">
        <v>160</v>
      </c>
    </row>
    <row r="44" spans="1:5" x14ac:dyDescent="0.2">
      <c r="A44" t="s">
        <v>181</v>
      </c>
      <c r="B44" t="s">
        <v>164</v>
      </c>
      <c r="C44" t="s">
        <v>135</v>
      </c>
      <c r="E44" s="36" t="s">
        <v>160</v>
      </c>
    </row>
    <row r="45" spans="1:5" x14ac:dyDescent="0.2">
      <c r="A45" t="s">
        <v>181</v>
      </c>
      <c r="B45" t="s">
        <v>165</v>
      </c>
      <c r="C45" t="s">
        <v>135</v>
      </c>
      <c r="E45" s="36" t="s">
        <v>160</v>
      </c>
    </row>
    <row r="46" spans="1:5" x14ac:dyDescent="0.2">
      <c r="A46" t="s">
        <v>181</v>
      </c>
      <c r="B46" t="s">
        <v>182</v>
      </c>
      <c r="C46" t="s">
        <v>131</v>
      </c>
      <c r="E46" s="36" t="s">
        <v>160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2ADA56-539B-41BB-B3FD-D9F4F490EEAB}">
  <dimension ref="A1:C60"/>
  <sheetViews>
    <sheetView workbookViewId="0">
      <selection activeCell="B12" sqref="B12"/>
    </sheetView>
  </sheetViews>
  <sheetFormatPr defaultRowHeight="14.25" x14ac:dyDescent="0.2"/>
  <cols>
    <col min="1" max="1" width="11.625" customWidth="1"/>
    <col min="2" max="2" width="18.75" customWidth="1"/>
    <col min="3" max="3" width="36" bestFit="1" customWidth="1"/>
  </cols>
  <sheetData>
    <row r="1" spans="1:3" ht="15" x14ac:dyDescent="0.25">
      <c r="A1" s="127" t="s">
        <v>183</v>
      </c>
      <c r="B1" s="127" t="s">
        <v>184</v>
      </c>
      <c r="C1" s="128" t="s">
        <v>185</v>
      </c>
    </row>
    <row r="2" spans="1:3" ht="15" x14ac:dyDescent="0.25">
      <c r="A2" s="127" t="s">
        <v>109</v>
      </c>
      <c r="B2" s="127" t="s">
        <v>111</v>
      </c>
      <c r="C2" s="128"/>
    </row>
    <row r="3" spans="1:3" ht="45" x14ac:dyDescent="0.25">
      <c r="A3" s="127" t="s">
        <v>111</v>
      </c>
      <c r="B3" s="127" t="s">
        <v>186</v>
      </c>
      <c r="C3" s="128" t="s">
        <v>187</v>
      </c>
    </row>
    <row r="4" spans="1:3" ht="15" x14ac:dyDescent="0.25">
      <c r="A4" s="127" t="s">
        <v>137</v>
      </c>
      <c r="B4" s="127" t="s">
        <v>137</v>
      </c>
      <c r="C4" s="128"/>
    </row>
    <row r="5" spans="1:3" ht="15" x14ac:dyDescent="0.25">
      <c r="A5" s="127" t="s">
        <v>117</v>
      </c>
      <c r="B5" s="127" t="s">
        <v>188</v>
      </c>
      <c r="C5" s="128" t="s">
        <v>189</v>
      </c>
    </row>
    <row r="6" spans="1:3" ht="15" x14ac:dyDescent="0.25">
      <c r="A6" s="127" t="s">
        <v>119</v>
      </c>
      <c r="B6" s="127" t="s">
        <v>190</v>
      </c>
      <c r="C6" s="128" t="s">
        <v>191</v>
      </c>
    </row>
    <row r="7" spans="1:3" ht="15" x14ac:dyDescent="0.25">
      <c r="A7" s="127" t="s">
        <v>119</v>
      </c>
      <c r="B7" s="127" t="s">
        <v>192</v>
      </c>
      <c r="C7" s="128" t="s">
        <v>193</v>
      </c>
    </row>
    <row r="8" spans="1:3" ht="15" x14ac:dyDescent="0.25">
      <c r="A8" s="127" t="s">
        <v>115</v>
      </c>
      <c r="B8" s="127" t="s">
        <v>194</v>
      </c>
      <c r="C8" s="128" t="s">
        <v>195</v>
      </c>
    </row>
    <row r="9" spans="1:3" ht="30" x14ac:dyDescent="0.25">
      <c r="A9" s="127" t="s">
        <v>113</v>
      </c>
      <c r="B9" s="127" t="s">
        <v>196</v>
      </c>
      <c r="C9" s="128" t="s">
        <v>197</v>
      </c>
    </row>
    <row r="10" spans="1:3" ht="15" x14ac:dyDescent="0.25">
      <c r="A10" s="127" t="s">
        <v>117</v>
      </c>
      <c r="B10" s="127" t="s">
        <v>198</v>
      </c>
      <c r="C10" s="128" t="s">
        <v>199</v>
      </c>
    </row>
    <row r="11" spans="1:3" ht="15" x14ac:dyDescent="0.25">
      <c r="A11" s="127" t="s">
        <v>119</v>
      </c>
      <c r="B11" s="127" t="s">
        <v>198</v>
      </c>
      <c r="C11" s="128" t="s">
        <v>199</v>
      </c>
    </row>
    <row r="12" spans="1:3" ht="15" x14ac:dyDescent="0.25">
      <c r="A12" s="127" t="s">
        <v>115</v>
      </c>
      <c r="B12" s="127" t="s">
        <v>198</v>
      </c>
      <c r="C12" s="128" t="s">
        <v>199</v>
      </c>
    </row>
    <row r="13" spans="1:3" ht="15" x14ac:dyDescent="0.25">
      <c r="A13" s="127" t="s">
        <v>113</v>
      </c>
      <c r="B13" s="127" t="s">
        <v>198</v>
      </c>
      <c r="C13" s="128" t="s">
        <v>199</v>
      </c>
    </row>
    <row r="14" spans="1:3" ht="15" x14ac:dyDescent="0.25">
      <c r="A14" s="127" t="s">
        <v>148</v>
      </c>
      <c r="B14" s="127" t="s">
        <v>200</v>
      </c>
      <c r="C14" s="128" t="s">
        <v>201</v>
      </c>
    </row>
    <row r="15" spans="1:3" ht="15" x14ac:dyDescent="0.25">
      <c r="A15" s="127" t="s">
        <v>148</v>
      </c>
      <c r="B15" s="127" t="s">
        <v>202</v>
      </c>
      <c r="C15" s="128" t="s">
        <v>203</v>
      </c>
    </row>
    <row r="16" spans="1:3" ht="15" x14ac:dyDescent="0.25">
      <c r="A16" s="127" t="s">
        <v>148</v>
      </c>
      <c r="B16" s="127" t="s">
        <v>204</v>
      </c>
      <c r="C16" s="128" t="s">
        <v>205</v>
      </c>
    </row>
    <row r="17" spans="1:3" ht="30" x14ac:dyDescent="0.25">
      <c r="A17" s="127" t="s">
        <v>148</v>
      </c>
      <c r="B17" s="127" t="s">
        <v>206</v>
      </c>
      <c r="C17" s="128" t="s">
        <v>207</v>
      </c>
    </row>
    <row r="18" spans="1:3" ht="15" x14ac:dyDescent="0.25">
      <c r="A18" s="127" t="s">
        <v>148</v>
      </c>
      <c r="B18" s="127" t="s">
        <v>208</v>
      </c>
      <c r="C18" s="128" t="s">
        <v>209</v>
      </c>
    </row>
    <row r="19" spans="1:3" ht="15" x14ac:dyDescent="0.25">
      <c r="A19" s="127" t="s">
        <v>180</v>
      </c>
      <c r="B19" s="127" t="s">
        <v>200</v>
      </c>
      <c r="C19" s="128" t="s">
        <v>201</v>
      </c>
    </row>
    <row r="20" spans="1:3" ht="15" x14ac:dyDescent="0.25">
      <c r="A20" s="127" t="s">
        <v>180</v>
      </c>
      <c r="B20" s="127" t="s">
        <v>202</v>
      </c>
      <c r="C20" s="128" t="s">
        <v>203</v>
      </c>
    </row>
    <row r="21" spans="1:3" ht="15" x14ac:dyDescent="0.25">
      <c r="A21" s="127" t="s">
        <v>180</v>
      </c>
      <c r="B21" s="127" t="s">
        <v>204</v>
      </c>
      <c r="C21" s="128" t="s">
        <v>205</v>
      </c>
    </row>
    <row r="22" spans="1:3" ht="30" x14ac:dyDescent="0.25">
      <c r="A22" s="127" t="s">
        <v>180</v>
      </c>
      <c r="B22" s="127" t="s">
        <v>206</v>
      </c>
      <c r="C22" s="128" t="s">
        <v>207</v>
      </c>
    </row>
    <row r="23" spans="1:3" ht="15" x14ac:dyDescent="0.25">
      <c r="A23" s="127" t="s">
        <v>180</v>
      </c>
      <c r="B23" s="127" t="s">
        <v>208</v>
      </c>
      <c r="C23" s="128" t="s">
        <v>209</v>
      </c>
    </row>
    <row r="24" spans="1:3" ht="45" x14ac:dyDescent="0.25">
      <c r="A24" s="127" t="s">
        <v>105</v>
      </c>
      <c r="B24" s="127" t="s">
        <v>210</v>
      </c>
      <c r="C24" s="128" t="s">
        <v>211</v>
      </c>
    </row>
    <row r="25" spans="1:3" ht="15" x14ac:dyDescent="0.25">
      <c r="A25" s="127" t="s">
        <v>154</v>
      </c>
      <c r="B25" s="127" t="s">
        <v>154</v>
      </c>
      <c r="C25" s="128" t="s">
        <v>212</v>
      </c>
    </row>
    <row r="26" spans="1:3" ht="15" x14ac:dyDescent="0.25">
      <c r="A26" s="127" t="s">
        <v>158</v>
      </c>
      <c r="B26" s="127" t="s">
        <v>213</v>
      </c>
      <c r="C26" s="128" t="s">
        <v>214</v>
      </c>
    </row>
    <row r="27" spans="1:3" ht="30" x14ac:dyDescent="0.25">
      <c r="A27" s="127" t="s">
        <v>158</v>
      </c>
      <c r="B27" s="127" t="s">
        <v>215</v>
      </c>
      <c r="C27" s="128" t="s">
        <v>216</v>
      </c>
    </row>
    <row r="28" spans="1:3" ht="30" x14ac:dyDescent="0.25">
      <c r="A28" s="127" t="s">
        <v>158</v>
      </c>
      <c r="B28" s="127" t="s">
        <v>217</v>
      </c>
      <c r="C28" s="128" t="s">
        <v>218</v>
      </c>
    </row>
    <row r="29" spans="1:3" ht="15" x14ac:dyDescent="0.25">
      <c r="A29" s="127" t="s">
        <v>158</v>
      </c>
      <c r="B29" s="127" t="s">
        <v>219</v>
      </c>
      <c r="C29" s="128" t="s">
        <v>220</v>
      </c>
    </row>
    <row r="30" spans="1:3" ht="15" x14ac:dyDescent="0.25">
      <c r="A30" s="127" t="s">
        <v>181</v>
      </c>
      <c r="B30" s="127" t="s">
        <v>213</v>
      </c>
      <c r="C30" s="128" t="s">
        <v>214</v>
      </c>
    </row>
    <row r="31" spans="1:3" ht="30" x14ac:dyDescent="0.25">
      <c r="A31" s="127" t="s">
        <v>181</v>
      </c>
      <c r="B31" s="127" t="s">
        <v>215</v>
      </c>
      <c r="C31" s="128" t="s">
        <v>216</v>
      </c>
    </row>
    <row r="32" spans="1:3" ht="30" x14ac:dyDescent="0.25">
      <c r="A32" s="127" t="s">
        <v>181</v>
      </c>
      <c r="B32" s="127" t="s">
        <v>217</v>
      </c>
      <c r="C32" s="128" t="s">
        <v>218</v>
      </c>
    </row>
    <row r="33" spans="1:3" ht="15" x14ac:dyDescent="0.25">
      <c r="A33" s="127" t="s">
        <v>181</v>
      </c>
      <c r="B33" s="127" t="s">
        <v>219</v>
      </c>
      <c r="C33" s="128" t="s">
        <v>220</v>
      </c>
    </row>
    <row r="34" spans="1:3" ht="15" x14ac:dyDescent="0.25">
      <c r="A34" s="127" t="s">
        <v>121</v>
      </c>
      <c r="B34" s="127" t="s">
        <v>221</v>
      </c>
      <c r="C34" s="128" t="s">
        <v>222</v>
      </c>
    </row>
    <row r="35" spans="1:3" ht="15" x14ac:dyDescent="0.25">
      <c r="A35" s="127" t="s">
        <v>223</v>
      </c>
      <c r="B35" s="127" t="s">
        <v>221</v>
      </c>
      <c r="C35" s="128" t="s">
        <v>222</v>
      </c>
    </row>
    <row r="36" spans="1:3" ht="45" x14ac:dyDescent="0.25">
      <c r="A36" s="127" t="s">
        <v>224</v>
      </c>
      <c r="B36" s="127" t="s">
        <v>224</v>
      </c>
      <c r="C36" s="128" t="s">
        <v>225</v>
      </c>
    </row>
    <row r="37" spans="1:3" ht="45" x14ac:dyDescent="0.25">
      <c r="A37" s="127" t="s">
        <v>226</v>
      </c>
      <c r="B37" s="127" t="s">
        <v>226</v>
      </c>
      <c r="C37" s="128" t="s">
        <v>227</v>
      </c>
    </row>
    <row r="38" spans="1:3" ht="15" x14ac:dyDescent="0.25">
      <c r="A38" s="127" t="s">
        <v>170</v>
      </c>
      <c r="B38" s="127" t="s">
        <v>170</v>
      </c>
      <c r="C38" s="128" t="s">
        <v>228</v>
      </c>
    </row>
    <row r="39" spans="1:3" ht="30" x14ac:dyDescent="0.25">
      <c r="A39" s="127" t="s">
        <v>173</v>
      </c>
      <c r="B39" s="127" t="s">
        <v>229</v>
      </c>
      <c r="C39" s="128" t="s">
        <v>230</v>
      </c>
    </row>
    <row r="40" spans="1:3" ht="30" x14ac:dyDescent="0.25">
      <c r="A40" s="127" t="s">
        <v>231</v>
      </c>
      <c r="B40" s="127" t="s">
        <v>232</v>
      </c>
      <c r="C40" s="128" t="s">
        <v>233</v>
      </c>
    </row>
    <row r="41" spans="1:3" ht="30" x14ac:dyDescent="0.25">
      <c r="A41" s="127" t="s">
        <v>234</v>
      </c>
      <c r="B41" s="127" t="s">
        <v>235</v>
      </c>
      <c r="C41" s="128" t="s">
        <v>236</v>
      </c>
    </row>
    <row r="42" spans="1:3" ht="15" x14ac:dyDescent="0.25">
      <c r="A42" s="127" t="s">
        <v>237</v>
      </c>
      <c r="B42" s="127" t="s">
        <v>238</v>
      </c>
      <c r="C42" s="128" t="s">
        <v>239</v>
      </c>
    </row>
    <row r="43" spans="1:3" ht="15" x14ac:dyDescent="0.25">
      <c r="A43" s="127" t="s">
        <v>240</v>
      </c>
      <c r="B43" s="127" t="s">
        <v>241</v>
      </c>
      <c r="C43" s="128" t="s">
        <v>242</v>
      </c>
    </row>
    <row r="44" spans="1:3" ht="15" x14ac:dyDescent="0.25">
      <c r="A44" s="127" t="s">
        <v>243</v>
      </c>
      <c r="B44" s="127" t="s">
        <v>243</v>
      </c>
      <c r="C44" s="128" t="s">
        <v>244</v>
      </c>
    </row>
    <row r="45" spans="1:3" ht="15" x14ac:dyDescent="0.25">
      <c r="A45" s="127" t="s">
        <v>175</v>
      </c>
      <c r="B45" s="127" t="s">
        <v>175</v>
      </c>
      <c r="C45" s="128" t="s">
        <v>245</v>
      </c>
    </row>
    <row r="46" spans="1:3" ht="15" x14ac:dyDescent="0.25">
      <c r="A46" s="127" t="s">
        <v>246</v>
      </c>
      <c r="B46" s="127" t="s">
        <v>246</v>
      </c>
      <c r="C46" s="128" t="s">
        <v>247</v>
      </c>
    </row>
    <row r="47" spans="1:3" ht="15" x14ac:dyDescent="0.25">
      <c r="A47" s="127" t="s">
        <v>177</v>
      </c>
      <c r="B47" s="127" t="s">
        <v>177</v>
      </c>
      <c r="C47" s="128" t="s">
        <v>248</v>
      </c>
    </row>
    <row r="48" spans="1:3" ht="30" x14ac:dyDescent="0.25">
      <c r="A48" s="127" t="s">
        <v>249</v>
      </c>
      <c r="B48" s="127" t="s">
        <v>249</v>
      </c>
      <c r="C48" s="128" t="s">
        <v>250</v>
      </c>
    </row>
    <row r="49" spans="1:3" ht="15" x14ac:dyDescent="0.25">
      <c r="A49" s="127" t="s">
        <v>144</v>
      </c>
      <c r="B49" s="127" t="s">
        <v>251</v>
      </c>
      <c r="C49" s="128"/>
    </row>
    <row r="50" spans="1:3" ht="15" x14ac:dyDescent="0.25">
      <c r="A50" s="127" t="s">
        <v>144</v>
      </c>
      <c r="B50" s="127" t="s">
        <v>252</v>
      </c>
      <c r="C50" s="128"/>
    </row>
    <row r="51" spans="1:3" ht="15" x14ac:dyDescent="0.25">
      <c r="A51" s="127" t="s">
        <v>144</v>
      </c>
      <c r="B51" s="127" t="s">
        <v>253</v>
      </c>
      <c r="C51" s="128"/>
    </row>
    <row r="52" spans="1:3" ht="15" x14ac:dyDescent="0.25">
      <c r="A52" s="127" t="s">
        <v>144</v>
      </c>
      <c r="B52" s="127" t="s">
        <v>254</v>
      </c>
      <c r="C52" s="128"/>
    </row>
    <row r="53" spans="1:3" ht="15" x14ac:dyDescent="0.25">
      <c r="A53" s="127" t="s">
        <v>144</v>
      </c>
      <c r="B53" s="127" t="s">
        <v>255</v>
      </c>
      <c r="C53" s="128"/>
    </row>
    <row r="54" spans="1:3" ht="15" x14ac:dyDescent="0.25">
      <c r="A54" s="127" t="s">
        <v>179</v>
      </c>
      <c r="B54" s="127" t="s">
        <v>251</v>
      </c>
      <c r="C54" s="128"/>
    </row>
    <row r="55" spans="1:3" ht="15" x14ac:dyDescent="0.25">
      <c r="A55" s="127" t="s">
        <v>179</v>
      </c>
      <c r="B55" s="127" t="s">
        <v>252</v>
      </c>
      <c r="C55" s="128"/>
    </row>
    <row r="56" spans="1:3" ht="15" x14ac:dyDescent="0.25">
      <c r="A56" s="127" t="s">
        <v>179</v>
      </c>
      <c r="B56" s="127" t="s">
        <v>253</v>
      </c>
      <c r="C56" s="128"/>
    </row>
    <row r="57" spans="1:3" ht="15" x14ac:dyDescent="0.25">
      <c r="A57" s="127" t="s">
        <v>179</v>
      </c>
      <c r="B57" s="127" t="s">
        <v>254</v>
      </c>
      <c r="C57" s="128"/>
    </row>
    <row r="58" spans="1:3" ht="15" x14ac:dyDescent="0.25">
      <c r="A58" s="127" t="s">
        <v>179</v>
      </c>
      <c r="B58" s="127" t="s">
        <v>255</v>
      </c>
      <c r="C58" s="128"/>
    </row>
    <row r="59" spans="1:3" ht="15" x14ac:dyDescent="0.25">
      <c r="A59" s="127" t="s">
        <v>256</v>
      </c>
      <c r="B59" s="127" t="s">
        <v>256</v>
      </c>
      <c r="C59" s="128" t="s">
        <v>257</v>
      </c>
    </row>
    <row r="60" spans="1:3" ht="15" x14ac:dyDescent="0.25">
      <c r="A60" s="127" t="s">
        <v>258</v>
      </c>
      <c r="B60" s="127" t="s">
        <v>258</v>
      </c>
      <c r="C60" s="128" t="s">
        <v>257</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07EE2-0352-4836-ADA0-F267865D0942}">
  <sheetPr codeName="Sheet16"/>
  <dimension ref="A1:F190"/>
  <sheetViews>
    <sheetView zoomScale="80" zoomScaleNormal="80" workbookViewId="0">
      <pane ySplit="9" topLeftCell="A40" activePane="bottomLeft" state="frozen"/>
      <selection pane="bottomLeft" activeCell="B40" sqref="B40"/>
    </sheetView>
  </sheetViews>
  <sheetFormatPr defaultRowHeight="14.25" x14ac:dyDescent="0.2"/>
  <cols>
    <col min="1" max="1" width="19.875" customWidth="1"/>
    <col min="2" max="2" width="52.75" bestFit="1" customWidth="1"/>
    <col min="3" max="3" width="10.5" bestFit="1" customWidth="1"/>
    <col min="4" max="4" width="15.875" bestFit="1" customWidth="1"/>
    <col min="5" max="5" width="31.375" bestFit="1" customWidth="1"/>
    <col min="6" max="6" width="29.75" bestFit="1" customWidth="1"/>
    <col min="7" max="51" width="100.5" bestFit="1" customWidth="1"/>
    <col min="52" max="52" width="20.375" bestFit="1" customWidth="1"/>
    <col min="53" max="53" width="35.375" bestFit="1" customWidth="1"/>
    <col min="54" max="78" width="11" customWidth="1"/>
  </cols>
  <sheetData>
    <row r="1" spans="1:6" x14ac:dyDescent="0.2">
      <c r="A1" t="s">
        <v>259</v>
      </c>
    </row>
    <row r="2" spans="1:6" ht="15" x14ac:dyDescent="0.25">
      <c r="A2" s="75" t="s">
        <v>260</v>
      </c>
    </row>
    <row r="4" spans="1:6" x14ac:dyDescent="0.2">
      <c r="A4" s="77" t="s">
        <v>261</v>
      </c>
      <c r="B4" t="s">
        <v>262</v>
      </c>
    </row>
    <row r="5" spans="1:6" x14ac:dyDescent="0.2">
      <c r="A5" s="77" t="s">
        <v>263</v>
      </c>
      <c r="B5" t="s">
        <v>262</v>
      </c>
    </row>
    <row r="7" spans="1:6" x14ac:dyDescent="0.2">
      <c r="D7" s="77" t="s">
        <v>264</v>
      </c>
    </row>
    <row r="8" spans="1:6" x14ac:dyDescent="0.2">
      <c r="A8" s="77" t="s">
        <v>265</v>
      </c>
      <c r="B8" s="77" t="s">
        <v>266</v>
      </c>
      <c r="C8" s="77" t="s">
        <v>267</v>
      </c>
      <c r="D8" t="s">
        <v>268</v>
      </c>
      <c r="E8" t="s">
        <v>269</v>
      </c>
      <c r="F8" t="s">
        <v>270</v>
      </c>
    </row>
    <row r="9" spans="1:6" x14ac:dyDescent="0.2">
      <c r="A9" t="s">
        <v>109</v>
      </c>
      <c r="B9" t="s">
        <v>271</v>
      </c>
      <c r="C9" t="s">
        <v>272</v>
      </c>
      <c r="D9">
        <v>1</v>
      </c>
      <c r="E9">
        <v>1</v>
      </c>
    </row>
    <row r="10" spans="1:6" x14ac:dyDescent="0.2">
      <c r="A10" t="s">
        <v>111</v>
      </c>
      <c r="B10" t="s">
        <v>273</v>
      </c>
      <c r="C10" t="s">
        <v>274</v>
      </c>
      <c r="D10">
        <v>1</v>
      </c>
      <c r="E10">
        <v>1</v>
      </c>
    </row>
    <row r="11" spans="1:6" x14ac:dyDescent="0.2">
      <c r="A11" t="s">
        <v>275</v>
      </c>
      <c r="B11" t="s">
        <v>276</v>
      </c>
      <c r="C11">
        <v>1</v>
      </c>
      <c r="D11">
        <v>1</v>
      </c>
    </row>
    <row r="12" spans="1:6" x14ac:dyDescent="0.2">
      <c r="A12" t="s">
        <v>277</v>
      </c>
      <c r="B12" t="s">
        <v>278</v>
      </c>
      <c r="C12" t="s">
        <v>279</v>
      </c>
      <c r="D12">
        <v>1</v>
      </c>
    </row>
    <row r="13" spans="1:6" x14ac:dyDescent="0.2">
      <c r="A13" t="s">
        <v>280</v>
      </c>
      <c r="B13" t="s">
        <v>281</v>
      </c>
      <c r="C13" t="s">
        <v>282</v>
      </c>
      <c r="D13">
        <v>1</v>
      </c>
    </row>
    <row r="14" spans="1:6" x14ac:dyDescent="0.2">
      <c r="A14" t="s">
        <v>283</v>
      </c>
      <c r="B14" t="s">
        <v>281</v>
      </c>
      <c r="C14" t="s">
        <v>282</v>
      </c>
      <c r="D14">
        <v>1</v>
      </c>
    </row>
    <row r="15" spans="1:6" x14ac:dyDescent="0.2">
      <c r="A15" t="s">
        <v>284</v>
      </c>
      <c r="B15" t="s">
        <v>281</v>
      </c>
      <c r="C15" t="s">
        <v>282</v>
      </c>
      <c r="D15">
        <v>1</v>
      </c>
    </row>
    <row r="16" spans="1:6" x14ac:dyDescent="0.2">
      <c r="A16" t="s">
        <v>285</v>
      </c>
      <c r="B16" t="s">
        <v>281</v>
      </c>
      <c r="C16" t="s">
        <v>282</v>
      </c>
      <c r="D16">
        <v>1</v>
      </c>
    </row>
    <row r="17" spans="1:5" x14ac:dyDescent="0.2">
      <c r="A17" t="s">
        <v>286</v>
      </c>
      <c r="B17" t="s">
        <v>281</v>
      </c>
      <c r="C17" t="s">
        <v>282</v>
      </c>
      <c r="D17">
        <v>1</v>
      </c>
    </row>
    <row r="18" spans="1:5" x14ac:dyDescent="0.2">
      <c r="A18" t="s">
        <v>287</v>
      </c>
      <c r="B18" t="s">
        <v>281</v>
      </c>
      <c r="C18" t="s">
        <v>282</v>
      </c>
      <c r="D18">
        <v>1</v>
      </c>
    </row>
    <row r="19" spans="1:5" x14ac:dyDescent="0.2">
      <c r="A19" t="s">
        <v>288</v>
      </c>
      <c r="B19" t="s">
        <v>289</v>
      </c>
      <c r="C19" t="s">
        <v>279</v>
      </c>
      <c r="D19">
        <v>1</v>
      </c>
    </row>
    <row r="20" spans="1:5" x14ac:dyDescent="0.2">
      <c r="A20" t="s">
        <v>137</v>
      </c>
      <c r="B20" t="s">
        <v>290</v>
      </c>
      <c r="C20" t="s">
        <v>272</v>
      </c>
      <c r="D20">
        <v>1</v>
      </c>
    </row>
    <row r="21" spans="1:5" x14ac:dyDescent="0.2">
      <c r="A21" t="s">
        <v>246</v>
      </c>
      <c r="B21" t="s">
        <v>247</v>
      </c>
      <c r="C21" t="s">
        <v>282</v>
      </c>
      <c r="D21">
        <v>1</v>
      </c>
    </row>
    <row r="22" spans="1:5" x14ac:dyDescent="0.2">
      <c r="A22" t="s">
        <v>291</v>
      </c>
      <c r="B22" t="s">
        <v>247</v>
      </c>
      <c r="C22" t="s">
        <v>292</v>
      </c>
      <c r="D22">
        <v>1</v>
      </c>
    </row>
    <row r="23" spans="1:5" x14ac:dyDescent="0.2">
      <c r="A23" t="s">
        <v>293</v>
      </c>
      <c r="B23" t="s">
        <v>247</v>
      </c>
      <c r="C23" t="s">
        <v>282</v>
      </c>
      <c r="D23">
        <v>1</v>
      </c>
    </row>
    <row r="24" spans="1:5" x14ac:dyDescent="0.2">
      <c r="A24" t="s">
        <v>294</v>
      </c>
      <c r="B24" t="s">
        <v>247</v>
      </c>
      <c r="C24">
        <v>0</v>
      </c>
      <c r="D24">
        <v>1</v>
      </c>
    </row>
    <row r="25" spans="1:5" x14ac:dyDescent="0.2">
      <c r="A25" t="s">
        <v>295</v>
      </c>
      <c r="B25" t="s">
        <v>247</v>
      </c>
      <c r="C25" t="s">
        <v>292</v>
      </c>
      <c r="D25">
        <v>1</v>
      </c>
    </row>
    <row r="26" spans="1:5" x14ac:dyDescent="0.2">
      <c r="A26" t="s">
        <v>296</v>
      </c>
      <c r="B26" t="s">
        <v>247</v>
      </c>
      <c r="C26" t="s">
        <v>292</v>
      </c>
      <c r="D26">
        <v>1</v>
      </c>
    </row>
    <row r="27" spans="1:5" x14ac:dyDescent="0.2">
      <c r="A27" t="s">
        <v>297</v>
      </c>
      <c r="B27" t="s">
        <v>298</v>
      </c>
      <c r="C27">
        <v>1</v>
      </c>
      <c r="D27">
        <v>1</v>
      </c>
      <c r="E27">
        <v>1</v>
      </c>
    </row>
    <row r="28" spans="1:5" x14ac:dyDescent="0.2">
      <c r="A28" t="s">
        <v>117</v>
      </c>
      <c r="B28" t="s">
        <v>299</v>
      </c>
      <c r="C28" t="s">
        <v>272</v>
      </c>
      <c r="D28">
        <v>1</v>
      </c>
    </row>
    <row r="29" spans="1:5" x14ac:dyDescent="0.2">
      <c r="A29" t="s">
        <v>300</v>
      </c>
      <c r="B29" t="s">
        <v>301</v>
      </c>
      <c r="C29" t="s">
        <v>282</v>
      </c>
      <c r="D29">
        <v>1</v>
      </c>
      <c r="E29">
        <v>1</v>
      </c>
    </row>
    <row r="30" spans="1:5" x14ac:dyDescent="0.2">
      <c r="A30" t="s">
        <v>144</v>
      </c>
      <c r="B30" t="s">
        <v>302</v>
      </c>
      <c r="C30">
        <v>1</v>
      </c>
      <c r="D30">
        <v>1</v>
      </c>
      <c r="E30">
        <v>1</v>
      </c>
    </row>
    <row r="31" spans="1:5" x14ac:dyDescent="0.2">
      <c r="A31" t="s">
        <v>303</v>
      </c>
      <c r="B31" t="s">
        <v>304</v>
      </c>
      <c r="C31" t="s">
        <v>279</v>
      </c>
      <c r="D31">
        <v>1</v>
      </c>
    </row>
    <row r="32" spans="1:5" x14ac:dyDescent="0.2">
      <c r="A32" t="s">
        <v>305</v>
      </c>
      <c r="B32" t="s">
        <v>306</v>
      </c>
      <c r="C32" t="s">
        <v>279</v>
      </c>
      <c r="D32">
        <v>1</v>
      </c>
      <c r="E32">
        <v>1</v>
      </c>
    </row>
    <row r="33" spans="1:6" x14ac:dyDescent="0.2">
      <c r="A33" t="s">
        <v>148</v>
      </c>
      <c r="B33" t="s">
        <v>307</v>
      </c>
      <c r="C33">
        <v>1</v>
      </c>
      <c r="D33">
        <v>1</v>
      </c>
      <c r="E33">
        <v>1</v>
      </c>
    </row>
    <row r="34" spans="1:6" x14ac:dyDescent="0.2">
      <c r="A34" t="s">
        <v>308</v>
      </c>
      <c r="B34" t="s">
        <v>309</v>
      </c>
      <c r="C34" t="s">
        <v>279</v>
      </c>
      <c r="D34">
        <v>1</v>
      </c>
      <c r="F34">
        <v>1</v>
      </c>
    </row>
    <row r="35" spans="1:6" x14ac:dyDescent="0.2">
      <c r="A35" t="s">
        <v>310</v>
      </c>
      <c r="B35" t="s">
        <v>311</v>
      </c>
      <c r="C35" t="s">
        <v>279</v>
      </c>
      <c r="D35">
        <v>1</v>
      </c>
    </row>
    <row r="36" spans="1:6" x14ac:dyDescent="0.2">
      <c r="A36" t="s">
        <v>312</v>
      </c>
      <c r="B36" t="s">
        <v>313</v>
      </c>
      <c r="C36" t="s">
        <v>274</v>
      </c>
      <c r="D36">
        <v>1</v>
      </c>
    </row>
    <row r="37" spans="1:6" x14ac:dyDescent="0.2">
      <c r="A37" t="s">
        <v>105</v>
      </c>
      <c r="B37" t="s">
        <v>314</v>
      </c>
      <c r="C37" t="s">
        <v>282</v>
      </c>
      <c r="D37">
        <v>1</v>
      </c>
    </row>
    <row r="38" spans="1:6" x14ac:dyDescent="0.2">
      <c r="A38" t="s">
        <v>154</v>
      </c>
      <c r="B38" t="s">
        <v>315</v>
      </c>
      <c r="C38" t="s">
        <v>282</v>
      </c>
      <c r="D38">
        <v>1</v>
      </c>
    </row>
    <row r="39" spans="1:6" x14ac:dyDescent="0.2">
      <c r="A39" t="s">
        <v>158</v>
      </c>
      <c r="B39" t="s">
        <v>316</v>
      </c>
      <c r="C39">
        <v>1</v>
      </c>
      <c r="D39">
        <v>1</v>
      </c>
    </row>
    <row r="40" spans="1:6" x14ac:dyDescent="0.2">
      <c r="A40" t="s">
        <v>119</v>
      </c>
      <c r="B40" t="s">
        <v>317</v>
      </c>
      <c r="C40" t="s">
        <v>272</v>
      </c>
      <c r="D40">
        <v>1</v>
      </c>
    </row>
    <row r="41" spans="1:6" x14ac:dyDescent="0.2">
      <c r="A41" t="s">
        <v>107</v>
      </c>
      <c r="B41" t="s">
        <v>318</v>
      </c>
      <c r="C41" t="s">
        <v>282</v>
      </c>
      <c r="D41">
        <v>1</v>
      </c>
    </row>
    <row r="42" spans="1:6" x14ac:dyDescent="0.2">
      <c r="A42" t="s">
        <v>113</v>
      </c>
      <c r="B42" t="s">
        <v>319</v>
      </c>
      <c r="C42" t="s">
        <v>272</v>
      </c>
      <c r="D42">
        <v>1</v>
      </c>
    </row>
    <row r="43" spans="1:6" x14ac:dyDescent="0.2">
      <c r="A43" t="s">
        <v>121</v>
      </c>
      <c r="B43" t="s">
        <v>320</v>
      </c>
      <c r="C43">
        <v>1</v>
      </c>
      <c r="D43">
        <v>1</v>
      </c>
      <c r="E43">
        <v>1</v>
      </c>
    </row>
    <row r="44" spans="1:6" x14ac:dyDescent="0.2">
      <c r="A44" t="s">
        <v>321</v>
      </c>
      <c r="B44" t="s">
        <v>322</v>
      </c>
      <c r="C44" t="s">
        <v>282</v>
      </c>
      <c r="D44">
        <v>1</v>
      </c>
      <c r="E44">
        <v>1</v>
      </c>
    </row>
    <row r="45" spans="1:6" x14ac:dyDescent="0.2">
      <c r="A45" t="s">
        <v>323</v>
      </c>
      <c r="B45" t="s">
        <v>324</v>
      </c>
      <c r="C45" t="s">
        <v>282</v>
      </c>
      <c r="D45">
        <v>1</v>
      </c>
    </row>
    <row r="46" spans="1:6" x14ac:dyDescent="0.2">
      <c r="A46" t="s">
        <v>325</v>
      </c>
      <c r="B46" t="s">
        <v>326</v>
      </c>
      <c r="C46">
        <v>3</v>
      </c>
      <c r="D46">
        <v>1</v>
      </c>
      <c r="E46">
        <v>1</v>
      </c>
    </row>
    <row r="47" spans="1:6" x14ac:dyDescent="0.2">
      <c r="A47" t="s">
        <v>115</v>
      </c>
      <c r="B47" t="s">
        <v>327</v>
      </c>
      <c r="C47" t="s">
        <v>272</v>
      </c>
      <c r="D47">
        <v>1</v>
      </c>
    </row>
    <row r="48" spans="1:6" x14ac:dyDescent="0.2">
      <c r="A48" t="s">
        <v>328</v>
      </c>
      <c r="B48" t="s">
        <v>329</v>
      </c>
      <c r="C48" t="s">
        <v>279</v>
      </c>
      <c r="D48">
        <v>1</v>
      </c>
    </row>
    <row r="49" spans="1:6" x14ac:dyDescent="0.2">
      <c r="A49" t="s">
        <v>330</v>
      </c>
      <c r="B49" t="s">
        <v>331</v>
      </c>
      <c r="C49">
        <v>1</v>
      </c>
      <c r="D49">
        <v>1</v>
      </c>
    </row>
    <row r="50" spans="1:6" x14ac:dyDescent="0.2">
      <c r="A50" t="s">
        <v>332</v>
      </c>
      <c r="B50" t="s">
        <v>333</v>
      </c>
      <c r="C50" t="s">
        <v>334</v>
      </c>
      <c r="D50">
        <v>1</v>
      </c>
      <c r="F50">
        <v>1</v>
      </c>
    </row>
    <row r="51" spans="1:6" x14ac:dyDescent="0.2">
      <c r="A51" t="s">
        <v>335</v>
      </c>
      <c r="B51" t="s">
        <v>336</v>
      </c>
      <c r="C51" t="s">
        <v>279</v>
      </c>
      <c r="D51">
        <v>1</v>
      </c>
      <c r="F51">
        <v>1</v>
      </c>
    </row>
    <row r="52" spans="1:6" x14ac:dyDescent="0.2">
      <c r="A52" t="s">
        <v>337</v>
      </c>
      <c r="B52" t="s">
        <v>338</v>
      </c>
      <c r="C52" t="s">
        <v>279</v>
      </c>
      <c r="D52">
        <v>1</v>
      </c>
      <c r="F52">
        <v>1</v>
      </c>
    </row>
    <row r="53" spans="1:6" x14ac:dyDescent="0.2">
      <c r="A53" t="s">
        <v>339</v>
      </c>
      <c r="B53" t="s">
        <v>340</v>
      </c>
      <c r="C53" t="s">
        <v>279</v>
      </c>
      <c r="D53">
        <v>1</v>
      </c>
      <c r="F53">
        <v>1</v>
      </c>
    </row>
    <row r="54" spans="1:6" x14ac:dyDescent="0.2">
      <c r="A54" t="s">
        <v>341</v>
      </c>
      <c r="B54" t="s">
        <v>342</v>
      </c>
      <c r="C54" t="s">
        <v>334</v>
      </c>
      <c r="D54">
        <v>1</v>
      </c>
      <c r="F54">
        <v>1</v>
      </c>
    </row>
    <row r="55" spans="1:6" x14ac:dyDescent="0.2">
      <c r="A55" t="s">
        <v>343</v>
      </c>
      <c r="B55" t="s">
        <v>344</v>
      </c>
      <c r="C55" t="s">
        <v>334</v>
      </c>
      <c r="D55">
        <v>1</v>
      </c>
      <c r="F55">
        <v>1</v>
      </c>
    </row>
    <row r="56" spans="1:6" x14ac:dyDescent="0.2">
      <c r="A56" t="s">
        <v>345</v>
      </c>
      <c r="B56" t="s">
        <v>346</v>
      </c>
      <c r="C56" t="s">
        <v>279</v>
      </c>
      <c r="D56">
        <v>1</v>
      </c>
    </row>
    <row r="57" spans="1:6" x14ac:dyDescent="0.2">
      <c r="A57" t="s">
        <v>347</v>
      </c>
      <c r="B57" t="s">
        <v>348</v>
      </c>
      <c r="C57" t="s">
        <v>279</v>
      </c>
      <c r="D57">
        <v>1</v>
      </c>
    </row>
    <row r="58" spans="1:6" x14ac:dyDescent="0.2">
      <c r="A58" t="s">
        <v>349</v>
      </c>
      <c r="B58" t="s">
        <v>350</v>
      </c>
      <c r="C58" t="s">
        <v>279</v>
      </c>
      <c r="D58">
        <v>1</v>
      </c>
      <c r="E58">
        <v>1</v>
      </c>
    </row>
    <row r="59" spans="1:6" x14ac:dyDescent="0.2">
      <c r="A59" t="s">
        <v>351</v>
      </c>
      <c r="B59" t="s">
        <v>352</v>
      </c>
      <c r="C59" t="s">
        <v>279</v>
      </c>
      <c r="D59">
        <v>1</v>
      </c>
    </row>
    <row r="60" spans="1:6" x14ac:dyDescent="0.2">
      <c r="A60" t="s">
        <v>353</v>
      </c>
      <c r="B60" t="s">
        <v>354</v>
      </c>
      <c r="C60" t="s">
        <v>279</v>
      </c>
      <c r="D60">
        <v>1</v>
      </c>
    </row>
    <row r="61" spans="1:6" x14ac:dyDescent="0.2">
      <c r="A61" t="s">
        <v>355</v>
      </c>
      <c r="B61" t="s">
        <v>356</v>
      </c>
      <c r="C61" t="s">
        <v>279</v>
      </c>
      <c r="D61">
        <v>1</v>
      </c>
    </row>
    <row r="62" spans="1:6" x14ac:dyDescent="0.2">
      <c r="A62" t="s">
        <v>357</v>
      </c>
      <c r="B62" t="s">
        <v>358</v>
      </c>
      <c r="C62" t="s">
        <v>279</v>
      </c>
      <c r="D62">
        <v>1</v>
      </c>
    </row>
    <row r="63" spans="1:6" x14ac:dyDescent="0.2">
      <c r="A63" t="s">
        <v>359</v>
      </c>
      <c r="B63" t="s">
        <v>360</v>
      </c>
      <c r="C63">
        <v>1</v>
      </c>
      <c r="D63">
        <v>1</v>
      </c>
    </row>
    <row r="64" spans="1:6" x14ac:dyDescent="0.2">
      <c r="A64" t="s">
        <v>361</v>
      </c>
      <c r="B64" t="s">
        <v>362</v>
      </c>
      <c r="C64">
        <v>1</v>
      </c>
      <c r="D64">
        <v>1</v>
      </c>
      <c r="F64">
        <v>1</v>
      </c>
    </row>
    <row r="65" spans="1:5" x14ac:dyDescent="0.2">
      <c r="A65" t="s">
        <v>224</v>
      </c>
      <c r="B65" t="s">
        <v>363</v>
      </c>
      <c r="C65">
        <v>3</v>
      </c>
      <c r="D65">
        <v>1</v>
      </c>
    </row>
    <row r="66" spans="1:5" x14ac:dyDescent="0.2">
      <c r="A66" t="s">
        <v>226</v>
      </c>
      <c r="B66" t="s">
        <v>364</v>
      </c>
      <c r="C66">
        <v>3</v>
      </c>
      <c r="D66">
        <v>1</v>
      </c>
    </row>
    <row r="67" spans="1:5" x14ac:dyDescent="0.2">
      <c r="A67" t="s">
        <v>365</v>
      </c>
      <c r="B67" t="s">
        <v>366</v>
      </c>
      <c r="C67">
        <v>3</v>
      </c>
      <c r="D67">
        <v>1</v>
      </c>
    </row>
    <row r="68" spans="1:5" x14ac:dyDescent="0.2">
      <c r="A68" t="s">
        <v>367</v>
      </c>
      <c r="B68" t="s">
        <v>368</v>
      </c>
      <c r="C68" t="s">
        <v>279</v>
      </c>
      <c r="D68">
        <v>1</v>
      </c>
    </row>
    <row r="69" spans="1:5" x14ac:dyDescent="0.2">
      <c r="A69" t="s">
        <v>369</v>
      </c>
      <c r="B69" t="s">
        <v>370</v>
      </c>
      <c r="C69">
        <v>3</v>
      </c>
      <c r="D69">
        <v>1</v>
      </c>
    </row>
    <row r="70" spans="1:5" x14ac:dyDescent="0.2">
      <c r="A70" t="s">
        <v>237</v>
      </c>
      <c r="B70" t="s">
        <v>371</v>
      </c>
      <c r="C70" t="s">
        <v>292</v>
      </c>
      <c r="D70">
        <v>1</v>
      </c>
      <c r="E70">
        <v>1</v>
      </c>
    </row>
    <row r="71" spans="1:5" x14ac:dyDescent="0.2">
      <c r="A71" t="s">
        <v>240</v>
      </c>
      <c r="B71" t="s">
        <v>372</v>
      </c>
      <c r="C71" t="s">
        <v>282</v>
      </c>
      <c r="D71">
        <v>1</v>
      </c>
      <c r="E71">
        <v>1</v>
      </c>
    </row>
    <row r="72" spans="1:5" x14ac:dyDescent="0.2">
      <c r="A72" t="s">
        <v>373</v>
      </c>
      <c r="B72" t="s">
        <v>374</v>
      </c>
      <c r="C72" t="s">
        <v>274</v>
      </c>
      <c r="D72">
        <v>1</v>
      </c>
      <c r="E72">
        <v>1</v>
      </c>
    </row>
    <row r="73" spans="1:5" x14ac:dyDescent="0.2">
      <c r="A73" t="s">
        <v>170</v>
      </c>
      <c r="B73" t="s">
        <v>228</v>
      </c>
      <c r="C73" t="s">
        <v>272</v>
      </c>
      <c r="D73">
        <v>1</v>
      </c>
    </row>
    <row r="74" spans="1:5" x14ac:dyDescent="0.2">
      <c r="A74" t="s">
        <v>375</v>
      </c>
      <c r="B74" t="s">
        <v>376</v>
      </c>
      <c r="C74" t="s">
        <v>272</v>
      </c>
      <c r="D74">
        <v>1</v>
      </c>
    </row>
    <row r="75" spans="1:5" x14ac:dyDescent="0.2">
      <c r="A75" t="s">
        <v>173</v>
      </c>
      <c r="B75" t="s">
        <v>377</v>
      </c>
      <c r="C75" t="s">
        <v>282</v>
      </c>
      <c r="D75">
        <v>1</v>
      </c>
    </row>
    <row r="76" spans="1:5" x14ac:dyDescent="0.2">
      <c r="A76" t="s">
        <v>231</v>
      </c>
      <c r="B76" t="s">
        <v>378</v>
      </c>
      <c r="C76">
        <v>3</v>
      </c>
      <c r="D76">
        <v>1</v>
      </c>
      <c r="E76">
        <v>1</v>
      </c>
    </row>
    <row r="77" spans="1:5" x14ac:dyDescent="0.2">
      <c r="A77" t="s">
        <v>379</v>
      </c>
      <c r="B77" t="s">
        <v>380</v>
      </c>
      <c r="C77" t="s">
        <v>279</v>
      </c>
      <c r="D77">
        <v>1</v>
      </c>
    </row>
    <row r="78" spans="1:5" x14ac:dyDescent="0.2">
      <c r="A78" t="s">
        <v>234</v>
      </c>
      <c r="B78" t="s">
        <v>381</v>
      </c>
      <c r="C78" t="s">
        <v>279</v>
      </c>
      <c r="D78">
        <v>1</v>
      </c>
      <c r="E78">
        <v>1</v>
      </c>
    </row>
    <row r="79" spans="1:5" x14ac:dyDescent="0.2">
      <c r="A79" t="s">
        <v>382</v>
      </c>
      <c r="B79" t="s">
        <v>383</v>
      </c>
      <c r="C79" t="s">
        <v>282</v>
      </c>
      <c r="D79">
        <v>1</v>
      </c>
    </row>
    <row r="80" spans="1:5" x14ac:dyDescent="0.2">
      <c r="A80" t="s">
        <v>384</v>
      </c>
      <c r="B80" t="s">
        <v>385</v>
      </c>
      <c r="C80">
        <v>3</v>
      </c>
      <c r="D80">
        <v>1</v>
      </c>
    </row>
    <row r="81" spans="1:5" x14ac:dyDescent="0.2">
      <c r="A81" t="s">
        <v>386</v>
      </c>
      <c r="B81" t="s">
        <v>387</v>
      </c>
      <c r="C81" t="s">
        <v>279</v>
      </c>
      <c r="D81">
        <v>1</v>
      </c>
    </row>
    <row r="82" spans="1:5" x14ac:dyDescent="0.2">
      <c r="A82" t="s">
        <v>388</v>
      </c>
      <c r="B82" t="s">
        <v>389</v>
      </c>
      <c r="C82" t="s">
        <v>282</v>
      </c>
      <c r="D82">
        <v>1</v>
      </c>
    </row>
    <row r="83" spans="1:5" x14ac:dyDescent="0.2">
      <c r="A83" t="s">
        <v>390</v>
      </c>
      <c r="B83" t="s">
        <v>391</v>
      </c>
      <c r="C83" t="s">
        <v>279</v>
      </c>
      <c r="D83">
        <v>1</v>
      </c>
      <c r="E83">
        <v>1</v>
      </c>
    </row>
    <row r="84" spans="1:5" x14ac:dyDescent="0.2">
      <c r="A84" t="s">
        <v>392</v>
      </c>
      <c r="B84" t="s">
        <v>393</v>
      </c>
      <c r="C84" t="s">
        <v>279</v>
      </c>
      <c r="D84">
        <v>1</v>
      </c>
      <c r="E84">
        <v>1</v>
      </c>
    </row>
    <row r="85" spans="1:5" x14ac:dyDescent="0.2">
      <c r="A85" t="s">
        <v>394</v>
      </c>
      <c r="B85" t="s">
        <v>395</v>
      </c>
      <c r="C85">
        <v>1</v>
      </c>
      <c r="D85">
        <v>1</v>
      </c>
      <c r="E85">
        <v>1</v>
      </c>
    </row>
    <row r="86" spans="1:5" x14ac:dyDescent="0.2">
      <c r="A86" t="s">
        <v>396</v>
      </c>
      <c r="B86" t="s">
        <v>397</v>
      </c>
      <c r="C86" t="s">
        <v>279</v>
      </c>
      <c r="D86">
        <v>1</v>
      </c>
      <c r="E86">
        <v>1</v>
      </c>
    </row>
    <row r="87" spans="1:5" x14ac:dyDescent="0.2">
      <c r="A87" t="s">
        <v>398</v>
      </c>
      <c r="B87" t="s">
        <v>399</v>
      </c>
      <c r="C87">
        <v>1</v>
      </c>
      <c r="D87">
        <v>1</v>
      </c>
      <c r="E87">
        <v>1</v>
      </c>
    </row>
    <row r="88" spans="1:5" x14ac:dyDescent="0.2">
      <c r="A88" t="s">
        <v>400</v>
      </c>
      <c r="B88" t="s">
        <v>391</v>
      </c>
      <c r="C88" t="s">
        <v>279</v>
      </c>
      <c r="D88">
        <v>1</v>
      </c>
      <c r="E88">
        <v>1</v>
      </c>
    </row>
    <row r="89" spans="1:5" x14ac:dyDescent="0.2">
      <c r="A89" t="s">
        <v>401</v>
      </c>
      <c r="B89" t="s">
        <v>393</v>
      </c>
      <c r="C89" t="s">
        <v>279</v>
      </c>
      <c r="D89">
        <v>1</v>
      </c>
      <c r="E89">
        <v>1</v>
      </c>
    </row>
    <row r="90" spans="1:5" x14ac:dyDescent="0.2">
      <c r="A90" t="s">
        <v>402</v>
      </c>
      <c r="B90" t="s">
        <v>395</v>
      </c>
      <c r="C90">
        <v>1</v>
      </c>
      <c r="D90">
        <v>1</v>
      </c>
      <c r="E90">
        <v>1</v>
      </c>
    </row>
    <row r="91" spans="1:5" x14ac:dyDescent="0.2">
      <c r="A91" t="s">
        <v>403</v>
      </c>
      <c r="B91" t="s">
        <v>397</v>
      </c>
      <c r="C91" t="s">
        <v>279</v>
      </c>
      <c r="D91">
        <v>1</v>
      </c>
      <c r="E91">
        <v>1</v>
      </c>
    </row>
    <row r="92" spans="1:5" x14ac:dyDescent="0.2">
      <c r="A92" t="s">
        <v>404</v>
      </c>
      <c r="B92" t="s">
        <v>399</v>
      </c>
      <c r="C92">
        <v>1</v>
      </c>
      <c r="D92">
        <v>1</v>
      </c>
      <c r="E92">
        <v>1</v>
      </c>
    </row>
    <row r="93" spans="1:5" x14ac:dyDescent="0.2">
      <c r="A93" t="s">
        <v>405</v>
      </c>
      <c r="B93" t="s">
        <v>391</v>
      </c>
      <c r="C93" t="s">
        <v>279</v>
      </c>
      <c r="D93">
        <v>1</v>
      </c>
      <c r="E93">
        <v>1</v>
      </c>
    </row>
    <row r="94" spans="1:5" x14ac:dyDescent="0.2">
      <c r="A94" t="s">
        <v>406</v>
      </c>
      <c r="B94" t="s">
        <v>393</v>
      </c>
      <c r="C94" t="s">
        <v>279</v>
      </c>
      <c r="D94">
        <v>1</v>
      </c>
      <c r="E94">
        <v>1</v>
      </c>
    </row>
    <row r="95" spans="1:5" x14ac:dyDescent="0.2">
      <c r="A95" t="s">
        <v>407</v>
      </c>
      <c r="B95" t="s">
        <v>395</v>
      </c>
      <c r="C95">
        <v>1</v>
      </c>
      <c r="D95">
        <v>1</v>
      </c>
      <c r="E95">
        <v>1</v>
      </c>
    </row>
    <row r="96" spans="1:5" x14ac:dyDescent="0.2">
      <c r="A96" t="s">
        <v>408</v>
      </c>
      <c r="B96" t="s">
        <v>397</v>
      </c>
      <c r="C96" t="s">
        <v>279</v>
      </c>
      <c r="D96">
        <v>1</v>
      </c>
      <c r="E96">
        <v>1</v>
      </c>
    </row>
    <row r="97" spans="1:5" x14ac:dyDescent="0.2">
      <c r="A97" t="s">
        <v>409</v>
      </c>
      <c r="B97" t="s">
        <v>399</v>
      </c>
      <c r="C97">
        <v>1</v>
      </c>
      <c r="D97">
        <v>1</v>
      </c>
      <c r="E97">
        <v>1</v>
      </c>
    </row>
    <row r="98" spans="1:5" x14ac:dyDescent="0.2">
      <c r="A98" t="s">
        <v>410</v>
      </c>
      <c r="B98" t="s">
        <v>391</v>
      </c>
      <c r="C98" t="s">
        <v>279</v>
      </c>
      <c r="D98">
        <v>1</v>
      </c>
      <c r="E98">
        <v>1</v>
      </c>
    </row>
    <row r="99" spans="1:5" x14ac:dyDescent="0.2">
      <c r="A99" t="s">
        <v>411</v>
      </c>
      <c r="B99" t="s">
        <v>393</v>
      </c>
      <c r="C99" t="s">
        <v>279</v>
      </c>
      <c r="D99">
        <v>1</v>
      </c>
      <c r="E99">
        <v>1</v>
      </c>
    </row>
    <row r="100" spans="1:5" x14ac:dyDescent="0.2">
      <c r="A100" t="s">
        <v>412</v>
      </c>
      <c r="B100" t="s">
        <v>395</v>
      </c>
      <c r="C100">
        <v>1</v>
      </c>
      <c r="D100">
        <v>1</v>
      </c>
      <c r="E100">
        <v>1</v>
      </c>
    </row>
    <row r="101" spans="1:5" x14ac:dyDescent="0.2">
      <c r="A101" t="s">
        <v>413</v>
      </c>
      <c r="B101" t="s">
        <v>397</v>
      </c>
      <c r="C101" t="s">
        <v>279</v>
      </c>
      <c r="D101">
        <v>1</v>
      </c>
      <c r="E101">
        <v>1</v>
      </c>
    </row>
    <row r="102" spans="1:5" x14ac:dyDescent="0.2">
      <c r="A102" t="s">
        <v>414</v>
      </c>
      <c r="B102" t="s">
        <v>399</v>
      </c>
      <c r="C102">
        <v>1</v>
      </c>
      <c r="D102">
        <v>1</v>
      </c>
      <c r="E102">
        <v>1</v>
      </c>
    </row>
    <row r="103" spans="1:5" x14ac:dyDescent="0.2">
      <c r="A103" t="s">
        <v>415</v>
      </c>
      <c r="B103" t="s">
        <v>391</v>
      </c>
      <c r="C103" t="s">
        <v>279</v>
      </c>
      <c r="D103">
        <v>1</v>
      </c>
      <c r="E103">
        <v>1</v>
      </c>
    </row>
    <row r="104" spans="1:5" x14ac:dyDescent="0.2">
      <c r="A104" t="s">
        <v>416</v>
      </c>
      <c r="B104" t="s">
        <v>393</v>
      </c>
      <c r="C104" t="s">
        <v>279</v>
      </c>
      <c r="D104">
        <v>1</v>
      </c>
      <c r="E104">
        <v>1</v>
      </c>
    </row>
    <row r="105" spans="1:5" x14ac:dyDescent="0.2">
      <c r="A105" t="s">
        <v>417</v>
      </c>
      <c r="B105" t="s">
        <v>395</v>
      </c>
      <c r="C105">
        <v>1</v>
      </c>
      <c r="D105">
        <v>1</v>
      </c>
      <c r="E105">
        <v>1</v>
      </c>
    </row>
    <row r="106" spans="1:5" x14ac:dyDescent="0.2">
      <c r="A106" t="s">
        <v>418</v>
      </c>
      <c r="B106" t="s">
        <v>397</v>
      </c>
      <c r="C106" t="s">
        <v>279</v>
      </c>
      <c r="D106">
        <v>1</v>
      </c>
      <c r="E106">
        <v>1</v>
      </c>
    </row>
    <row r="107" spans="1:5" x14ac:dyDescent="0.2">
      <c r="A107" t="s">
        <v>419</v>
      </c>
      <c r="B107" t="s">
        <v>399</v>
      </c>
      <c r="C107">
        <v>1</v>
      </c>
      <c r="D107">
        <v>1</v>
      </c>
      <c r="E107">
        <v>1</v>
      </c>
    </row>
    <row r="108" spans="1:5" x14ac:dyDescent="0.2">
      <c r="A108" t="s">
        <v>420</v>
      </c>
      <c r="B108" t="s">
        <v>421</v>
      </c>
      <c r="C108" t="s">
        <v>292</v>
      </c>
      <c r="D108">
        <v>1</v>
      </c>
    </row>
    <row r="109" spans="1:5" x14ac:dyDescent="0.2">
      <c r="A109" t="s">
        <v>243</v>
      </c>
      <c r="B109" t="s">
        <v>422</v>
      </c>
      <c r="C109" t="s">
        <v>274</v>
      </c>
      <c r="D109">
        <v>1</v>
      </c>
    </row>
    <row r="110" spans="1:5" x14ac:dyDescent="0.2">
      <c r="A110" t="s">
        <v>423</v>
      </c>
      <c r="B110" t="s">
        <v>424</v>
      </c>
      <c r="C110" t="s">
        <v>274</v>
      </c>
      <c r="D110">
        <v>1</v>
      </c>
    </row>
    <row r="111" spans="1:5" x14ac:dyDescent="0.2">
      <c r="A111" t="s">
        <v>425</v>
      </c>
      <c r="B111" t="s">
        <v>426</v>
      </c>
      <c r="C111">
        <v>1</v>
      </c>
      <c r="D111">
        <v>1</v>
      </c>
    </row>
    <row r="112" spans="1:5" x14ac:dyDescent="0.2">
      <c r="A112" t="s">
        <v>427</v>
      </c>
      <c r="B112" t="s">
        <v>428</v>
      </c>
      <c r="C112" t="s">
        <v>279</v>
      </c>
      <c r="D112">
        <v>1</v>
      </c>
    </row>
    <row r="113" spans="1:5" x14ac:dyDescent="0.2">
      <c r="A113" t="s">
        <v>429</v>
      </c>
      <c r="B113" t="s">
        <v>430</v>
      </c>
      <c r="C113" t="s">
        <v>279</v>
      </c>
      <c r="D113">
        <v>1</v>
      </c>
    </row>
    <row r="114" spans="1:5" x14ac:dyDescent="0.2">
      <c r="A114" t="s">
        <v>431</v>
      </c>
      <c r="B114" t="s">
        <v>432</v>
      </c>
      <c r="C114" t="s">
        <v>279</v>
      </c>
      <c r="D114">
        <v>1</v>
      </c>
    </row>
    <row r="115" spans="1:5" x14ac:dyDescent="0.2">
      <c r="A115" t="s">
        <v>433</v>
      </c>
      <c r="B115" t="s">
        <v>434</v>
      </c>
      <c r="C115" t="s">
        <v>272</v>
      </c>
      <c r="D115">
        <v>1</v>
      </c>
    </row>
    <row r="116" spans="1:5" x14ac:dyDescent="0.2">
      <c r="A116" t="s">
        <v>435</v>
      </c>
      <c r="B116" t="s">
        <v>436</v>
      </c>
      <c r="C116" t="s">
        <v>272</v>
      </c>
      <c r="D116">
        <v>1</v>
      </c>
    </row>
    <row r="117" spans="1:5" x14ac:dyDescent="0.2">
      <c r="A117" t="s">
        <v>437</v>
      </c>
      <c r="B117" t="s">
        <v>438</v>
      </c>
      <c r="D117">
        <v>1</v>
      </c>
      <c r="E117">
        <v>1</v>
      </c>
    </row>
    <row r="118" spans="1:5" x14ac:dyDescent="0.2">
      <c r="A118" t="s">
        <v>439</v>
      </c>
      <c r="B118" t="s">
        <v>440</v>
      </c>
      <c r="C118" t="s">
        <v>279</v>
      </c>
      <c r="D118">
        <v>1</v>
      </c>
    </row>
    <row r="119" spans="1:5" x14ac:dyDescent="0.2">
      <c r="A119" t="s">
        <v>441</v>
      </c>
      <c r="B119" t="s">
        <v>442</v>
      </c>
      <c r="C119" t="s">
        <v>279</v>
      </c>
      <c r="D119">
        <v>1</v>
      </c>
    </row>
    <row r="120" spans="1:5" x14ac:dyDescent="0.2">
      <c r="A120" t="s">
        <v>175</v>
      </c>
      <c r="B120" t="s">
        <v>245</v>
      </c>
      <c r="C120" t="s">
        <v>282</v>
      </c>
      <c r="D120">
        <v>1</v>
      </c>
    </row>
    <row r="121" spans="1:5" x14ac:dyDescent="0.2">
      <c r="A121" t="s">
        <v>443</v>
      </c>
      <c r="B121" t="s">
        <v>245</v>
      </c>
      <c r="C121" t="s">
        <v>292</v>
      </c>
      <c r="D121">
        <v>1</v>
      </c>
    </row>
    <row r="122" spans="1:5" x14ac:dyDescent="0.2">
      <c r="A122" t="s">
        <v>444</v>
      </c>
      <c r="B122" t="s">
        <v>245</v>
      </c>
      <c r="C122" t="s">
        <v>292</v>
      </c>
      <c r="D122">
        <v>1</v>
      </c>
    </row>
    <row r="123" spans="1:5" x14ac:dyDescent="0.2">
      <c r="A123" t="s">
        <v>445</v>
      </c>
      <c r="B123" t="s">
        <v>245</v>
      </c>
      <c r="C123" t="s">
        <v>292</v>
      </c>
      <c r="D123">
        <v>1</v>
      </c>
    </row>
    <row r="124" spans="1:5" x14ac:dyDescent="0.2">
      <c r="A124" t="s">
        <v>446</v>
      </c>
      <c r="B124" t="s">
        <v>245</v>
      </c>
      <c r="C124">
        <v>3</v>
      </c>
      <c r="D124">
        <v>1</v>
      </c>
    </row>
    <row r="125" spans="1:5" x14ac:dyDescent="0.2">
      <c r="A125" t="s">
        <v>447</v>
      </c>
      <c r="B125" t="s">
        <v>245</v>
      </c>
      <c r="C125" t="s">
        <v>292</v>
      </c>
      <c r="D125">
        <v>1</v>
      </c>
    </row>
    <row r="126" spans="1:5" x14ac:dyDescent="0.2">
      <c r="A126" t="s">
        <v>448</v>
      </c>
      <c r="B126" t="s">
        <v>449</v>
      </c>
      <c r="C126" t="s">
        <v>282</v>
      </c>
      <c r="D126">
        <v>1</v>
      </c>
      <c r="E126">
        <v>1</v>
      </c>
    </row>
    <row r="127" spans="1:5" x14ac:dyDescent="0.2">
      <c r="A127" t="s">
        <v>123</v>
      </c>
      <c r="B127" t="s">
        <v>450</v>
      </c>
      <c r="C127">
        <v>3</v>
      </c>
      <c r="D127">
        <v>1</v>
      </c>
      <c r="E127">
        <v>1</v>
      </c>
    </row>
    <row r="128" spans="1:5" x14ac:dyDescent="0.2">
      <c r="A128" t="s">
        <v>177</v>
      </c>
      <c r="B128" t="s">
        <v>451</v>
      </c>
      <c r="C128" t="s">
        <v>282</v>
      </c>
      <c r="D128">
        <v>1</v>
      </c>
    </row>
    <row r="129" spans="1:6" x14ac:dyDescent="0.2">
      <c r="A129" t="s">
        <v>452</v>
      </c>
      <c r="B129" t="s">
        <v>451</v>
      </c>
      <c r="C129" t="s">
        <v>282</v>
      </c>
      <c r="D129">
        <v>1</v>
      </c>
    </row>
    <row r="130" spans="1:6" x14ac:dyDescent="0.2">
      <c r="A130" t="s">
        <v>453</v>
      </c>
      <c r="B130" t="s">
        <v>451</v>
      </c>
      <c r="C130" t="s">
        <v>282</v>
      </c>
      <c r="D130">
        <v>1</v>
      </c>
    </row>
    <row r="131" spans="1:6" x14ac:dyDescent="0.2">
      <c r="A131" t="s">
        <v>454</v>
      </c>
      <c r="B131" t="s">
        <v>451</v>
      </c>
      <c r="C131" t="s">
        <v>282</v>
      </c>
      <c r="D131">
        <v>1</v>
      </c>
    </row>
    <row r="132" spans="1:6" x14ac:dyDescent="0.2">
      <c r="A132" t="s">
        <v>455</v>
      </c>
      <c r="B132" t="s">
        <v>451</v>
      </c>
      <c r="C132" t="s">
        <v>282</v>
      </c>
      <c r="D132">
        <v>1</v>
      </c>
    </row>
    <row r="133" spans="1:6" x14ac:dyDescent="0.2">
      <c r="A133" t="s">
        <v>456</v>
      </c>
      <c r="B133" t="s">
        <v>451</v>
      </c>
      <c r="C133" t="s">
        <v>282</v>
      </c>
      <c r="D133">
        <v>1</v>
      </c>
    </row>
    <row r="134" spans="1:6" x14ac:dyDescent="0.2">
      <c r="A134" t="s">
        <v>457</v>
      </c>
      <c r="B134" t="s">
        <v>458</v>
      </c>
      <c r="C134" t="s">
        <v>279</v>
      </c>
      <c r="D134">
        <v>1</v>
      </c>
    </row>
    <row r="135" spans="1:6" x14ac:dyDescent="0.2">
      <c r="A135" t="s">
        <v>459</v>
      </c>
      <c r="B135" t="s">
        <v>460</v>
      </c>
      <c r="C135" t="s">
        <v>279</v>
      </c>
      <c r="D135">
        <v>1</v>
      </c>
      <c r="F135">
        <v>1</v>
      </c>
    </row>
    <row r="136" spans="1:6" x14ac:dyDescent="0.2">
      <c r="A136" t="s">
        <v>461</v>
      </c>
      <c r="B136" t="s">
        <v>462</v>
      </c>
      <c r="C136">
        <v>1</v>
      </c>
      <c r="D136">
        <v>1</v>
      </c>
      <c r="E136">
        <v>1</v>
      </c>
    </row>
    <row r="137" spans="1:6" x14ac:dyDescent="0.2">
      <c r="A137" t="s">
        <v>463</v>
      </c>
      <c r="B137" t="s">
        <v>464</v>
      </c>
      <c r="C137" t="s">
        <v>279</v>
      </c>
      <c r="D137">
        <v>1</v>
      </c>
      <c r="E137">
        <v>1</v>
      </c>
    </row>
    <row r="138" spans="1:6" x14ac:dyDescent="0.2">
      <c r="A138" t="s">
        <v>465</v>
      </c>
      <c r="B138" t="s">
        <v>466</v>
      </c>
      <c r="C138" t="s">
        <v>279</v>
      </c>
      <c r="D138">
        <v>1</v>
      </c>
    </row>
    <row r="139" spans="1:6" x14ac:dyDescent="0.2">
      <c r="A139" t="s">
        <v>467</v>
      </c>
      <c r="B139" t="s">
        <v>468</v>
      </c>
      <c r="C139" t="s">
        <v>279</v>
      </c>
      <c r="D139">
        <v>1</v>
      </c>
    </row>
    <row r="140" spans="1:6" x14ac:dyDescent="0.2">
      <c r="A140" t="s">
        <v>469</v>
      </c>
      <c r="B140" t="s">
        <v>470</v>
      </c>
      <c r="C140" t="s">
        <v>279</v>
      </c>
      <c r="D140">
        <v>1</v>
      </c>
    </row>
    <row r="141" spans="1:6" x14ac:dyDescent="0.2">
      <c r="A141" t="s">
        <v>471</v>
      </c>
      <c r="B141" t="s">
        <v>472</v>
      </c>
      <c r="C141" t="s">
        <v>282</v>
      </c>
      <c r="D141">
        <v>1</v>
      </c>
      <c r="E141">
        <v>1</v>
      </c>
    </row>
    <row r="142" spans="1:6" x14ac:dyDescent="0.2">
      <c r="A142" t="s">
        <v>473</v>
      </c>
      <c r="B142" t="s">
        <v>474</v>
      </c>
      <c r="C142" t="s">
        <v>279</v>
      </c>
      <c r="D142">
        <v>1</v>
      </c>
    </row>
    <row r="143" spans="1:6" x14ac:dyDescent="0.2">
      <c r="A143" t="s">
        <v>475</v>
      </c>
      <c r="B143" t="s">
        <v>476</v>
      </c>
      <c r="C143" t="s">
        <v>334</v>
      </c>
      <c r="D143">
        <v>1</v>
      </c>
      <c r="E143">
        <v>1</v>
      </c>
    </row>
    <row r="144" spans="1:6" x14ac:dyDescent="0.2">
      <c r="A144" t="s">
        <v>477</v>
      </c>
      <c r="B144" t="s">
        <v>478</v>
      </c>
      <c r="C144" t="s">
        <v>334</v>
      </c>
      <c r="D144">
        <v>1</v>
      </c>
      <c r="E144">
        <v>1</v>
      </c>
    </row>
    <row r="145" spans="1:6" x14ac:dyDescent="0.2">
      <c r="A145" t="s">
        <v>479</v>
      </c>
      <c r="B145" t="s">
        <v>480</v>
      </c>
      <c r="C145" t="s">
        <v>282</v>
      </c>
      <c r="D145">
        <v>1</v>
      </c>
    </row>
    <row r="146" spans="1:6" x14ac:dyDescent="0.2">
      <c r="A146" t="s">
        <v>481</v>
      </c>
      <c r="B146" t="s">
        <v>480</v>
      </c>
      <c r="C146" t="s">
        <v>292</v>
      </c>
      <c r="D146">
        <v>1</v>
      </c>
    </row>
    <row r="147" spans="1:6" x14ac:dyDescent="0.2">
      <c r="A147" t="s">
        <v>482</v>
      </c>
      <c r="B147" t="s">
        <v>480</v>
      </c>
      <c r="C147">
        <v>3</v>
      </c>
      <c r="D147">
        <v>1</v>
      </c>
    </row>
    <row r="148" spans="1:6" x14ac:dyDescent="0.2">
      <c r="A148" t="s">
        <v>483</v>
      </c>
      <c r="B148" t="s">
        <v>480</v>
      </c>
      <c r="C148" t="s">
        <v>292</v>
      </c>
      <c r="D148">
        <v>1</v>
      </c>
    </row>
    <row r="149" spans="1:6" x14ac:dyDescent="0.2">
      <c r="A149" t="s">
        <v>484</v>
      </c>
      <c r="B149" t="s">
        <v>480</v>
      </c>
      <c r="C149" t="s">
        <v>282</v>
      </c>
      <c r="D149">
        <v>1</v>
      </c>
    </row>
    <row r="150" spans="1:6" x14ac:dyDescent="0.2">
      <c r="A150" t="s">
        <v>485</v>
      </c>
      <c r="B150" t="s">
        <v>480</v>
      </c>
      <c r="C150">
        <v>0</v>
      </c>
      <c r="D150">
        <v>1</v>
      </c>
    </row>
    <row r="151" spans="1:6" x14ac:dyDescent="0.2">
      <c r="A151" t="s">
        <v>486</v>
      </c>
      <c r="B151" t="s">
        <v>487</v>
      </c>
      <c r="C151" t="s">
        <v>279</v>
      </c>
      <c r="D151">
        <v>1</v>
      </c>
    </row>
    <row r="152" spans="1:6" x14ac:dyDescent="0.2">
      <c r="A152" t="s">
        <v>488</v>
      </c>
      <c r="B152" t="s">
        <v>488</v>
      </c>
      <c r="C152">
        <v>1</v>
      </c>
      <c r="D152">
        <v>1</v>
      </c>
    </row>
    <row r="153" spans="1:6" x14ac:dyDescent="0.2">
      <c r="A153" t="s">
        <v>489</v>
      </c>
      <c r="B153" t="s">
        <v>490</v>
      </c>
      <c r="C153" t="s">
        <v>282</v>
      </c>
      <c r="D153">
        <v>1</v>
      </c>
      <c r="F153">
        <v>1</v>
      </c>
    </row>
    <row r="154" spans="1:6" x14ac:dyDescent="0.2">
      <c r="A154" t="s">
        <v>491</v>
      </c>
      <c r="B154" t="s">
        <v>492</v>
      </c>
      <c r="C154" t="s">
        <v>279</v>
      </c>
      <c r="D154">
        <v>1</v>
      </c>
    </row>
    <row r="155" spans="1:6" x14ac:dyDescent="0.2">
      <c r="A155" t="s">
        <v>493</v>
      </c>
      <c r="B155" t="s">
        <v>494</v>
      </c>
      <c r="C155" t="s">
        <v>279</v>
      </c>
      <c r="D155">
        <v>1</v>
      </c>
    </row>
    <row r="156" spans="1:6" x14ac:dyDescent="0.2">
      <c r="A156" t="s">
        <v>495</v>
      </c>
      <c r="B156" t="s">
        <v>496</v>
      </c>
      <c r="C156" t="s">
        <v>279</v>
      </c>
      <c r="D156">
        <v>1</v>
      </c>
    </row>
    <row r="157" spans="1:6" x14ac:dyDescent="0.2">
      <c r="A157" t="s">
        <v>497</v>
      </c>
      <c r="B157" t="s">
        <v>498</v>
      </c>
      <c r="C157" t="s">
        <v>282</v>
      </c>
      <c r="D157">
        <v>1</v>
      </c>
    </row>
    <row r="158" spans="1:6" x14ac:dyDescent="0.2">
      <c r="A158" t="s">
        <v>499</v>
      </c>
      <c r="B158" t="s">
        <v>500</v>
      </c>
      <c r="C158">
        <v>5</v>
      </c>
      <c r="D158">
        <v>1</v>
      </c>
      <c r="E158">
        <v>1</v>
      </c>
    </row>
    <row r="159" spans="1:6" x14ac:dyDescent="0.2">
      <c r="A159" t="s">
        <v>249</v>
      </c>
      <c r="B159" t="s">
        <v>501</v>
      </c>
      <c r="C159" t="s">
        <v>274</v>
      </c>
      <c r="D159">
        <v>1</v>
      </c>
    </row>
    <row r="160" spans="1:6" x14ac:dyDescent="0.2">
      <c r="A160" t="s">
        <v>502</v>
      </c>
      <c r="B160" t="s">
        <v>503</v>
      </c>
      <c r="C160" t="s">
        <v>279</v>
      </c>
      <c r="D160">
        <v>1</v>
      </c>
    </row>
    <row r="161" spans="1:5" x14ac:dyDescent="0.2">
      <c r="A161" t="s">
        <v>504</v>
      </c>
      <c r="B161" t="s">
        <v>505</v>
      </c>
      <c r="C161" t="s">
        <v>279</v>
      </c>
      <c r="D161">
        <v>1</v>
      </c>
      <c r="E161">
        <v>1</v>
      </c>
    </row>
    <row r="162" spans="1:5" x14ac:dyDescent="0.2">
      <c r="A162" t="s">
        <v>179</v>
      </c>
      <c r="B162" t="s">
        <v>506</v>
      </c>
      <c r="C162">
        <v>1</v>
      </c>
      <c r="D162">
        <v>1</v>
      </c>
      <c r="E162">
        <v>1</v>
      </c>
    </row>
    <row r="163" spans="1:5" x14ac:dyDescent="0.2">
      <c r="A163" t="s">
        <v>180</v>
      </c>
      <c r="B163" t="s">
        <v>507</v>
      </c>
      <c r="C163">
        <v>1</v>
      </c>
      <c r="D163">
        <v>1</v>
      </c>
      <c r="E163">
        <v>1</v>
      </c>
    </row>
    <row r="164" spans="1:5" x14ac:dyDescent="0.2">
      <c r="A164" t="s">
        <v>508</v>
      </c>
      <c r="B164" t="s">
        <v>509</v>
      </c>
      <c r="C164" t="s">
        <v>279</v>
      </c>
      <c r="D164">
        <v>1</v>
      </c>
    </row>
    <row r="165" spans="1:5" x14ac:dyDescent="0.2">
      <c r="A165" t="s">
        <v>510</v>
      </c>
      <c r="B165" t="s">
        <v>511</v>
      </c>
      <c r="C165">
        <v>1</v>
      </c>
      <c r="D165">
        <v>1</v>
      </c>
      <c r="E165">
        <v>1</v>
      </c>
    </row>
    <row r="166" spans="1:5" x14ac:dyDescent="0.2">
      <c r="A166" t="s">
        <v>256</v>
      </c>
      <c r="B166" t="s">
        <v>512</v>
      </c>
      <c r="C166">
        <v>3</v>
      </c>
      <c r="D166">
        <v>1</v>
      </c>
      <c r="E166">
        <v>1</v>
      </c>
    </row>
    <row r="167" spans="1:5" x14ac:dyDescent="0.2">
      <c r="A167" t="s">
        <v>513</v>
      </c>
      <c r="B167" t="s">
        <v>512</v>
      </c>
      <c r="C167">
        <v>3</v>
      </c>
      <c r="D167">
        <v>1</v>
      </c>
      <c r="E167">
        <v>1</v>
      </c>
    </row>
    <row r="168" spans="1:5" x14ac:dyDescent="0.2">
      <c r="A168" t="s">
        <v>514</v>
      </c>
      <c r="B168" t="s">
        <v>512</v>
      </c>
      <c r="C168">
        <v>3</v>
      </c>
      <c r="D168">
        <v>1</v>
      </c>
      <c r="E168">
        <v>1</v>
      </c>
    </row>
    <row r="169" spans="1:5" x14ac:dyDescent="0.2">
      <c r="A169" t="s">
        <v>515</v>
      </c>
      <c r="B169" t="s">
        <v>512</v>
      </c>
      <c r="C169">
        <v>3</v>
      </c>
      <c r="D169">
        <v>1</v>
      </c>
      <c r="E169">
        <v>1</v>
      </c>
    </row>
    <row r="170" spans="1:5" x14ac:dyDescent="0.2">
      <c r="A170" t="s">
        <v>516</v>
      </c>
      <c r="B170" t="s">
        <v>512</v>
      </c>
      <c r="C170">
        <v>3</v>
      </c>
      <c r="D170">
        <v>1</v>
      </c>
      <c r="E170">
        <v>1</v>
      </c>
    </row>
    <row r="171" spans="1:5" x14ac:dyDescent="0.2">
      <c r="A171" t="s">
        <v>517</v>
      </c>
      <c r="B171" t="s">
        <v>512</v>
      </c>
      <c r="C171">
        <v>3</v>
      </c>
      <c r="D171">
        <v>1</v>
      </c>
      <c r="E171">
        <v>1</v>
      </c>
    </row>
    <row r="172" spans="1:5" x14ac:dyDescent="0.2">
      <c r="A172" t="s">
        <v>181</v>
      </c>
      <c r="B172" t="s">
        <v>518</v>
      </c>
      <c r="C172">
        <v>1</v>
      </c>
      <c r="D172">
        <v>1</v>
      </c>
      <c r="E172">
        <v>1</v>
      </c>
    </row>
    <row r="173" spans="1:5" x14ac:dyDescent="0.2">
      <c r="A173" t="s">
        <v>223</v>
      </c>
      <c r="B173" t="s">
        <v>519</v>
      </c>
      <c r="C173">
        <v>1</v>
      </c>
      <c r="D173">
        <v>1</v>
      </c>
      <c r="E173">
        <v>1</v>
      </c>
    </row>
    <row r="174" spans="1:5" x14ac:dyDescent="0.2">
      <c r="A174" t="s">
        <v>520</v>
      </c>
      <c r="B174" t="s">
        <v>521</v>
      </c>
      <c r="C174">
        <v>3</v>
      </c>
      <c r="D174">
        <v>1</v>
      </c>
      <c r="E174">
        <v>1</v>
      </c>
    </row>
    <row r="175" spans="1:5" x14ac:dyDescent="0.2">
      <c r="A175" t="s">
        <v>522</v>
      </c>
      <c r="B175" t="s">
        <v>523</v>
      </c>
      <c r="C175" t="s">
        <v>279</v>
      </c>
      <c r="D175">
        <v>1</v>
      </c>
    </row>
    <row r="176" spans="1:5" x14ac:dyDescent="0.2">
      <c r="A176" t="s">
        <v>524</v>
      </c>
      <c r="B176" t="s">
        <v>523</v>
      </c>
      <c r="C176" t="s">
        <v>279</v>
      </c>
      <c r="D176">
        <v>1</v>
      </c>
    </row>
    <row r="177" spans="1:6" x14ac:dyDescent="0.2">
      <c r="A177" t="s">
        <v>525</v>
      </c>
      <c r="B177" t="s">
        <v>523</v>
      </c>
      <c r="C177" t="s">
        <v>279</v>
      </c>
      <c r="D177">
        <v>1</v>
      </c>
    </row>
    <row r="178" spans="1:6" x14ac:dyDescent="0.2">
      <c r="A178" t="s">
        <v>526</v>
      </c>
      <c r="B178" t="s">
        <v>523</v>
      </c>
      <c r="C178" t="s">
        <v>279</v>
      </c>
      <c r="D178">
        <v>1</v>
      </c>
    </row>
    <row r="179" spans="1:6" x14ac:dyDescent="0.2">
      <c r="A179" t="s">
        <v>527</v>
      </c>
      <c r="B179" t="s">
        <v>523</v>
      </c>
      <c r="C179" t="s">
        <v>279</v>
      </c>
      <c r="D179">
        <v>1</v>
      </c>
    </row>
    <row r="180" spans="1:6" x14ac:dyDescent="0.2">
      <c r="A180" t="s">
        <v>528</v>
      </c>
      <c r="B180" t="s">
        <v>523</v>
      </c>
      <c r="C180" t="s">
        <v>279</v>
      </c>
      <c r="D180">
        <v>1</v>
      </c>
    </row>
    <row r="181" spans="1:6" x14ac:dyDescent="0.2">
      <c r="A181" t="s">
        <v>258</v>
      </c>
      <c r="B181" t="s">
        <v>529</v>
      </c>
      <c r="C181">
        <v>3</v>
      </c>
      <c r="D181">
        <v>1</v>
      </c>
      <c r="E181">
        <v>1</v>
      </c>
    </row>
    <row r="182" spans="1:6" x14ac:dyDescent="0.2">
      <c r="A182" t="s">
        <v>530</v>
      </c>
      <c r="B182" t="s">
        <v>529</v>
      </c>
      <c r="C182">
        <v>3</v>
      </c>
      <c r="D182">
        <v>1</v>
      </c>
      <c r="E182">
        <v>1</v>
      </c>
    </row>
    <row r="183" spans="1:6" x14ac:dyDescent="0.2">
      <c r="A183" t="s">
        <v>531</v>
      </c>
      <c r="B183" t="s">
        <v>529</v>
      </c>
      <c r="C183">
        <v>3</v>
      </c>
      <c r="D183">
        <v>1</v>
      </c>
      <c r="E183">
        <v>1</v>
      </c>
    </row>
    <row r="184" spans="1:6" x14ac:dyDescent="0.2">
      <c r="A184" t="s">
        <v>532</v>
      </c>
      <c r="B184" t="s">
        <v>529</v>
      </c>
      <c r="C184">
        <v>3</v>
      </c>
      <c r="D184">
        <v>1</v>
      </c>
      <c r="E184">
        <v>1</v>
      </c>
    </row>
    <row r="185" spans="1:6" x14ac:dyDescent="0.2">
      <c r="A185" t="s">
        <v>533</v>
      </c>
      <c r="B185" t="s">
        <v>529</v>
      </c>
      <c r="C185">
        <v>3</v>
      </c>
      <c r="D185">
        <v>1</v>
      </c>
      <c r="E185">
        <v>1</v>
      </c>
    </row>
    <row r="186" spans="1:6" x14ac:dyDescent="0.2">
      <c r="A186" t="s">
        <v>534</v>
      </c>
      <c r="B186" t="s">
        <v>529</v>
      </c>
      <c r="C186">
        <v>3</v>
      </c>
      <c r="D186">
        <v>1</v>
      </c>
      <c r="E186">
        <v>1</v>
      </c>
    </row>
    <row r="187" spans="1:6" x14ac:dyDescent="0.2">
      <c r="A187" t="s">
        <v>535</v>
      </c>
      <c r="B187" t="s">
        <v>536</v>
      </c>
      <c r="C187" t="s">
        <v>279</v>
      </c>
      <c r="D187">
        <v>1</v>
      </c>
    </row>
    <row r="188" spans="1:6" x14ac:dyDescent="0.2">
      <c r="A188" t="s">
        <v>537</v>
      </c>
      <c r="B188" t="s">
        <v>538</v>
      </c>
      <c r="C188" t="s">
        <v>279</v>
      </c>
      <c r="D188">
        <v>1</v>
      </c>
      <c r="E188">
        <v>1</v>
      </c>
    </row>
    <row r="189" spans="1:6" x14ac:dyDescent="0.2">
      <c r="A189" t="s">
        <v>539</v>
      </c>
      <c r="B189" t="s">
        <v>540</v>
      </c>
      <c r="C189">
        <v>1</v>
      </c>
      <c r="D189">
        <v>1</v>
      </c>
      <c r="F189">
        <v>1</v>
      </c>
    </row>
    <row r="190" spans="1:6" x14ac:dyDescent="0.2">
      <c r="A190" t="s">
        <v>541</v>
      </c>
      <c r="D190">
        <v>181</v>
      </c>
      <c r="E190">
        <v>70</v>
      </c>
      <c r="F190">
        <v>11</v>
      </c>
    </row>
  </sheetData>
  <hyperlinks>
    <hyperlink ref="A2" location="data_elements!A1" display="Dictionary Page Link" xr:uid="{D84E5293-9BCD-4813-893C-95D02F12FDBC}"/>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7E32A-02DA-4BE9-97D4-E7D60878A20A}">
  <sheetPr codeName="Sheet11">
    <pageSetUpPr fitToPage="1"/>
  </sheetPr>
  <dimension ref="A1:L29"/>
  <sheetViews>
    <sheetView workbookViewId="0">
      <selection activeCell="K15" sqref="K15"/>
    </sheetView>
  </sheetViews>
  <sheetFormatPr defaultRowHeight="14.25" x14ac:dyDescent="0.2"/>
  <cols>
    <col min="1" max="1" width="16.375" customWidth="1"/>
    <col min="2" max="2" width="20.375" customWidth="1"/>
    <col min="3" max="3" width="16.625" customWidth="1"/>
    <col min="4" max="4" width="16.75" bestFit="1" customWidth="1"/>
    <col min="7" max="7" width="35.25" customWidth="1"/>
    <col min="8" max="8" width="2.75" customWidth="1"/>
    <col min="9" max="9" width="12.375" customWidth="1"/>
    <col min="10" max="10" width="20.25" bestFit="1" customWidth="1"/>
    <col min="11" max="11" width="15.5" customWidth="1"/>
    <col min="12" max="12" width="13.25" bestFit="1" customWidth="1"/>
  </cols>
  <sheetData>
    <row r="1" spans="1:12" x14ac:dyDescent="0.2">
      <c r="A1" t="s">
        <v>542</v>
      </c>
    </row>
    <row r="3" spans="1:12" x14ac:dyDescent="0.2">
      <c r="B3" s="66" t="s">
        <v>543</v>
      </c>
      <c r="C3" s="66"/>
      <c r="D3" s="66"/>
      <c r="E3" s="66"/>
      <c r="F3" s="66"/>
      <c r="G3" s="66"/>
    </row>
    <row r="4" spans="1:12" x14ac:dyDescent="0.2">
      <c r="B4" s="66">
        <f>COUNTIF(wacor_data_dictionary[ncr_field], "Yes")</f>
        <v>193</v>
      </c>
      <c r="C4" s="66" t="s">
        <v>544</v>
      </c>
      <c r="D4" s="66"/>
      <c r="E4" s="66"/>
      <c r="F4" s="66"/>
      <c r="G4" s="66"/>
      <c r="L4" s="64"/>
    </row>
    <row r="5" spans="1:12" ht="15" x14ac:dyDescent="0.25">
      <c r="B5" s="66">
        <f>COUNTIFS(wacor_data_dictionary[[#All],[ncr_required]],"Always")</f>
        <v>64</v>
      </c>
      <c r="C5" s="66" t="s">
        <v>545</v>
      </c>
      <c r="D5" s="66"/>
      <c r="E5" s="66"/>
      <c r="F5" s="66"/>
      <c r="G5" s="66"/>
      <c r="J5" s="73" t="s">
        <v>546</v>
      </c>
      <c r="K5" s="73" t="s">
        <v>547</v>
      </c>
      <c r="L5" s="73" t="s">
        <v>548</v>
      </c>
    </row>
    <row r="6" spans="1:12" x14ac:dyDescent="0.2">
      <c r="B6" s="66"/>
      <c r="C6" s="66"/>
      <c r="D6" s="66"/>
      <c r="E6" s="66"/>
      <c r="F6" s="66"/>
      <c r="G6" s="66"/>
      <c r="I6" t="s">
        <v>135</v>
      </c>
      <c r="J6" s="67" t="s">
        <v>549</v>
      </c>
      <c r="K6" s="67">
        <f>COUNTIFS(wacor_data_dictionary[collection_system(s)],"*cardiobase angioplasty*")</f>
        <v>70</v>
      </c>
      <c r="L6" s="68">
        <f t="shared" ref="L6:L17" si="0">K6/$K$17</f>
        <v>0.32558139534883723</v>
      </c>
    </row>
    <row r="7" spans="1:12" x14ac:dyDescent="0.2">
      <c r="B7" s="66">
        <f>8*6</f>
        <v>48</v>
      </c>
      <c r="C7" s="66" t="s">
        <v>550</v>
      </c>
      <c r="D7" s="66"/>
      <c r="E7" s="66"/>
      <c r="F7" s="66"/>
      <c r="G7" s="66"/>
      <c r="I7" t="s">
        <v>135</v>
      </c>
      <c r="J7" s="67" t="s">
        <v>551</v>
      </c>
      <c r="K7" s="67">
        <f>COUNTIFS(wacor_data_dictionary[collection_system(s)],"*cardiobase riskscore*")</f>
        <v>12</v>
      </c>
      <c r="L7" s="68">
        <f t="shared" si="0"/>
        <v>5.5813953488372092E-2</v>
      </c>
    </row>
    <row r="8" spans="1:12" x14ac:dyDescent="0.2">
      <c r="B8" s="66">
        <f>4*5</f>
        <v>20</v>
      </c>
      <c r="C8" s="66" t="s">
        <v>552</v>
      </c>
      <c r="D8" s="66"/>
      <c r="E8" s="66"/>
      <c r="F8" s="66"/>
      <c r="G8" s="66"/>
      <c r="I8" t="s">
        <v>553</v>
      </c>
      <c r="J8" s="67" t="s">
        <v>554</v>
      </c>
      <c r="K8" s="67">
        <f>COUNTIFS(wacor_data_dictionary[collection_system(s)],"*hmdc*")</f>
        <v>70</v>
      </c>
      <c r="L8" s="68">
        <f t="shared" si="0"/>
        <v>0.32558139534883723</v>
      </c>
    </row>
    <row r="9" spans="1:12" x14ac:dyDescent="0.2">
      <c r="B9" s="66"/>
      <c r="C9" s="66"/>
      <c r="D9" s="66"/>
      <c r="E9" s="66"/>
      <c r="F9" s="66"/>
      <c r="G9" s="66"/>
      <c r="I9" t="s">
        <v>553</v>
      </c>
      <c r="J9" s="67" t="s">
        <v>167</v>
      </c>
      <c r="K9" s="67">
        <f>COUNTIFS(wacor_data_dictionary[collection_system(s)],"*eddc*")</f>
        <v>6</v>
      </c>
      <c r="L9" s="68">
        <f t="shared" si="0"/>
        <v>2.7906976744186046E-2</v>
      </c>
    </row>
    <row r="10" spans="1:12" x14ac:dyDescent="0.2">
      <c r="B10" s="66">
        <f>COUNTIFS(wacor_data_dictionary[[#All],[Derived]],"Derived")</f>
        <v>13</v>
      </c>
      <c r="C10" s="66" t="s">
        <v>555</v>
      </c>
      <c r="D10" s="66"/>
      <c r="E10" s="66"/>
      <c r="F10" s="66"/>
      <c r="G10" s="66"/>
      <c r="I10" t="s">
        <v>553</v>
      </c>
      <c r="J10" s="67" t="s">
        <v>556</v>
      </c>
      <c r="K10" s="67">
        <f>COUNTIFS(wacor_data_dictionary[collection_system(s)],"*sja (ambulance)*")</f>
        <v>0</v>
      </c>
      <c r="L10" s="68">
        <f t="shared" si="0"/>
        <v>0</v>
      </c>
    </row>
    <row r="11" spans="1:12" x14ac:dyDescent="0.2">
      <c r="B11" s="66"/>
      <c r="C11" s="66"/>
      <c r="D11" s="66"/>
      <c r="E11" s="66"/>
      <c r="F11" s="66"/>
      <c r="G11" s="66"/>
      <c r="I11" t="s">
        <v>553</v>
      </c>
      <c r="J11" s="67" t="s">
        <v>557</v>
      </c>
      <c r="K11" s="67">
        <f>COUNTIFS(wacor_data_dictionary[collection_system(s)],"*hih*")</f>
        <v>4</v>
      </c>
      <c r="L11" s="68">
        <f t="shared" si="0"/>
        <v>1.8604651162790697E-2</v>
      </c>
    </row>
    <row r="12" spans="1:12" ht="15" thickBot="1" x14ac:dyDescent="0.25">
      <c r="B12" s="66">
        <f>COUNTIFS(wacor_data_dictionary[[#All],[Needed for indicator?]],"Yes")</f>
        <v>31</v>
      </c>
      <c r="C12" s="66" t="s">
        <v>558</v>
      </c>
      <c r="D12" s="66"/>
      <c r="E12" s="66"/>
      <c r="F12" s="66"/>
      <c r="G12" s="66"/>
      <c r="I12" t="s">
        <v>553</v>
      </c>
      <c r="J12" s="67" t="s">
        <v>559</v>
      </c>
      <c r="K12" s="67">
        <f>COUNTIFS(wacor_data_dictionary[collection_system(s)],"*derived*")</f>
        <v>12</v>
      </c>
      <c r="L12" s="68">
        <f t="shared" si="0"/>
        <v>5.5813953488372092E-2</v>
      </c>
    </row>
    <row r="13" spans="1:12" ht="15" thickBot="1" x14ac:dyDescent="0.25">
      <c r="B13" s="118">
        <f>COUNTIFS(wacor_data_dictionary[[#All],[Needed for indicator?]],"Yes",wacor_data_dictionary[[#All],[PCI Data Set]],1)</f>
        <v>31</v>
      </c>
      <c r="C13" s="66" t="s">
        <v>560</v>
      </c>
      <c r="D13" s="66"/>
      <c r="E13" s="66"/>
      <c r="F13" s="66"/>
      <c r="G13" s="66"/>
      <c r="I13" t="s">
        <v>553</v>
      </c>
      <c r="J13" s="69" t="s">
        <v>561</v>
      </c>
      <c r="K13" s="67">
        <f>COUNTIFS(wacor_data_dictionary[collection_system(s)],"*deaths registry*")</f>
        <v>4</v>
      </c>
      <c r="L13" s="68">
        <f t="shared" si="0"/>
        <v>1.8604651162790697E-2</v>
      </c>
    </row>
    <row r="14" spans="1:12" ht="15" thickBot="1" x14ac:dyDescent="0.25">
      <c r="B14" s="66"/>
      <c r="C14" s="66"/>
      <c r="D14" s="66"/>
      <c r="E14" s="66"/>
      <c r="F14" s="66"/>
      <c r="G14" s="66"/>
      <c r="I14" t="s">
        <v>553</v>
      </c>
      <c r="J14" s="69" t="s">
        <v>142</v>
      </c>
      <c r="K14" s="67">
        <f>COUNTIFS(wacor_data_dictionary[collection_system(s)],"*nacs*")</f>
        <v>6</v>
      </c>
      <c r="L14" s="68">
        <f t="shared" si="0"/>
        <v>2.7906976744186046E-2</v>
      </c>
    </row>
    <row r="15" spans="1:12" ht="15.75" thickTop="1" thickBot="1" x14ac:dyDescent="0.25">
      <c r="B15" s="119">
        <f>COUNTIFS(wacor_data_dictionary[[#All],[PCI Data Set]],1)</f>
        <v>166</v>
      </c>
      <c r="C15" s="66" t="s">
        <v>562</v>
      </c>
      <c r="D15" s="66"/>
      <c r="E15" s="66"/>
      <c r="F15" s="66"/>
      <c r="G15" s="66"/>
      <c r="I15" t="s">
        <v>563</v>
      </c>
      <c r="J15" s="69" t="s">
        <v>564</v>
      </c>
      <c r="K15" s="67">
        <f>COUNTIFS(wacor_data_dictionary[collection_system(s)],"*development*")</f>
        <v>6</v>
      </c>
      <c r="L15" s="68">
        <f t="shared" si="0"/>
        <v>2.7906976744186046E-2</v>
      </c>
    </row>
    <row r="16" spans="1:12" ht="15" thickTop="1" x14ac:dyDescent="0.2">
      <c r="B16" s="66">
        <f>COUNTIFS(wacor_data_dictionary[[#All],[ncr_required]],"Always",wacor_data_dictionary[[#All],[PCI Data Set]],1)</f>
        <v>61</v>
      </c>
      <c r="C16" s="66" t="s">
        <v>565</v>
      </c>
      <c r="D16" s="66"/>
      <c r="E16" s="66"/>
      <c r="F16" s="66"/>
      <c r="G16" s="66"/>
      <c r="I16" t="s">
        <v>566</v>
      </c>
      <c r="J16" s="69" t="s">
        <v>567</v>
      </c>
      <c r="K16" s="67">
        <f>COUNTIFS(wacor_data_dictionary[collection_system(s)],"")</f>
        <v>25</v>
      </c>
      <c r="L16" s="68">
        <f t="shared" si="0"/>
        <v>0.11627906976744186</v>
      </c>
    </row>
    <row r="17" spans="2:12" ht="15" x14ac:dyDescent="0.25">
      <c r="J17" s="73" t="s">
        <v>568</v>
      </c>
      <c r="K17" s="83">
        <f>SUM(K6:K16)</f>
        <v>215</v>
      </c>
      <c r="L17" s="68">
        <f t="shared" si="0"/>
        <v>1</v>
      </c>
    </row>
    <row r="18" spans="2:12" x14ac:dyDescent="0.2">
      <c r="B18" t="s">
        <v>569</v>
      </c>
      <c r="C18" t="s">
        <v>570</v>
      </c>
      <c r="D18" t="s">
        <v>571</v>
      </c>
    </row>
    <row r="19" spans="2:12" ht="30" x14ac:dyDescent="0.25">
      <c r="B19" t="s">
        <v>572</v>
      </c>
      <c r="C19" s="66">
        <f>COUNTIFS(wacor_data_dictionary[[#All],[NCR Grouping]], "Site")</f>
        <v>8</v>
      </c>
      <c r="D19" s="142">
        <f>COUNTIFS(wacor_data_dictionary[[#All],[NCR Grouping]], "Site", wacor_data_dictionary[[#All],[PCI Data Set]], "1")</f>
        <v>7</v>
      </c>
      <c r="J19" s="73" t="s">
        <v>546</v>
      </c>
      <c r="K19" s="148" t="s">
        <v>573</v>
      </c>
      <c r="L19" s="73" t="s">
        <v>570</v>
      </c>
    </row>
    <row r="20" spans="2:12" x14ac:dyDescent="0.2">
      <c r="B20" t="s">
        <v>574</v>
      </c>
      <c r="C20" s="66">
        <f>COUNTIFS(wacor_data_dictionary[[#All],[NCR Grouping]], "Patient")</f>
        <v>5</v>
      </c>
      <c r="D20" s="142">
        <f>COUNTIFS(wacor_data_dictionary[[#All],[NCR Grouping]], "Patient", wacor_data_dictionary[[#All],[PCI Data Set]], "1")</f>
        <v>4</v>
      </c>
      <c r="J20" s="67" t="s">
        <v>549</v>
      </c>
      <c r="K20" s="67">
        <f>COUNTIFS(wacor_data_dictionary[collection_system(s)],"Cardiobase Angioplasty")</f>
        <v>9</v>
      </c>
      <c r="L20" s="67">
        <f>COUNTIFS(wacor_data_dictionary[collection_system(s)],"*cardiobase angioplasty*")</f>
        <v>70</v>
      </c>
    </row>
    <row r="21" spans="2:12" ht="28.5" x14ac:dyDescent="0.2">
      <c r="B21" s="36" t="s">
        <v>575</v>
      </c>
      <c r="C21" s="66">
        <f>COUNTIFS(wacor_data_dictionary[[#All],[NCR Grouping]], "Admission and Preprocedural")</f>
        <v>35</v>
      </c>
      <c r="D21" s="142">
        <f>COUNTIFS(wacor_data_dictionary[[#All],[NCR Grouping]], "Admission and Preprocedural", wacor_data_dictionary[[#All],[PCI Data Set]], "1")</f>
        <v>30</v>
      </c>
      <c r="J21" s="67" t="s">
        <v>551</v>
      </c>
      <c r="K21" s="67">
        <f>COUNTIFS(wacor_data_dictionary[collection_system(s)],"Cardiobase RiskScore")</f>
        <v>1</v>
      </c>
      <c r="L21" s="67">
        <f>COUNTIFS(wacor_data_dictionary[collection_system(s)],"*cardiobase riskscore*")</f>
        <v>12</v>
      </c>
    </row>
    <row r="22" spans="2:12" x14ac:dyDescent="0.2">
      <c r="B22" t="s">
        <v>576</v>
      </c>
      <c r="C22" s="66">
        <f>COUNTIFS(wacor_data_dictionary[[#All],[NCR Grouping]], "Procedure")</f>
        <v>67</v>
      </c>
      <c r="D22" s="142">
        <f>COUNTIFS(wacor_data_dictionary[[#All],[NCR Grouping]], "Procedure", wacor_data_dictionary[[#All],[PCI Data Set]], "1")</f>
        <v>62</v>
      </c>
      <c r="J22" s="67" t="s">
        <v>554</v>
      </c>
      <c r="K22" s="67">
        <f>COUNTIFS(wacor_data_dictionary[collection_system(s)],"HMDC")</f>
        <v>23</v>
      </c>
      <c r="L22" s="67">
        <f>COUNTIFS(wacor_data_dictionary[collection_system(s)],"*hmdc*")</f>
        <v>70</v>
      </c>
    </row>
    <row r="23" spans="2:12" x14ac:dyDescent="0.2">
      <c r="B23" t="s">
        <v>577</v>
      </c>
      <c r="C23" s="66">
        <f>COUNTIFS(wacor_data_dictionary[[#All],[NCR Grouping]], "Post Procedure")</f>
        <v>13</v>
      </c>
      <c r="D23" s="142">
        <f>COUNTIFS(wacor_data_dictionary[[#All],[NCR Grouping]], "Post Procedure", wacor_data_dictionary[[#All],[PCI Data Set]], "1")</f>
        <v>11</v>
      </c>
      <c r="J23" s="67" t="s">
        <v>167</v>
      </c>
      <c r="K23" s="67">
        <f>COUNTIFS(wacor_data_dictionary[collection_system(s)],"EDDC")</f>
        <v>0</v>
      </c>
      <c r="L23" s="67">
        <f>COUNTIFS(wacor_data_dictionary[collection_system(s)],"*eddc*")</f>
        <v>6</v>
      </c>
    </row>
    <row r="24" spans="2:12" x14ac:dyDescent="0.2">
      <c r="B24" t="s">
        <v>578</v>
      </c>
      <c r="C24" s="66">
        <f>COUNTIFS(wacor_data_dictionary[[#All],[NCR Grouping]], "Discharge")</f>
        <v>9</v>
      </c>
      <c r="D24" s="142">
        <f>COUNTIFS(wacor_data_dictionary[[#All],[NCR Grouping]], "Discharge", wacor_data_dictionary[[#All],[PCI Data Set]], "1")</f>
        <v>9</v>
      </c>
      <c r="J24" s="67" t="s">
        <v>557</v>
      </c>
      <c r="K24" s="67">
        <f>COUNTIFS(wacor_data_dictionary[collection_system(s)],"HIH")</f>
        <v>0</v>
      </c>
      <c r="L24" s="67">
        <f>COUNTIFS(wacor_data_dictionary[collection_system(s)],"*hih*")</f>
        <v>4</v>
      </c>
    </row>
    <row r="25" spans="2:12" x14ac:dyDescent="0.2">
      <c r="B25" t="s">
        <v>579</v>
      </c>
      <c r="C25" s="66">
        <f>COUNTIFS(wacor_data_dictionary[[#All],[NCR Grouping]], "30 Day Follow Up")</f>
        <v>56</v>
      </c>
      <c r="D25" s="142">
        <f>COUNTIFS(wacor_data_dictionary[[#All],[NCR Grouping]], "30 Day Follow Up", wacor_data_dictionary[[#All],[PCI Data Set]], "1")</f>
        <v>43</v>
      </c>
      <c r="J25" s="69" t="s">
        <v>561</v>
      </c>
      <c r="K25" s="67">
        <f>COUNTIFS(wacor_data_dictionary[collection_system(s)],"Deaths Registry")</f>
        <v>1</v>
      </c>
      <c r="L25" s="67">
        <f>COUNTIFS(wacor_data_dictionary[collection_system(s)],"*deaths registry*")</f>
        <v>4</v>
      </c>
    </row>
    <row r="26" spans="2:12" x14ac:dyDescent="0.2">
      <c r="B26" t="s">
        <v>568</v>
      </c>
      <c r="C26">
        <f>SUM(C19:C25)</f>
        <v>193</v>
      </c>
      <c r="D26">
        <f>SUM(D19:D25)</f>
        <v>166</v>
      </c>
      <c r="J26" s="69" t="s">
        <v>142</v>
      </c>
      <c r="K26" s="67">
        <f>COUNTIFS(wacor_data_dictionary[collection_system(s)],"NACS")</f>
        <v>0</v>
      </c>
      <c r="L26" s="67">
        <f>COUNTIFS(wacor_data_dictionary[collection_system(s)],"*nacs*")</f>
        <v>6</v>
      </c>
    </row>
    <row r="27" spans="2:12" x14ac:dyDescent="0.2">
      <c r="J27" s="69" t="s">
        <v>580</v>
      </c>
      <c r="K27" s="67">
        <f>COUNTIFS(wacor_data_dictionary[collection_system(s)],"Redcap")</f>
        <v>27</v>
      </c>
      <c r="L27" s="67">
        <f>COUNTIFS(wacor_data_dictionary[collection_system(s)],"*Redcap*")</f>
        <v>126</v>
      </c>
    </row>
    <row r="28" spans="2:12" x14ac:dyDescent="0.2">
      <c r="J28" s="69" t="s">
        <v>581</v>
      </c>
      <c r="K28" s="67">
        <f>COUNTIFS(wacor_data_dictionary[collection_system(s)],"")</f>
        <v>25</v>
      </c>
      <c r="L28" s="67">
        <f>COUNTIFS(wacor_data_dictionary[collection_system(s)],"")</f>
        <v>25</v>
      </c>
    </row>
    <row r="29" spans="2:12" ht="15" x14ac:dyDescent="0.25">
      <c r="J29" s="73" t="s">
        <v>568</v>
      </c>
      <c r="K29" s="67">
        <f>SUM(K20:K28)</f>
        <v>86</v>
      </c>
      <c r="L29" s="67">
        <f>SUM(L20:L28)</f>
        <v>323</v>
      </c>
    </row>
  </sheetData>
  <conditionalFormatting sqref="J13:J14">
    <cfRule type="expression" dxfId="216" priority="21" stopIfTrue="1">
      <formula>$N15="0 = not defined"</formula>
    </cfRule>
    <cfRule type="expression" dxfId="215" priority="22" stopIfTrue="1">
      <formula>$N15="10 = definition drafted"</formula>
    </cfRule>
    <cfRule type="expression" dxfId="214" priority="23" stopIfTrue="1">
      <formula>$N15="20 = definition agreed by wacor project team"</formula>
    </cfRule>
    <cfRule type="expression" dxfId="213" priority="24" stopIfTrue="1">
      <formula>$N15="30 = definition out to consultation with consultation group"</formula>
    </cfRule>
    <cfRule type="expression" priority="25" stopIfTrue="1">
      <formula>$N15="40 = definition being revised following feedback from consultation group"</formula>
    </cfRule>
    <cfRule type="expression" dxfId="212" priority="26" stopIfTrue="1">
      <formula>$N15="50 = definition approved by constulation group"</formula>
    </cfRule>
    <cfRule type="expression" dxfId="211" priority="27" stopIfTrue="1">
      <formula>$N15="60 = definition finalised"</formula>
    </cfRule>
    <cfRule type="expression" dxfId="210" priority="28" stopIfTrue="1">
      <formula>$N15="70 = definition sent to PC for scrutiny"</formula>
    </cfRule>
    <cfRule type="expression" dxfId="209" priority="29" stopIfTrue="1">
      <formula>$N15="80 = definition finalised"</formula>
    </cfRule>
    <cfRule type="expression" dxfId="208" priority="30" stopIfTrue="1">
      <formula>$N15="90 = definition retired / superseded"</formula>
    </cfRule>
  </conditionalFormatting>
  <conditionalFormatting sqref="J15:J16">
    <cfRule type="expression" dxfId="207" priority="51" stopIfTrue="1">
      <formula>$N16="0 = not defined"</formula>
    </cfRule>
    <cfRule type="expression" dxfId="206" priority="52" stopIfTrue="1">
      <formula>$N16="10 = definition drafted"</formula>
    </cfRule>
    <cfRule type="expression" dxfId="205" priority="53" stopIfTrue="1">
      <formula>$N16="20 = definition agreed by wacor project team"</formula>
    </cfRule>
    <cfRule type="expression" dxfId="204" priority="54" stopIfTrue="1">
      <formula>$N16="30 = definition out to consultation with consultation group"</formula>
    </cfRule>
    <cfRule type="expression" priority="55" stopIfTrue="1">
      <formula>$N16="40 = definition being revised following feedback from consultation group"</formula>
    </cfRule>
    <cfRule type="expression" dxfId="203" priority="56" stopIfTrue="1">
      <formula>$N16="50 = definition approved by constulation group"</formula>
    </cfRule>
    <cfRule type="expression" dxfId="202" priority="57" stopIfTrue="1">
      <formula>$N16="60 = definition finalised"</formula>
    </cfRule>
    <cfRule type="expression" dxfId="201" priority="58" stopIfTrue="1">
      <formula>$N16="70 = definition sent to PC for scrutiny"</formula>
    </cfRule>
    <cfRule type="expression" dxfId="200" priority="59" stopIfTrue="1">
      <formula>$N16="80 = definition finalised"</formula>
    </cfRule>
    <cfRule type="expression" dxfId="199" priority="60" stopIfTrue="1">
      <formula>$N16="90 = definition retired / superseded"</formula>
    </cfRule>
  </conditionalFormatting>
  <conditionalFormatting sqref="J25:J26">
    <cfRule type="expression" dxfId="198" priority="1" stopIfTrue="1">
      <formula>$N29="0 = not defined"</formula>
    </cfRule>
    <cfRule type="expression" dxfId="197" priority="2" stopIfTrue="1">
      <formula>$N29="10 = definition drafted"</formula>
    </cfRule>
    <cfRule type="expression" dxfId="196" priority="3" stopIfTrue="1">
      <formula>$N29="20 = definition agreed by wacor project team"</formula>
    </cfRule>
    <cfRule type="expression" dxfId="195" priority="4" stopIfTrue="1">
      <formula>$N29="30 = definition out to consultation with consultation group"</formula>
    </cfRule>
    <cfRule type="expression" priority="5" stopIfTrue="1">
      <formula>$N29="40 = definition being revised following feedback from consultation group"</formula>
    </cfRule>
    <cfRule type="expression" dxfId="194" priority="6" stopIfTrue="1">
      <formula>$N29="50 = definition approved by constulation group"</formula>
    </cfRule>
    <cfRule type="expression" dxfId="193" priority="7" stopIfTrue="1">
      <formula>$N29="60 = definition finalised"</formula>
    </cfRule>
    <cfRule type="expression" dxfId="192" priority="8" stopIfTrue="1">
      <formula>$N29="70 = definition sent to PC for scrutiny"</formula>
    </cfRule>
    <cfRule type="expression" dxfId="191" priority="9" stopIfTrue="1">
      <formula>$N29="80 = definition finalised"</formula>
    </cfRule>
    <cfRule type="expression" dxfId="190" priority="10" stopIfTrue="1">
      <formula>$N29="90 = definition retired / superseded"</formula>
    </cfRule>
  </conditionalFormatting>
  <conditionalFormatting sqref="J27:J28">
    <cfRule type="expression" dxfId="189" priority="11" stopIfTrue="1">
      <formula>$N30="0 = not defined"</formula>
    </cfRule>
    <cfRule type="expression" dxfId="188" priority="12" stopIfTrue="1">
      <formula>$N30="10 = definition drafted"</formula>
    </cfRule>
    <cfRule type="expression" dxfId="187" priority="13" stopIfTrue="1">
      <formula>$N30="20 = definition agreed by wacor project team"</formula>
    </cfRule>
    <cfRule type="expression" dxfId="186" priority="14" stopIfTrue="1">
      <formula>$N30="30 = definition out to consultation with consultation group"</formula>
    </cfRule>
    <cfRule type="expression" priority="15" stopIfTrue="1">
      <formula>$N30="40 = definition being revised following feedback from consultation group"</formula>
    </cfRule>
    <cfRule type="expression" dxfId="185" priority="16" stopIfTrue="1">
      <formula>$N30="50 = definition approved by constulation group"</formula>
    </cfRule>
    <cfRule type="expression" dxfId="184" priority="17" stopIfTrue="1">
      <formula>$N30="60 = definition finalised"</formula>
    </cfRule>
    <cfRule type="expression" dxfId="183" priority="18" stopIfTrue="1">
      <formula>$N30="70 = definition sent to PC for scrutiny"</formula>
    </cfRule>
    <cfRule type="expression" dxfId="182" priority="19" stopIfTrue="1">
      <formula>$N30="80 = definition finalised"</formula>
    </cfRule>
    <cfRule type="expression" dxfId="181" priority="20" stopIfTrue="1">
      <formula>$N30="90 = definition retired / superseded"</formula>
    </cfRule>
  </conditionalFormatting>
  <pageMargins left="0.70866141732283472" right="0.70866141732283472" top="0.74803149606299213" bottom="0.74803149606299213" header="0.31496062992125984" footer="0.31496062992125984"/>
  <pageSetup paperSize="9" scale="8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38C63-9485-4777-AEDF-E043F4BC0B2F}">
  <sheetPr codeName="Sheet4"/>
  <dimension ref="A7:C22"/>
  <sheetViews>
    <sheetView workbookViewId="0">
      <selection activeCell="A22" sqref="A22"/>
    </sheetView>
  </sheetViews>
  <sheetFormatPr defaultColWidth="9" defaultRowHeight="14.25" x14ac:dyDescent="0.2"/>
  <cols>
    <col min="1" max="1" width="9.25" style="30" customWidth="1"/>
    <col min="2" max="2" width="11.25" style="30" customWidth="1"/>
    <col min="3" max="16384" width="9" style="30"/>
  </cols>
  <sheetData>
    <row r="7" spans="1:3" ht="15" x14ac:dyDescent="0.25">
      <c r="A7" s="35" t="s">
        <v>582</v>
      </c>
    </row>
    <row r="11" spans="1:3" x14ac:dyDescent="0.2">
      <c r="A11" s="30" t="s">
        <v>583</v>
      </c>
      <c r="B11" s="30" t="s">
        <v>584</v>
      </c>
      <c r="C11" s="30" t="s">
        <v>128</v>
      </c>
    </row>
    <row r="12" spans="1:3" x14ac:dyDescent="0.2">
      <c r="A12" s="30">
        <v>0.01</v>
      </c>
      <c r="B12" s="34">
        <v>44771</v>
      </c>
      <c r="C12" s="30" t="s">
        <v>585</v>
      </c>
    </row>
    <row r="13" spans="1:3" x14ac:dyDescent="0.2">
      <c r="A13" s="30">
        <v>0.02</v>
      </c>
      <c r="B13" s="34">
        <v>44771</v>
      </c>
      <c r="C13" s="30" t="s">
        <v>586</v>
      </c>
    </row>
    <row r="14" spans="1:3" x14ac:dyDescent="0.2">
      <c r="A14" s="30">
        <v>0.03</v>
      </c>
      <c r="B14" s="34">
        <v>44771</v>
      </c>
      <c r="C14" s="30" t="s">
        <v>587</v>
      </c>
    </row>
    <row r="15" spans="1:3" x14ac:dyDescent="0.2">
      <c r="A15" s="30">
        <v>0.04</v>
      </c>
      <c r="B15" s="34">
        <v>44773</v>
      </c>
      <c r="C15" s="30" t="s">
        <v>588</v>
      </c>
    </row>
    <row r="16" spans="1:3" x14ac:dyDescent="0.2">
      <c r="A16">
        <v>0.05</v>
      </c>
      <c r="B16" s="34">
        <v>44775</v>
      </c>
      <c r="C16" t="s">
        <v>589</v>
      </c>
    </row>
    <row r="17" spans="1:3" x14ac:dyDescent="0.2">
      <c r="A17" s="30">
        <v>0.06</v>
      </c>
      <c r="B17" s="34">
        <v>44778</v>
      </c>
      <c r="C17" s="30" t="s">
        <v>590</v>
      </c>
    </row>
    <row r="18" spans="1:3" x14ac:dyDescent="0.2">
      <c r="A18">
        <v>7.0000000000000007E-2</v>
      </c>
      <c r="B18" s="34">
        <v>44784</v>
      </c>
      <c r="C18" t="s">
        <v>591</v>
      </c>
    </row>
    <row r="19" spans="1:3" x14ac:dyDescent="0.2">
      <c r="A19" s="30">
        <v>0.08</v>
      </c>
      <c r="B19" s="34">
        <v>44810</v>
      </c>
      <c r="C19" t="s">
        <v>592</v>
      </c>
    </row>
    <row r="20" spans="1:3" x14ac:dyDescent="0.2">
      <c r="A20">
        <v>0.09</v>
      </c>
      <c r="B20" s="34">
        <v>44841</v>
      </c>
      <c r="C20" s="30" t="s">
        <v>593</v>
      </c>
    </row>
    <row r="21" spans="1:3" x14ac:dyDescent="0.2">
      <c r="A21" s="30">
        <v>0.1</v>
      </c>
      <c r="B21" s="34">
        <v>44959</v>
      </c>
      <c r="C21" t="s">
        <v>594</v>
      </c>
    </row>
    <row r="22" spans="1:3" x14ac:dyDescent="0.2">
      <c r="A22">
        <v>0.2</v>
      </c>
      <c r="B22" s="34">
        <v>44994</v>
      </c>
      <c r="C22" s="30" t="s">
        <v>595</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AT163"/>
  <sheetViews>
    <sheetView workbookViewId="0"/>
  </sheetViews>
  <sheetFormatPr defaultColWidth="8.875" defaultRowHeight="14.25" x14ac:dyDescent="0.2"/>
  <cols>
    <col min="1" max="1" width="31.5" style="1" customWidth="1"/>
    <col min="2" max="2" width="81" style="1" customWidth="1"/>
    <col min="3" max="3" width="20.625" style="1" bestFit="1" customWidth="1"/>
    <col min="4" max="4" width="15.75" style="1" bestFit="1" customWidth="1"/>
    <col min="5" max="5" width="4.875" style="1" bestFit="1" customWidth="1"/>
    <col min="6" max="6" width="22.5" style="1" bestFit="1" customWidth="1"/>
    <col min="7" max="7" width="40.125" style="1" bestFit="1" customWidth="1"/>
    <col min="8" max="8" width="7.25" style="1" bestFit="1" customWidth="1"/>
    <col min="9" max="9" width="10.125" style="1" bestFit="1" customWidth="1"/>
    <col min="10" max="10" width="19" style="1" bestFit="1" customWidth="1"/>
    <col min="11" max="11" width="18.375" style="1" bestFit="1" customWidth="1"/>
    <col min="12" max="12" width="9.125" style="1" bestFit="1" customWidth="1"/>
    <col min="13" max="13" width="14.625" style="1" bestFit="1" customWidth="1"/>
    <col min="14" max="14" width="9" style="1" bestFit="1" customWidth="1"/>
    <col min="15" max="23" width="6.5" style="1" bestFit="1" customWidth="1"/>
    <col min="24" max="25" width="7.5" style="1" bestFit="1" customWidth="1"/>
    <col min="26" max="26" width="42.375" style="1" bestFit="1" customWidth="1"/>
    <col min="27" max="27" width="29.125" style="1" bestFit="1" customWidth="1"/>
    <col min="28" max="28" width="22.5" style="1" bestFit="1" customWidth="1"/>
    <col min="29" max="29" width="33.625" style="1" customWidth="1"/>
    <col min="30" max="30" width="9.5" style="1" bestFit="1" customWidth="1"/>
    <col min="31" max="31" width="33" style="1" bestFit="1" customWidth="1"/>
    <col min="32" max="32" width="64.5" style="1" bestFit="1" customWidth="1"/>
    <col min="33" max="33" width="19.625" style="1" customWidth="1"/>
    <col min="34" max="34" width="22.875" style="1" customWidth="1"/>
    <col min="35" max="35" width="16.625" style="1" customWidth="1"/>
    <col min="36" max="44" width="8.25" style="4" customWidth="1"/>
    <col min="45" max="46" width="9.25" style="4" customWidth="1"/>
    <col min="47" max="47" width="24.875" style="1" customWidth="1"/>
    <col min="48" max="48" width="21.875" style="1" customWidth="1"/>
    <col min="49" max="49" width="14.75" style="1" customWidth="1"/>
    <col min="50" max="50" width="24.5" style="1" customWidth="1"/>
    <col min="51" max="51" width="8.875" style="1"/>
    <col min="52" max="52" width="20.125" style="1" bestFit="1" customWidth="1"/>
    <col min="53" max="53" width="23" style="1" customWidth="1"/>
    <col min="54" max="16384" width="8.875" style="1"/>
  </cols>
  <sheetData>
    <row r="1" spans="1:46" ht="28.5" x14ac:dyDescent="0.2">
      <c r="A1" s="1" t="s">
        <v>596</v>
      </c>
      <c r="B1" s="1" t="s">
        <v>597</v>
      </c>
      <c r="C1" s="1" t="s">
        <v>598</v>
      </c>
      <c r="D1" s="1" t="s">
        <v>599</v>
      </c>
      <c r="E1" s="1" t="s">
        <v>600</v>
      </c>
      <c r="F1" s="1" t="s">
        <v>601</v>
      </c>
      <c r="G1" s="1" t="s">
        <v>602</v>
      </c>
      <c r="H1" s="1" t="s">
        <v>603</v>
      </c>
      <c r="I1" s="1" t="s">
        <v>604</v>
      </c>
      <c r="J1" s="1" t="s">
        <v>605</v>
      </c>
      <c r="K1" s="1" t="s">
        <v>606</v>
      </c>
      <c r="L1" s="1" t="s">
        <v>607</v>
      </c>
      <c r="M1" s="1" t="s">
        <v>608</v>
      </c>
      <c r="N1" s="1" t="s">
        <v>609</v>
      </c>
      <c r="O1" s="1" t="s">
        <v>610</v>
      </c>
      <c r="P1" s="1" t="s">
        <v>611</v>
      </c>
      <c r="Q1" s="1" t="s">
        <v>612</v>
      </c>
      <c r="R1" s="1" t="s">
        <v>613</v>
      </c>
      <c r="S1" s="1" t="s">
        <v>614</v>
      </c>
      <c r="T1" s="1" t="s">
        <v>615</v>
      </c>
      <c r="U1" s="1" t="s">
        <v>616</v>
      </c>
      <c r="V1" s="1" t="s">
        <v>617</v>
      </c>
      <c r="W1" s="1" t="s">
        <v>618</v>
      </c>
      <c r="X1" s="1" t="s">
        <v>619</v>
      </c>
      <c r="Y1" s="1" t="s">
        <v>620</v>
      </c>
      <c r="Z1" s="1" t="s">
        <v>621</v>
      </c>
      <c r="AA1" s="1" t="s">
        <v>622</v>
      </c>
      <c r="AB1" s="1" t="s">
        <v>623</v>
      </c>
      <c r="AC1" s="1" t="s">
        <v>624</v>
      </c>
      <c r="AD1" s="1" t="s">
        <v>625</v>
      </c>
      <c r="AE1" s="1" t="s">
        <v>626</v>
      </c>
      <c r="AF1" s="1" t="s">
        <v>627</v>
      </c>
      <c r="AJ1" s="1"/>
      <c r="AK1" s="1"/>
      <c r="AL1" s="1"/>
      <c r="AM1" s="1"/>
      <c r="AN1" s="1"/>
      <c r="AO1" s="1"/>
      <c r="AP1" s="1"/>
      <c r="AQ1" s="1"/>
      <c r="AR1" s="1"/>
      <c r="AS1" s="1"/>
      <c r="AT1" s="1"/>
    </row>
    <row r="2" spans="1:46" x14ac:dyDescent="0.2">
      <c r="B2" s="1" t="s">
        <v>628</v>
      </c>
      <c r="E2" s="2" t="s">
        <v>629</v>
      </c>
      <c r="F2" s="2" t="s">
        <v>630</v>
      </c>
      <c r="G2" s="2" t="s">
        <v>631</v>
      </c>
      <c r="H2" s="2"/>
      <c r="I2" s="2"/>
      <c r="J2" s="2"/>
      <c r="K2" s="3"/>
      <c r="L2" s="2"/>
      <c r="M2" s="3"/>
      <c r="N2" s="2"/>
      <c r="O2" s="2"/>
      <c r="P2" s="2"/>
      <c r="Q2" s="2"/>
      <c r="R2" s="2"/>
      <c r="S2" s="2"/>
      <c r="T2" s="2"/>
      <c r="U2" s="2"/>
      <c r="V2" s="2"/>
      <c r="W2" s="2"/>
      <c r="X2" s="2"/>
      <c r="Y2" s="2"/>
      <c r="AC2" s="1" t="s">
        <v>632</v>
      </c>
      <c r="AD2" s="1" t="s">
        <v>633</v>
      </c>
      <c r="AE2" s="1" t="s">
        <v>634</v>
      </c>
      <c r="AF2" s="1" t="s">
        <v>635</v>
      </c>
      <c r="AJ2" s="1"/>
      <c r="AK2" s="1"/>
      <c r="AL2" s="1"/>
      <c r="AM2" s="1"/>
      <c r="AN2" s="1"/>
      <c r="AO2" s="1"/>
      <c r="AP2" s="1"/>
      <c r="AQ2" s="1"/>
      <c r="AR2" s="1"/>
      <c r="AS2" s="1"/>
      <c r="AT2" s="1"/>
    </row>
    <row r="3" spans="1:46" x14ac:dyDescent="0.2">
      <c r="C3" s="1" t="s">
        <v>636</v>
      </c>
      <c r="E3" s="2" t="s">
        <v>637</v>
      </c>
      <c r="F3" s="2" t="s">
        <v>638</v>
      </c>
      <c r="G3" s="2" t="s">
        <v>638</v>
      </c>
      <c r="H3" s="2"/>
      <c r="I3" s="2"/>
      <c r="J3" s="2"/>
      <c r="K3" s="3"/>
      <c r="L3" s="2"/>
      <c r="M3" s="3"/>
      <c r="N3" s="2"/>
      <c r="O3" s="2"/>
      <c r="P3" s="2"/>
      <c r="Q3" s="2"/>
      <c r="R3" s="2"/>
      <c r="S3" s="2"/>
      <c r="T3" s="2"/>
      <c r="U3" s="2"/>
      <c r="V3" s="2"/>
      <c r="W3" s="2"/>
      <c r="X3" s="2"/>
      <c r="Y3" s="2"/>
      <c r="AD3" s="1" t="s">
        <v>639</v>
      </c>
      <c r="AF3" s="1" t="s">
        <v>640</v>
      </c>
      <c r="AJ3" s="1"/>
      <c r="AK3" s="1"/>
      <c r="AL3" s="1"/>
      <c r="AM3" s="1"/>
      <c r="AN3" s="1"/>
      <c r="AO3" s="1"/>
      <c r="AP3" s="1"/>
      <c r="AQ3" s="1"/>
      <c r="AR3" s="1"/>
      <c r="AS3" s="1"/>
      <c r="AT3" s="1"/>
    </row>
    <row r="4" spans="1:46" x14ac:dyDescent="0.2">
      <c r="C4" s="1" t="s">
        <v>135</v>
      </c>
      <c r="D4" s="1" t="s">
        <v>641</v>
      </c>
      <c r="E4" s="2" t="s">
        <v>642</v>
      </c>
      <c r="F4" s="2" t="s">
        <v>643</v>
      </c>
      <c r="G4" s="2" t="s">
        <v>644</v>
      </c>
      <c r="H4" s="2"/>
      <c r="I4" s="2"/>
      <c r="J4" s="2"/>
      <c r="K4" s="3"/>
      <c r="L4" s="2"/>
      <c r="M4" s="3"/>
      <c r="N4" s="2"/>
      <c r="O4" s="2"/>
      <c r="P4" s="2"/>
      <c r="Q4" s="2"/>
      <c r="R4" s="2"/>
      <c r="S4" s="2"/>
      <c r="T4" s="2"/>
      <c r="U4" s="2"/>
      <c r="V4" s="2"/>
      <c r="W4" s="2"/>
      <c r="X4" s="2"/>
      <c r="Y4" s="2"/>
      <c r="Z4" s="1" t="s">
        <v>645</v>
      </c>
      <c r="AA4" s="1" t="s">
        <v>646</v>
      </c>
      <c r="AD4" s="1" t="s">
        <v>639</v>
      </c>
      <c r="AE4" s="1" t="s">
        <v>647</v>
      </c>
      <c r="AF4" s="1" t="s">
        <v>640</v>
      </c>
      <c r="AJ4" s="1"/>
      <c r="AK4" s="1"/>
      <c r="AL4" s="1"/>
      <c r="AM4" s="1"/>
      <c r="AN4" s="1"/>
      <c r="AO4" s="1"/>
      <c r="AP4" s="1"/>
      <c r="AQ4" s="1"/>
      <c r="AR4" s="1"/>
      <c r="AS4" s="1"/>
      <c r="AT4" s="1"/>
    </row>
    <row r="5" spans="1:46" x14ac:dyDescent="0.2">
      <c r="A5" s="1" t="s">
        <v>648</v>
      </c>
      <c r="C5" s="1" t="s">
        <v>135</v>
      </c>
      <c r="D5" s="1" t="s">
        <v>649</v>
      </c>
      <c r="E5" s="2" t="s">
        <v>650</v>
      </c>
      <c r="F5" s="2" t="s">
        <v>651</v>
      </c>
      <c r="G5" s="2" t="s">
        <v>488</v>
      </c>
      <c r="H5" s="2"/>
      <c r="I5" s="2"/>
      <c r="J5" s="2"/>
      <c r="K5" s="3"/>
      <c r="L5" s="2"/>
      <c r="M5" s="3"/>
      <c r="N5" s="2"/>
      <c r="O5" s="2"/>
      <c r="P5" s="2"/>
      <c r="Q5" s="2"/>
      <c r="R5" s="2"/>
      <c r="S5" s="2"/>
      <c r="T5" s="2"/>
      <c r="U5" s="2"/>
      <c r="V5" s="2"/>
      <c r="W5" s="2"/>
      <c r="X5" s="2"/>
      <c r="Y5" s="2"/>
      <c r="Z5" s="1" t="s">
        <v>652</v>
      </c>
      <c r="AA5" s="1" t="s">
        <v>653</v>
      </c>
      <c r="AF5" s="1" t="s">
        <v>654</v>
      </c>
      <c r="AJ5" s="1"/>
      <c r="AK5" s="1"/>
      <c r="AL5" s="1"/>
      <c r="AM5" s="1"/>
      <c r="AN5" s="1"/>
      <c r="AO5" s="1"/>
      <c r="AP5" s="1"/>
      <c r="AQ5" s="1"/>
      <c r="AR5" s="1"/>
      <c r="AS5" s="1"/>
      <c r="AT5" s="1"/>
    </row>
    <row r="6" spans="1:46" ht="85.5" x14ac:dyDescent="0.2">
      <c r="A6" s="1" t="s">
        <v>655</v>
      </c>
      <c r="C6" s="1" t="s">
        <v>656</v>
      </c>
      <c r="E6" s="2" t="s">
        <v>657</v>
      </c>
      <c r="F6" s="2" t="s">
        <v>382</v>
      </c>
      <c r="G6" s="2" t="s">
        <v>383</v>
      </c>
      <c r="H6" s="2"/>
      <c r="I6" s="2"/>
      <c r="J6" s="2"/>
      <c r="K6" s="3"/>
      <c r="L6" s="2"/>
      <c r="M6" s="3"/>
      <c r="N6" s="2"/>
      <c r="O6" s="2"/>
      <c r="P6" s="2"/>
      <c r="Q6" s="2"/>
      <c r="R6" s="2"/>
      <c r="S6" s="2"/>
      <c r="T6" s="2"/>
      <c r="U6" s="2"/>
      <c r="V6" s="2"/>
      <c r="W6" s="2"/>
      <c r="X6" s="2"/>
      <c r="Y6" s="2"/>
      <c r="AD6" s="1" t="s">
        <v>639</v>
      </c>
      <c r="AE6" s="1" t="s">
        <v>658</v>
      </c>
      <c r="AF6" s="1" t="s">
        <v>659</v>
      </c>
      <c r="AJ6" s="1"/>
      <c r="AK6" s="1"/>
      <c r="AL6" s="1"/>
      <c r="AM6" s="1"/>
      <c r="AN6" s="1"/>
      <c r="AO6" s="1"/>
      <c r="AP6" s="1"/>
      <c r="AQ6" s="1"/>
      <c r="AR6" s="1"/>
      <c r="AS6" s="1"/>
      <c r="AT6" s="1"/>
    </row>
    <row r="7" spans="1:46" x14ac:dyDescent="0.2">
      <c r="E7" s="2" t="s">
        <v>660</v>
      </c>
      <c r="F7" s="2" t="s">
        <v>661</v>
      </c>
      <c r="G7" s="2" t="s">
        <v>662</v>
      </c>
      <c r="H7" s="2"/>
      <c r="I7" s="2"/>
      <c r="J7" s="2"/>
      <c r="K7" s="3"/>
      <c r="L7" s="2"/>
      <c r="M7" s="3"/>
      <c r="N7" s="2"/>
      <c r="O7" s="2"/>
      <c r="P7" s="2"/>
      <c r="Q7" s="2"/>
      <c r="R7" s="2"/>
      <c r="S7" s="2"/>
      <c r="T7" s="2"/>
      <c r="U7" s="2"/>
      <c r="V7" s="2"/>
      <c r="W7" s="2"/>
      <c r="X7" s="2"/>
      <c r="Y7" s="2"/>
      <c r="AD7" s="1" t="s">
        <v>639</v>
      </c>
      <c r="AF7" s="1" t="s">
        <v>640</v>
      </c>
      <c r="AJ7" s="1"/>
      <c r="AK7" s="1"/>
      <c r="AL7" s="1"/>
      <c r="AM7" s="1"/>
      <c r="AN7" s="1"/>
      <c r="AO7" s="1"/>
      <c r="AP7" s="1"/>
      <c r="AQ7" s="1"/>
      <c r="AR7" s="1"/>
      <c r="AS7" s="1"/>
      <c r="AT7" s="1"/>
    </row>
    <row r="8" spans="1:46" x14ac:dyDescent="0.2">
      <c r="C8" s="1" t="s">
        <v>656</v>
      </c>
      <c r="E8" s="2" t="s">
        <v>663</v>
      </c>
      <c r="F8" s="2" t="s">
        <v>664</v>
      </c>
      <c r="G8" s="2" t="s">
        <v>458</v>
      </c>
      <c r="H8" s="2"/>
      <c r="I8" s="2"/>
      <c r="J8" s="2"/>
      <c r="K8" s="3"/>
      <c r="L8" s="2"/>
      <c r="M8" s="3"/>
      <c r="N8" s="2"/>
      <c r="O8" s="2"/>
      <c r="P8" s="2"/>
      <c r="Q8" s="2"/>
      <c r="R8" s="2"/>
      <c r="S8" s="2"/>
      <c r="T8" s="2"/>
      <c r="U8" s="2"/>
      <c r="V8" s="2"/>
      <c r="W8" s="2"/>
      <c r="X8" s="2"/>
      <c r="Y8" s="2"/>
      <c r="AD8" s="1" t="s">
        <v>639</v>
      </c>
      <c r="AE8" s="1" t="s">
        <v>665</v>
      </c>
      <c r="AF8" s="1" t="s">
        <v>640</v>
      </c>
      <c r="AJ8" s="1"/>
      <c r="AK8" s="1"/>
      <c r="AL8" s="1"/>
      <c r="AM8" s="1"/>
      <c r="AN8" s="1"/>
      <c r="AO8" s="1"/>
      <c r="AP8" s="1"/>
      <c r="AQ8" s="1"/>
      <c r="AR8" s="1"/>
      <c r="AS8" s="1"/>
      <c r="AT8" s="1"/>
    </row>
    <row r="9" spans="1:46" x14ac:dyDescent="0.2">
      <c r="E9" s="2" t="s">
        <v>666</v>
      </c>
      <c r="F9" s="2" t="s">
        <v>357</v>
      </c>
      <c r="G9" s="2" t="s">
        <v>667</v>
      </c>
      <c r="H9" s="2"/>
      <c r="I9" s="2"/>
      <c r="J9" s="2"/>
      <c r="K9" s="3"/>
      <c r="L9" s="2"/>
      <c r="M9" s="3"/>
      <c r="N9" s="2"/>
      <c r="O9" s="2"/>
      <c r="P9" s="2"/>
      <c r="Q9" s="2"/>
      <c r="R9" s="2"/>
      <c r="S9" s="2"/>
      <c r="T9" s="2"/>
      <c r="U9" s="2"/>
      <c r="V9" s="2"/>
      <c r="W9" s="2"/>
      <c r="X9" s="2"/>
      <c r="Y9" s="2"/>
      <c r="AC9" s="1" t="s">
        <v>668</v>
      </c>
      <c r="AD9" s="1" t="s">
        <v>639</v>
      </c>
      <c r="AF9" s="1" t="s">
        <v>635</v>
      </c>
      <c r="AJ9" s="1"/>
      <c r="AK9" s="1"/>
      <c r="AL9" s="1"/>
      <c r="AM9" s="1"/>
      <c r="AN9" s="1"/>
      <c r="AO9" s="1"/>
      <c r="AP9" s="1"/>
      <c r="AQ9" s="1"/>
      <c r="AR9" s="1"/>
      <c r="AS9" s="1"/>
      <c r="AT9" s="1"/>
    </row>
    <row r="10" spans="1:46" ht="57" x14ac:dyDescent="0.2">
      <c r="B10" s="1" t="s">
        <v>669</v>
      </c>
      <c r="C10" s="1" t="s">
        <v>656</v>
      </c>
      <c r="E10" s="2" t="s">
        <v>670</v>
      </c>
      <c r="F10" s="2" t="s">
        <v>158</v>
      </c>
      <c r="G10" s="2" t="s">
        <v>316</v>
      </c>
      <c r="H10" s="2"/>
      <c r="I10" s="2"/>
      <c r="J10" s="2"/>
      <c r="K10" s="3"/>
      <c r="L10" s="2"/>
      <c r="M10" s="3"/>
      <c r="N10" s="2"/>
      <c r="O10" s="2"/>
      <c r="P10" s="2" t="s">
        <v>671</v>
      </c>
      <c r="Q10" s="2"/>
      <c r="R10" s="2"/>
      <c r="S10" s="2"/>
      <c r="T10" s="2"/>
      <c r="U10" s="2"/>
      <c r="V10" s="2"/>
      <c r="W10" s="2"/>
      <c r="X10" s="2"/>
      <c r="Y10" s="2"/>
      <c r="AD10" s="1" t="s">
        <v>639</v>
      </c>
      <c r="AE10" s="1" t="s">
        <v>647</v>
      </c>
      <c r="AF10" s="1" t="s">
        <v>672</v>
      </c>
      <c r="AJ10" s="1"/>
      <c r="AK10" s="1"/>
      <c r="AL10" s="1"/>
      <c r="AM10" s="1"/>
      <c r="AN10" s="1"/>
      <c r="AO10" s="1"/>
      <c r="AP10" s="1"/>
      <c r="AQ10" s="1"/>
      <c r="AR10" s="1"/>
      <c r="AS10" s="1"/>
      <c r="AT10" s="1"/>
    </row>
    <row r="11" spans="1:46" ht="57" x14ac:dyDescent="0.2">
      <c r="B11" s="1" t="s">
        <v>673</v>
      </c>
      <c r="C11" s="1" t="s">
        <v>656</v>
      </c>
      <c r="E11" s="2" t="s">
        <v>674</v>
      </c>
      <c r="F11" s="2" t="s">
        <v>181</v>
      </c>
      <c r="G11" s="2" t="s">
        <v>518</v>
      </c>
      <c r="H11" s="2"/>
      <c r="I11" s="2"/>
      <c r="J11" s="2"/>
      <c r="K11" s="3"/>
      <c r="L11" s="2"/>
      <c r="M11" s="3"/>
      <c r="N11" s="2"/>
      <c r="O11" s="2"/>
      <c r="P11" s="2" t="s">
        <v>671</v>
      </c>
      <c r="Q11" s="2"/>
      <c r="R11" s="2"/>
      <c r="S11" s="2"/>
      <c r="T11" s="2"/>
      <c r="U11" s="2"/>
      <c r="V11" s="2"/>
      <c r="W11" s="2"/>
      <c r="X11" s="2"/>
      <c r="Y11" s="2"/>
      <c r="AD11" s="1" t="s">
        <v>639</v>
      </c>
      <c r="AE11" s="1" t="s">
        <v>675</v>
      </c>
      <c r="AF11" s="1" t="s">
        <v>672</v>
      </c>
      <c r="AJ11" s="1"/>
      <c r="AK11" s="1"/>
      <c r="AL11" s="1"/>
      <c r="AM11" s="1"/>
      <c r="AN11" s="1"/>
      <c r="AO11" s="1"/>
      <c r="AP11" s="1"/>
      <c r="AQ11" s="1"/>
      <c r="AR11" s="1"/>
      <c r="AS11" s="1"/>
      <c r="AT11" s="1"/>
    </row>
    <row r="12" spans="1:46" x14ac:dyDescent="0.2">
      <c r="E12" s="2" t="s">
        <v>676</v>
      </c>
      <c r="F12" s="2" t="s">
        <v>275</v>
      </c>
      <c r="G12" s="2" t="s">
        <v>276</v>
      </c>
      <c r="H12" s="2"/>
      <c r="I12" s="2"/>
      <c r="J12" s="2"/>
      <c r="K12" s="3"/>
      <c r="L12" s="2"/>
      <c r="M12" s="3"/>
      <c r="N12" s="2"/>
      <c r="O12" s="2"/>
      <c r="P12" s="2"/>
      <c r="Q12" s="2"/>
      <c r="R12" s="2"/>
      <c r="S12" s="2"/>
      <c r="T12" s="2"/>
      <c r="U12" s="2"/>
      <c r="V12" s="2"/>
      <c r="W12" s="2"/>
      <c r="X12" s="2"/>
      <c r="Y12" s="2"/>
      <c r="AD12" s="1" t="s">
        <v>633</v>
      </c>
      <c r="AF12" s="1" t="s">
        <v>677</v>
      </c>
      <c r="AJ12" s="1"/>
      <c r="AK12" s="1"/>
      <c r="AL12" s="1"/>
      <c r="AM12" s="1"/>
      <c r="AN12" s="1"/>
      <c r="AO12" s="1"/>
      <c r="AP12" s="1"/>
      <c r="AQ12" s="1"/>
      <c r="AR12" s="1"/>
      <c r="AS12" s="1"/>
      <c r="AT12" s="1"/>
    </row>
    <row r="13" spans="1:46" ht="42.75" x14ac:dyDescent="0.2">
      <c r="B13" s="1" t="s">
        <v>678</v>
      </c>
      <c r="C13" s="1" t="s">
        <v>135</v>
      </c>
      <c r="D13" s="1" t="s">
        <v>649</v>
      </c>
      <c r="E13" s="2" t="s">
        <v>679</v>
      </c>
      <c r="F13" s="2" t="s">
        <v>361</v>
      </c>
      <c r="G13" s="2" t="s">
        <v>680</v>
      </c>
      <c r="H13" s="2"/>
      <c r="I13" s="2"/>
      <c r="J13" s="2"/>
      <c r="K13" s="3"/>
      <c r="L13" s="2"/>
      <c r="M13" s="3"/>
      <c r="N13" s="2"/>
      <c r="O13" s="2"/>
      <c r="P13" s="2"/>
      <c r="Q13" s="2"/>
      <c r="R13" s="2"/>
      <c r="S13" s="2"/>
      <c r="T13" s="2"/>
      <c r="U13" s="2"/>
      <c r="V13" s="2"/>
      <c r="W13" s="2"/>
      <c r="X13" s="2"/>
      <c r="Y13" s="2"/>
      <c r="Z13" s="1" t="s">
        <v>681</v>
      </c>
      <c r="AA13" s="1" t="s">
        <v>682</v>
      </c>
      <c r="AB13" s="1" t="s">
        <v>683</v>
      </c>
      <c r="AD13" s="1" t="s">
        <v>639</v>
      </c>
      <c r="AE13" s="1" t="s">
        <v>684</v>
      </c>
      <c r="AF13" s="1" t="s">
        <v>685</v>
      </c>
      <c r="AJ13" s="1"/>
      <c r="AK13" s="1"/>
      <c r="AL13" s="1"/>
      <c r="AM13" s="1"/>
      <c r="AN13" s="1"/>
      <c r="AO13" s="1"/>
      <c r="AP13" s="1"/>
      <c r="AQ13" s="1"/>
      <c r="AR13" s="1"/>
      <c r="AS13" s="1"/>
      <c r="AT13" s="1"/>
    </row>
    <row r="14" spans="1:46" ht="42.75" x14ac:dyDescent="0.2">
      <c r="B14" s="1" t="s">
        <v>686</v>
      </c>
      <c r="C14" s="1" t="s">
        <v>135</v>
      </c>
      <c r="D14" s="1" t="s">
        <v>649</v>
      </c>
      <c r="E14" s="2" t="s">
        <v>687</v>
      </c>
      <c r="F14" s="2" t="s">
        <v>539</v>
      </c>
      <c r="G14" s="2" t="s">
        <v>688</v>
      </c>
      <c r="H14" s="2"/>
      <c r="I14" s="2"/>
      <c r="J14" s="2"/>
      <c r="K14" s="3"/>
      <c r="L14" s="2"/>
      <c r="M14" s="3"/>
      <c r="N14" s="2"/>
      <c r="O14" s="2"/>
      <c r="P14" s="2"/>
      <c r="Q14" s="2"/>
      <c r="R14" s="2"/>
      <c r="S14" s="2"/>
      <c r="T14" s="2"/>
      <c r="U14" s="2"/>
      <c r="V14" s="2"/>
      <c r="W14" s="2"/>
      <c r="X14" s="2"/>
      <c r="Y14" s="2"/>
      <c r="Z14" s="1" t="s">
        <v>689</v>
      </c>
      <c r="AA14" s="1" t="s">
        <v>690</v>
      </c>
      <c r="AB14" s="1" t="s">
        <v>683</v>
      </c>
      <c r="AD14" s="1" t="s">
        <v>639</v>
      </c>
      <c r="AE14" s="1" t="s">
        <v>684</v>
      </c>
      <c r="AF14" s="1" t="s">
        <v>685</v>
      </c>
      <c r="AJ14" s="1"/>
      <c r="AK14" s="1"/>
      <c r="AL14" s="1"/>
      <c r="AM14" s="1"/>
      <c r="AN14" s="1"/>
      <c r="AO14" s="1"/>
      <c r="AP14" s="1"/>
      <c r="AQ14" s="1"/>
      <c r="AR14" s="1"/>
      <c r="AS14" s="1"/>
      <c r="AT14" s="1"/>
    </row>
    <row r="15" spans="1:46" x14ac:dyDescent="0.2">
      <c r="E15" s="2" t="s">
        <v>691</v>
      </c>
      <c r="F15" s="2" t="s">
        <v>277</v>
      </c>
      <c r="G15" s="2" t="s">
        <v>692</v>
      </c>
      <c r="H15" s="2"/>
      <c r="I15" s="2"/>
      <c r="J15" s="2"/>
      <c r="K15" s="3"/>
      <c r="L15" s="2"/>
      <c r="M15" s="3"/>
      <c r="N15" s="2"/>
      <c r="O15" s="2"/>
      <c r="P15" s="2"/>
      <c r="Q15" s="2"/>
      <c r="R15" s="2"/>
      <c r="S15" s="2"/>
      <c r="T15" s="2"/>
      <c r="U15" s="2"/>
      <c r="V15" s="2"/>
      <c r="W15" s="2"/>
      <c r="X15" s="2"/>
      <c r="Y15" s="2"/>
      <c r="AD15" s="1" t="s">
        <v>633</v>
      </c>
      <c r="AF15" s="1" t="s">
        <v>693</v>
      </c>
      <c r="AJ15" s="1"/>
      <c r="AK15" s="1"/>
      <c r="AL15" s="1"/>
      <c r="AM15" s="1"/>
      <c r="AN15" s="1"/>
      <c r="AO15" s="1"/>
      <c r="AP15" s="1"/>
      <c r="AQ15" s="1"/>
      <c r="AR15" s="1"/>
      <c r="AS15" s="1"/>
      <c r="AT15" s="1"/>
    </row>
    <row r="16" spans="1:46" ht="57" x14ac:dyDescent="0.2">
      <c r="B16" s="1" t="s">
        <v>694</v>
      </c>
      <c r="C16" s="2" t="s">
        <v>135</v>
      </c>
      <c r="D16" s="1" t="s">
        <v>695</v>
      </c>
      <c r="E16" s="2" t="s">
        <v>696</v>
      </c>
      <c r="F16" s="2" t="s">
        <v>121</v>
      </c>
      <c r="G16" s="2" t="s">
        <v>320</v>
      </c>
      <c r="H16" s="2"/>
      <c r="I16" s="2" t="s">
        <v>697</v>
      </c>
      <c r="J16" s="2" t="s">
        <v>698</v>
      </c>
      <c r="K16" s="3">
        <v>44271</v>
      </c>
      <c r="L16" s="2" t="s">
        <v>699</v>
      </c>
      <c r="M16" s="3"/>
      <c r="N16" s="2"/>
      <c r="O16" s="2"/>
      <c r="P16" s="2" t="s">
        <v>671</v>
      </c>
      <c r="Q16" s="2"/>
      <c r="R16" s="2"/>
      <c r="S16" s="2"/>
      <c r="T16" s="2"/>
      <c r="U16" s="2"/>
      <c r="V16" s="2"/>
      <c r="W16" s="2"/>
      <c r="X16" s="2"/>
      <c r="Y16" s="2"/>
      <c r="Z16" s="1" t="s">
        <v>168</v>
      </c>
      <c r="AA16" s="1" t="s">
        <v>700</v>
      </c>
      <c r="AD16" s="1" t="s">
        <v>639</v>
      </c>
      <c r="AE16" s="1" t="s">
        <v>647</v>
      </c>
      <c r="AF16" s="1" t="s">
        <v>701</v>
      </c>
      <c r="AJ16" s="1"/>
      <c r="AK16" s="1"/>
      <c r="AL16" s="1"/>
      <c r="AM16" s="1"/>
      <c r="AN16" s="1"/>
      <c r="AO16" s="1"/>
      <c r="AP16" s="1"/>
      <c r="AQ16" s="1"/>
      <c r="AR16" s="1"/>
      <c r="AS16" s="1"/>
      <c r="AT16" s="1"/>
    </row>
    <row r="17" spans="1:46" ht="28.5" x14ac:dyDescent="0.2">
      <c r="B17" s="1" t="s">
        <v>702</v>
      </c>
      <c r="C17" s="2" t="s">
        <v>135</v>
      </c>
      <c r="D17" s="1" t="s">
        <v>695</v>
      </c>
      <c r="E17" s="2" t="s">
        <v>703</v>
      </c>
      <c r="F17" s="2" t="s">
        <v>223</v>
      </c>
      <c r="G17" s="2" t="s">
        <v>704</v>
      </c>
      <c r="H17" s="2"/>
      <c r="I17" s="2" t="s">
        <v>697</v>
      </c>
      <c r="J17" s="2" t="s">
        <v>698</v>
      </c>
      <c r="K17" s="3">
        <v>44271</v>
      </c>
      <c r="L17" s="2" t="s">
        <v>699</v>
      </c>
      <c r="M17" s="3"/>
      <c r="N17" s="2"/>
      <c r="O17" s="2"/>
      <c r="P17" s="2" t="s">
        <v>671</v>
      </c>
      <c r="Q17" s="2"/>
      <c r="R17" s="2"/>
      <c r="S17" s="2"/>
      <c r="T17" s="2"/>
      <c r="U17" s="2"/>
      <c r="V17" s="2"/>
      <c r="W17" s="2"/>
      <c r="X17" s="2"/>
      <c r="Y17" s="2"/>
      <c r="Z17" s="1" t="s">
        <v>168</v>
      </c>
      <c r="AA17" s="1" t="s">
        <v>705</v>
      </c>
      <c r="AD17" s="1" t="s">
        <v>639</v>
      </c>
      <c r="AE17" s="1" t="s">
        <v>675</v>
      </c>
      <c r="AF17" s="1" t="s">
        <v>701</v>
      </c>
      <c r="AJ17" s="1"/>
      <c r="AK17" s="1"/>
      <c r="AL17" s="1"/>
      <c r="AM17" s="1"/>
      <c r="AN17" s="1"/>
      <c r="AO17" s="1"/>
      <c r="AP17" s="1"/>
      <c r="AQ17" s="1"/>
      <c r="AR17" s="1"/>
      <c r="AS17" s="1"/>
      <c r="AT17" s="1"/>
    </row>
    <row r="18" spans="1:46" ht="29.25" x14ac:dyDescent="0.2">
      <c r="B18" s="1" t="s">
        <v>706</v>
      </c>
      <c r="C18" s="1" t="s">
        <v>135</v>
      </c>
      <c r="D18" s="1" t="s">
        <v>641</v>
      </c>
      <c r="E18" s="2" t="s">
        <v>707</v>
      </c>
      <c r="F18" s="2" t="s">
        <v>469</v>
      </c>
      <c r="G18" s="2" t="s">
        <v>708</v>
      </c>
      <c r="H18" s="2"/>
      <c r="I18" s="2"/>
      <c r="J18" s="2"/>
      <c r="K18" s="3"/>
      <c r="L18" s="2"/>
      <c r="M18" s="3"/>
      <c r="N18" s="2"/>
      <c r="O18" s="2"/>
      <c r="P18" s="2"/>
      <c r="Q18" s="2"/>
      <c r="R18" s="2"/>
      <c r="S18" s="2"/>
      <c r="T18" s="2"/>
      <c r="U18" s="2"/>
      <c r="V18" s="2"/>
      <c r="W18" s="2"/>
      <c r="X18" s="2"/>
      <c r="Y18" s="2"/>
      <c r="Z18" s="1" t="s">
        <v>709</v>
      </c>
      <c r="AA18" s="1" t="s">
        <v>710</v>
      </c>
      <c r="AD18" s="1" t="s">
        <v>639</v>
      </c>
      <c r="AE18" s="1" t="s">
        <v>711</v>
      </c>
      <c r="AF18" s="1" t="s">
        <v>712</v>
      </c>
      <c r="AJ18" s="1"/>
      <c r="AK18" s="1"/>
      <c r="AL18" s="1"/>
      <c r="AM18" s="1"/>
      <c r="AN18" s="1"/>
      <c r="AO18" s="1"/>
      <c r="AP18" s="1"/>
      <c r="AQ18" s="1"/>
      <c r="AR18" s="1"/>
      <c r="AS18" s="1"/>
      <c r="AT18" s="1"/>
    </row>
    <row r="19" spans="1:46" ht="42.75" x14ac:dyDescent="0.2">
      <c r="A19" s="1" t="s">
        <v>713</v>
      </c>
      <c r="B19" s="1" t="s">
        <v>714</v>
      </c>
      <c r="C19" s="1" t="s">
        <v>135</v>
      </c>
      <c r="D19" s="1" t="s">
        <v>649</v>
      </c>
      <c r="E19" s="2" t="s">
        <v>715</v>
      </c>
      <c r="F19" s="2" t="s">
        <v>300</v>
      </c>
      <c r="G19" s="2" t="s">
        <v>301</v>
      </c>
      <c r="H19" s="2"/>
      <c r="I19" s="2"/>
      <c r="J19" s="2"/>
      <c r="K19" s="3"/>
      <c r="L19" s="2"/>
      <c r="M19" s="3"/>
      <c r="N19" s="2"/>
      <c r="O19" s="2"/>
      <c r="P19" s="2"/>
      <c r="Q19" s="2"/>
      <c r="R19" s="2"/>
      <c r="S19" s="2"/>
      <c r="T19" s="2"/>
      <c r="U19" s="2"/>
      <c r="V19" s="2"/>
      <c r="W19" s="2"/>
      <c r="X19" s="2"/>
      <c r="Y19" s="2"/>
      <c r="Z19" s="1" t="s">
        <v>301</v>
      </c>
      <c r="AA19" s="1" t="s">
        <v>716</v>
      </c>
      <c r="AB19" s="1" t="s">
        <v>683</v>
      </c>
      <c r="AD19" s="1" t="s">
        <v>639</v>
      </c>
      <c r="AE19" s="1" t="s">
        <v>717</v>
      </c>
      <c r="AF19" s="1" t="s">
        <v>718</v>
      </c>
      <c r="AJ19" s="1"/>
      <c r="AK19" s="1"/>
      <c r="AL19" s="1"/>
      <c r="AM19" s="1"/>
      <c r="AN19" s="1"/>
      <c r="AO19" s="1"/>
      <c r="AP19" s="1"/>
      <c r="AQ19" s="1"/>
      <c r="AR19" s="1"/>
      <c r="AS19" s="1"/>
      <c r="AT19" s="1"/>
    </row>
    <row r="20" spans="1:46" ht="71.25" x14ac:dyDescent="0.2">
      <c r="A20" s="1" t="s">
        <v>719</v>
      </c>
      <c r="B20" s="1" t="s">
        <v>720</v>
      </c>
      <c r="C20" s="1" t="s">
        <v>721</v>
      </c>
      <c r="E20" s="2" t="s">
        <v>722</v>
      </c>
      <c r="F20" s="2" t="s">
        <v>305</v>
      </c>
      <c r="G20" s="2" t="s">
        <v>723</v>
      </c>
      <c r="H20" s="2"/>
      <c r="I20" s="2"/>
      <c r="J20" s="2"/>
      <c r="K20" s="3"/>
      <c r="L20" s="2"/>
      <c r="M20" s="3"/>
      <c r="N20" s="2"/>
      <c r="O20" s="2"/>
      <c r="P20" s="2"/>
      <c r="Q20" s="2"/>
      <c r="R20" s="2"/>
      <c r="S20" s="2"/>
      <c r="T20" s="2"/>
      <c r="U20" s="2"/>
      <c r="V20" s="2"/>
      <c r="W20" s="2"/>
      <c r="X20" s="2"/>
      <c r="Y20" s="2"/>
      <c r="AC20" s="1" t="s">
        <v>724</v>
      </c>
      <c r="AD20" s="1" t="s">
        <v>639</v>
      </c>
      <c r="AE20" s="1" t="s">
        <v>725</v>
      </c>
      <c r="AF20" s="1" t="s">
        <v>726</v>
      </c>
      <c r="AJ20" s="1"/>
      <c r="AK20" s="1"/>
      <c r="AL20" s="1"/>
      <c r="AM20" s="1"/>
      <c r="AN20" s="1"/>
      <c r="AO20" s="1"/>
      <c r="AP20" s="1"/>
      <c r="AQ20" s="1"/>
      <c r="AR20" s="1"/>
      <c r="AS20" s="1"/>
      <c r="AT20" s="1"/>
    </row>
    <row r="21" spans="1:46" ht="42.75" x14ac:dyDescent="0.2">
      <c r="A21" s="1" t="s">
        <v>713</v>
      </c>
      <c r="B21" s="1" t="s">
        <v>727</v>
      </c>
      <c r="C21" s="1" t="s">
        <v>135</v>
      </c>
      <c r="D21" s="1" t="s">
        <v>649</v>
      </c>
      <c r="E21" s="2" t="s">
        <v>728</v>
      </c>
      <c r="F21" s="2" t="s">
        <v>475</v>
      </c>
      <c r="G21" s="2" t="s">
        <v>729</v>
      </c>
      <c r="H21" s="2"/>
      <c r="I21" s="2"/>
      <c r="J21" s="2"/>
      <c r="K21" s="3"/>
      <c r="L21" s="2"/>
      <c r="M21" s="3"/>
      <c r="N21" s="2"/>
      <c r="O21" s="2"/>
      <c r="P21" s="2"/>
      <c r="Q21" s="2"/>
      <c r="R21" s="2"/>
      <c r="S21" s="2"/>
      <c r="T21" s="2"/>
      <c r="U21" s="2"/>
      <c r="V21" s="2"/>
      <c r="W21" s="2"/>
      <c r="X21" s="2"/>
      <c r="Y21" s="2"/>
      <c r="AC21" s="1" t="s">
        <v>730</v>
      </c>
      <c r="AD21" s="1" t="s">
        <v>639</v>
      </c>
      <c r="AE21" s="1" t="s">
        <v>717</v>
      </c>
      <c r="AF21" s="1" t="s">
        <v>731</v>
      </c>
      <c r="AJ21" s="1"/>
      <c r="AK21" s="1"/>
      <c r="AL21" s="1"/>
      <c r="AM21" s="1"/>
      <c r="AN21" s="1"/>
      <c r="AO21" s="1"/>
      <c r="AP21" s="1"/>
      <c r="AQ21" s="1"/>
      <c r="AR21" s="1"/>
      <c r="AS21" s="1"/>
      <c r="AT21" s="1"/>
    </row>
    <row r="22" spans="1:46" ht="99.75" x14ac:dyDescent="0.2">
      <c r="A22" s="1" t="s">
        <v>713</v>
      </c>
      <c r="B22" s="1" t="s">
        <v>732</v>
      </c>
      <c r="C22" s="1" t="s">
        <v>135</v>
      </c>
      <c r="D22" s="1" t="s">
        <v>649</v>
      </c>
      <c r="E22" s="2" t="s">
        <v>733</v>
      </c>
      <c r="F22" s="2" t="s">
        <v>477</v>
      </c>
      <c r="G22" s="2" t="s">
        <v>734</v>
      </c>
      <c r="H22" s="2"/>
      <c r="I22" s="2"/>
      <c r="J22" s="2"/>
      <c r="K22" s="3"/>
      <c r="L22" s="2"/>
      <c r="M22" s="3"/>
      <c r="N22" s="2"/>
      <c r="O22" s="2"/>
      <c r="P22" s="2"/>
      <c r="Q22" s="2"/>
      <c r="R22" s="2"/>
      <c r="S22" s="2"/>
      <c r="T22" s="2"/>
      <c r="U22" s="2"/>
      <c r="V22" s="2"/>
      <c r="W22" s="2"/>
      <c r="X22" s="2"/>
      <c r="Y22" s="2"/>
      <c r="AD22" s="1" t="s">
        <v>639</v>
      </c>
      <c r="AE22" s="1" t="s">
        <v>717</v>
      </c>
      <c r="AF22" s="1" t="s">
        <v>731</v>
      </c>
      <c r="AJ22" s="1"/>
      <c r="AK22" s="1"/>
      <c r="AL22" s="1"/>
      <c r="AM22" s="1"/>
      <c r="AN22" s="1"/>
      <c r="AO22" s="1"/>
      <c r="AP22" s="1"/>
      <c r="AQ22" s="1"/>
      <c r="AR22" s="1"/>
      <c r="AS22" s="1"/>
      <c r="AT22" s="1"/>
    </row>
    <row r="23" spans="1:46" ht="42.75" x14ac:dyDescent="0.2">
      <c r="A23" s="1" t="s">
        <v>713</v>
      </c>
      <c r="B23" s="1" t="s">
        <v>735</v>
      </c>
      <c r="C23" s="1" t="s">
        <v>135</v>
      </c>
      <c r="D23" s="1" t="s">
        <v>649</v>
      </c>
      <c r="E23" s="2" t="s">
        <v>736</v>
      </c>
      <c r="F23" s="2" t="s">
        <v>448</v>
      </c>
      <c r="G23" s="2" t="s">
        <v>449</v>
      </c>
      <c r="H23" s="2"/>
      <c r="I23" s="2"/>
      <c r="J23" s="2"/>
      <c r="K23" s="3"/>
      <c r="L23" s="2"/>
      <c r="M23" s="3"/>
      <c r="N23" s="2"/>
      <c r="O23" s="2"/>
      <c r="P23" s="2"/>
      <c r="Q23" s="2"/>
      <c r="R23" s="2"/>
      <c r="S23" s="2"/>
      <c r="T23" s="2"/>
      <c r="U23" s="2"/>
      <c r="V23" s="2"/>
      <c r="W23" s="2"/>
      <c r="X23" s="2"/>
      <c r="Y23" s="2"/>
      <c r="Z23" s="1" t="s">
        <v>737</v>
      </c>
      <c r="AA23" s="1" t="s">
        <v>738</v>
      </c>
      <c r="AB23" s="1" t="s">
        <v>683</v>
      </c>
      <c r="AD23" s="1" t="s">
        <v>639</v>
      </c>
      <c r="AE23" s="1" t="s">
        <v>717</v>
      </c>
      <c r="AF23" s="1" t="s">
        <v>731</v>
      </c>
      <c r="AJ23" s="1"/>
      <c r="AK23" s="1"/>
      <c r="AL23" s="1"/>
      <c r="AM23" s="1"/>
      <c r="AN23" s="1"/>
      <c r="AO23" s="1"/>
      <c r="AP23" s="1"/>
      <c r="AQ23" s="1"/>
      <c r="AR23" s="1"/>
      <c r="AS23" s="1"/>
      <c r="AT23" s="1"/>
    </row>
    <row r="24" spans="1:46" ht="28.5" x14ac:dyDescent="0.2">
      <c r="B24" s="1" t="s">
        <v>739</v>
      </c>
      <c r="C24" s="1" t="s">
        <v>135</v>
      </c>
      <c r="D24" s="1" t="s">
        <v>740</v>
      </c>
      <c r="E24" s="2" t="s">
        <v>741</v>
      </c>
      <c r="F24" s="2" t="s">
        <v>321</v>
      </c>
      <c r="G24" s="2" t="s">
        <v>742</v>
      </c>
      <c r="H24" s="2"/>
      <c r="I24" s="2"/>
      <c r="J24" s="2"/>
      <c r="K24" s="3"/>
      <c r="L24" s="2"/>
      <c r="M24" s="3"/>
      <c r="N24" s="2"/>
      <c r="O24" s="2"/>
      <c r="P24" s="2"/>
      <c r="Q24" s="2"/>
      <c r="R24" s="2"/>
      <c r="S24" s="2"/>
      <c r="T24" s="2"/>
      <c r="U24" s="2"/>
      <c r="V24" s="2"/>
      <c r="W24" s="2"/>
      <c r="X24" s="2"/>
      <c r="Y24" s="2"/>
      <c r="Z24" s="1" t="s">
        <v>743</v>
      </c>
      <c r="AA24" s="1" t="s">
        <v>744</v>
      </c>
      <c r="AD24" s="1" t="s">
        <v>639</v>
      </c>
      <c r="AE24" s="1" t="s">
        <v>647</v>
      </c>
      <c r="AF24" s="1" t="s">
        <v>745</v>
      </c>
      <c r="AJ24" s="1"/>
      <c r="AK24" s="1"/>
      <c r="AL24" s="1"/>
      <c r="AM24" s="1"/>
      <c r="AN24" s="1"/>
      <c r="AO24" s="1"/>
      <c r="AP24" s="1"/>
      <c r="AQ24" s="1"/>
      <c r="AR24" s="1"/>
      <c r="AS24" s="1"/>
      <c r="AT24" s="1"/>
    </row>
    <row r="25" spans="1:46" ht="42.75" x14ac:dyDescent="0.2">
      <c r="A25" s="1" t="s">
        <v>713</v>
      </c>
      <c r="B25" s="1" t="s">
        <v>746</v>
      </c>
      <c r="C25" s="1" t="s">
        <v>135</v>
      </c>
      <c r="D25" s="1" t="s">
        <v>649</v>
      </c>
      <c r="E25" s="2" t="s">
        <v>747</v>
      </c>
      <c r="F25" s="2" t="s">
        <v>471</v>
      </c>
      <c r="G25" s="2" t="s">
        <v>472</v>
      </c>
      <c r="H25" s="2"/>
      <c r="I25" s="2"/>
      <c r="J25" s="2"/>
      <c r="K25" s="3"/>
      <c r="L25" s="2"/>
      <c r="M25" s="3"/>
      <c r="N25" s="2"/>
      <c r="O25" s="2"/>
      <c r="P25" s="2"/>
      <c r="Q25" s="2"/>
      <c r="R25" s="2"/>
      <c r="S25" s="2"/>
      <c r="T25" s="2"/>
      <c r="U25" s="2"/>
      <c r="V25" s="2"/>
      <c r="W25" s="2"/>
      <c r="X25" s="2"/>
      <c r="Y25" s="2"/>
      <c r="Z25" s="1" t="s">
        <v>748</v>
      </c>
      <c r="AA25" s="1" t="s">
        <v>749</v>
      </c>
      <c r="AB25" s="1" t="s">
        <v>683</v>
      </c>
      <c r="AD25" s="1" t="s">
        <v>639</v>
      </c>
      <c r="AE25" s="1" t="s">
        <v>717</v>
      </c>
      <c r="AF25" s="1" t="s">
        <v>745</v>
      </c>
      <c r="AJ25" s="1"/>
      <c r="AK25" s="1"/>
      <c r="AL25" s="1"/>
      <c r="AM25" s="1"/>
      <c r="AN25" s="1"/>
      <c r="AO25" s="1"/>
      <c r="AP25" s="1"/>
      <c r="AQ25" s="1"/>
      <c r="AR25" s="1"/>
      <c r="AS25" s="1"/>
      <c r="AT25" s="1"/>
    </row>
    <row r="26" spans="1:46" ht="28.5" x14ac:dyDescent="0.2">
      <c r="B26" s="1" t="s">
        <v>750</v>
      </c>
      <c r="C26" s="1" t="s">
        <v>135</v>
      </c>
      <c r="D26" s="1" t="s">
        <v>740</v>
      </c>
      <c r="E26" s="2" t="s">
        <v>751</v>
      </c>
      <c r="F26" s="2" t="s">
        <v>323</v>
      </c>
      <c r="G26" s="2" t="s">
        <v>752</v>
      </c>
      <c r="H26" s="2"/>
      <c r="I26" s="2"/>
      <c r="J26" s="2"/>
      <c r="K26" s="3"/>
      <c r="L26" s="2"/>
      <c r="M26" s="3"/>
      <c r="N26" s="2"/>
      <c r="O26" s="2"/>
      <c r="P26" s="2"/>
      <c r="Q26" s="2"/>
      <c r="R26" s="2"/>
      <c r="S26" s="2"/>
      <c r="T26" s="2"/>
      <c r="U26" s="2"/>
      <c r="V26" s="2"/>
      <c r="W26" s="2"/>
      <c r="X26" s="2"/>
      <c r="Y26" s="2"/>
      <c r="Z26" s="1" t="s">
        <v>753</v>
      </c>
      <c r="AA26" s="1" t="s">
        <v>754</v>
      </c>
      <c r="AD26" s="1" t="s">
        <v>639</v>
      </c>
      <c r="AE26" s="1" t="s">
        <v>647</v>
      </c>
      <c r="AF26" s="1" t="s">
        <v>745</v>
      </c>
      <c r="AJ26" s="1"/>
      <c r="AK26" s="1"/>
      <c r="AL26" s="1"/>
      <c r="AM26" s="1"/>
      <c r="AN26" s="1"/>
      <c r="AO26" s="1"/>
      <c r="AP26" s="1"/>
      <c r="AQ26" s="1"/>
      <c r="AR26" s="1"/>
      <c r="AS26" s="1"/>
      <c r="AT26" s="1"/>
    </row>
    <row r="27" spans="1:46" ht="28.5" x14ac:dyDescent="0.2">
      <c r="B27" s="1" t="s">
        <v>755</v>
      </c>
      <c r="C27" s="1" t="s">
        <v>135</v>
      </c>
      <c r="D27" s="1" t="s">
        <v>649</v>
      </c>
      <c r="E27" s="2" t="s">
        <v>756</v>
      </c>
      <c r="F27" s="2" t="s">
        <v>459</v>
      </c>
      <c r="G27" s="2" t="s">
        <v>757</v>
      </c>
      <c r="H27" s="2"/>
      <c r="I27" s="2"/>
      <c r="J27" s="2"/>
      <c r="K27" s="3"/>
      <c r="L27" s="2"/>
      <c r="M27" s="3"/>
      <c r="N27" s="2"/>
      <c r="O27" s="2"/>
      <c r="P27" s="2"/>
      <c r="Q27" s="2"/>
      <c r="R27" s="2"/>
      <c r="S27" s="2"/>
      <c r="T27" s="2"/>
      <c r="U27" s="2"/>
      <c r="V27" s="2"/>
      <c r="W27" s="2"/>
      <c r="X27" s="2"/>
      <c r="Y27" s="2"/>
      <c r="AD27" s="1" t="s">
        <v>639</v>
      </c>
      <c r="AE27" s="1" t="s">
        <v>758</v>
      </c>
      <c r="AF27" s="1" t="s">
        <v>759</v>
      </c>
      <c r="AJ27" s="1"/>
      <c r="AK27" s="1"/>
      <c r="AL27" s="1"/>
      <c r="AM27" s="1"/>
      <c r="AN27" s="1"/>
      <c r="AO27" s="1"/>
      <c r="AP27" s="1"/>
      <c r="AQ27" s="1"/>
      <c r="AR27" s="1"/>
      <c r="AS27" s="1"/>
      <c r="AT27" s="1"/>
    </row>
    <row r="28" spans="1:46" ht="57" x14ac:dyDescent="0.2">
      <c r="E28" s="2" t="s">
        <v>760</v>
      </c>
      <c r="F28" s="2" t="s">
        <v>431</v>
      </c>
      <c r="G28" s="2" t="s">
        <v>432</v>
      </c>
      <c r="H28" s="2"/>
      <c r="I28" s="2"/>
      <c r="J28" s="2"/>
      <c r="K28" s="3"/>
      <c r="L28" s="2"/>
      <c r="M28" s="3"/>
      <c r="N28" s="2"/>
      <c r="O28" s="2"/>
      <c r="P28" s="2"/>
      <c r="Q28" s="2"/>
      <c r="R28" s="2"/>
      <c r="S28" s="2"/>
      <c r="T28" s="2"/>
      <c r="U28" s="2"/>
      <c r="V28" s="2"/>
      <c r="W28" s="2"/>
      <c r="X28" s="2"/>
      <c r="Y28" s="2"/>
      <c r="AC28" s="1" t="s">
        <v>761</v>
      </c>
      <c r="AD28" s="1" t="s">
        <v>633</v>
      </c>
      <c r="AF28" s="1" t="s">
        <v>762</v>
      </c>
      <c r="AJ28" s="1"/>
      <c r="AK28" s="1"/>
      <c r="AL28" s="1"/>
      <c r="AM28" s="1"/>
      <c r="AN28" s="1"/>
      <c r="AO28" s="1"/>
      <c r="AP28" s="1"/>
      <c r="AQ28" s="1"/>
      <c r="AR28" s="1"/>
      <c r="AS28" s="1"/>
      <c r="AT28" s="1"/>
    </row>
    <row r="29" spans="1:46" ht="128.25" x14ac:dyDescent="0.2">
      <c r="A29" s="1" t="s">
        <v>713</v>
      </c>
      <c r="B29" s="1" t="s">
        <v>763</v>
      </c>
      <c r="C29" s="1" t="s">
        <v>764</v>
      </c>
      <c r="E29" s="2" t="s">
        <v>765</v>
      </c>
      <c r="F29" s="2" t="s">
        <v>339</v>
      </c>
      <c r="G29" s="2" t="s">
        <v>340</v>
      </c>
      <c r="H29" s="2"/>
      <c r="I29" s="2"/>
      <c r="J29" s="2"/>
      <c r="K29" s="3"/>
      <c r="L29" s="2"/>
      <c r="M29" s="3"/>
      <c r="N29" s="2"/>
      <c r="O29" s="2"/>
      <c r="P29" s="2"/>
      <c r="Q29" s="2"/>
      <c r="R29" s="2"/>
      <c r="S29" s="2"/>
      <c r="T29" s="2"/>
      <c r="U29" s="2"/>
      <c r="V29" s="2"/>
      <c r="W29" s="2"/>
      <c r="X29" s="2"/>
      <c r="Y29" s="2"/>
      <c r="AD29" s="1" t="s">
        <v>639</v>
      </c>
      <c r="AE29" s="1" t="s">
        <v>717</v>
      </c>
      <c r="AF29" s="1" t="s">
        <v>766</v>
      </c>
      <c r="AJ29" s="1"/>
      <c r="AK29" s="1"/>
      <c r="AL29" s="1"/>
      <c r="AM29" s="1"/>
      <c r="AN29" s="1"/>
      <c r="AO29" s="1"/>
      <c r="AP29" s="1"/>
      <c r="AQ29" s="1"/>
      <c r="AR29" s="1"/>
      <c r="AS29" s="1"/>
      <c r="AT29" s="1"/>
    </row>
    <row r="30" spans="1:46" ht="57" x14ac:dyDescent="0.2">
      <c r="B30" s="1" t="s">
        <v>767</v>
      </c>
      <c r="C30" s="1" t="s">
        <v>764</v>
      </c>
      <c r="E30" s="2" t="s">
        <v>768</v>
      </c>
      <c r="F30" s="2" t="s">
        <v>308</v>
      </c>
      <c r="G30" s="2" t="s">
        <v>309</v>
      </c>
      <c r="H30" s="2"/>
      <c r="I30" s="2"/>
      <c r="J30" s="2"/>
      <c r="K30" s="3"/>
      <c r="L30" s="2"/>
      <c r="M30" s="3"/>
      <c r="N30" s="2"/>
      <c r="O30" s="2"/>
      <c r="P30" s="2"/>
      <c r="Q30" s="2"/>
      <c r="R30" s="2"/>
      <c r="S30" s="2"/>
      <c r="T30" s="2"/>
      <c r="U30" s="2"/>
      <c r="V30" s="2"/>
      <c r="W30" s="2"/>
      <c r="X30" s="2"/>
      <c r="Y30" s="2"/>
      <c r="AD30" s="1" t="s">
        <v>639</v>
      </c>
      <c r="AE30" s="1" t="s">
        <v>647</v>
      </c>
      <c r="AF30" s="1" t="s">
        <v>769</v>
      </c>
      <c r="AJ30" s="1"/>
      <c r="AK30" s="1"/>
      <c r="AL30" s="1"/>
      <c r="AM30" s="1"/>
      <c r="AN30" s="1"/>
      <c r="AO30" s="1"/>
      <c r="AP30" s="1"/>
      <c r="AQ30" s="1"/>
      <c r="AR30" s="1"/>
      <c r="AS30" s="1"/>
      <c r="AT30" s="1"/>
    </row>
    <row r="31" spans="1:46" ht="128.25" x14ac:dyDescent="0.2">
      <c r="A31" s="29" t="s">
        <v>713</v>
      </c>
      <c r="B31" s="1" t="s">
        <v>763</v>
      </c>
      <c r="C31" s="1" t="s">
        <v>764</v>
      </c>
      <c r="E31" s="2" t="s">
        <v>770</v>
      </c>
      <c r="F31" s="2" t="s">
        <v>339</v>
      </c>
      <c r="G31" s="2" t="s">
        <v>338</v>
      </c>
      <c r="H31" s="2"/>
      <c r="I31" s="2"/>
      <c r="J31" s="2"/>
      <c r="K31" s="3"/>
      <c r="L31" s="2"/>
      <c r="M31" s="3"/>
      <c r="N31" s="2"/>
      <c r="O31" s="2"/>
      <c r="P31" s="2"/>
      <c r="Q31" s="2"/>
      <c r="R31" s="2"/>
      <c r="S31" s="2"/>
      <c r="T31" s="2"/>
      <c r="U31" s="2"/>
      <c r="V31" s="2"/>
      <c r="W31" s="2"/>
      <c r="X31" s="2"/>
      <c r="Y31" s="2"/>
      <c r="AC31" s="1" t="s">
        <v>771</v>
      </c>
      <c r="AD31" s="1" t="s">
        <v>639</v>
      </c>
      <c r="AE31" s="1" t="s">
        <v>717</v>
      </c>
      <c r="AF31" s="1" t="s">
        <v>772</v>
      </c>
      <c r="AJ31" s="1"/>
      <c r="AK31" s="1"/>
      <c r="AL31" s="1"/>
      <c r="AM31" s="1"/>
      <c r="AN31" s="1"/>
      <c r="AO31" s="1"/>
      <c r="AP31" s="1"/>
      <c r="AQ31" s="1"/>
      <c r="AR31" s="1"/>
      <c r="AS31" s="1"/>
      <c r="AT31" s="1"/>
    </row>
    <row r="32" spans="1:46" ht="71.25" x14ac:dyDescent="0.2">
      <c r="A32" s="1" t="s">
        <v>773</v>
      </c>
      <c r="B32" s="1" t="s">
        <v>774</v>
      </c>
      <c r="C32" s="1" t="s">
        <v>135</v>
      </c>
      <c r="D32" s="1" t="s">
        <v>649</v>
      </c>
      <c r="E32" s="2" t="s">
        <v>775</v>
      </c>
      <c r="F32" s="2" t="s">
        <v>332</v>
      </c>
      <c r="G32" s="2" t="s">
        <v>776</v>
      </c>
      <c r="H32" s="2"/>
      <c r="I32" s="2"/>
      <c r="J32" s="2"/>
      <c r="K32" s="3"/>
      <c r="L32" s="2"/>
      <c r="M32" s="3"/>
      <c r="N32" s="2"/>
      <c r="O32" s="2"/>
      <c r="P32" s="2"/>
      <c r="Q32" s="2"/>
      <c r="R32" s="2"/>
      <c r="S32" s="2"/>
      <c r="T32" s="2"/>
      <c r="U32" s="2"/>
      <c r="V32" s="2"/>
      <c r="W32" s="2"/>
      <c r="X32" s="2"/>
      <c r="Y32" s="2"/>
      <c r="AD32" s="1" t="s">
        <v>639</v>
      </c>
      <c r="AE32" s="1" t="s">
        <v>777</v>
      </c>
      <c r="AF32" s="1" t="s">
        <v>778</v>
      </c>
      <c r="AJ32" s="1"/>
      <c r="AK32" s="1"/>
      <c r="AL32" s="1"/>
      <c r="AM32" s="1"/>
      <c r="AN32" s="1"/>
      <c r="AO32" s="1"/>
      <c r="AP32" s="1"/>
      <c r="AQ32" s="1"/>
      <c r="AR32" s="1"/>
      <c r="AS32" s="1"/>
      <c r="AT32" s="1"/>
    </row>
    <row r="33" spans="1:46" ht="114" x14ac:dyDescent="0.2">
      <c r="A33" s="1" t="s">
        <v>779</v>
      </c>
      <c r="B33" s="1" t="s">
        <v>780</v>
      </c>
      <c r="C33" s="1" t="s">
        <v>781</v>
      </c>
      <c r="E33" s="2" t="s">
        <v>782</v>
      </c>
      <c r="F33" s="2" t="s">
        <v>335</v>
      </c>
      <c r="G33" s="2" t="s">
        <v>336</v>
      </c>
      <c r="H33" s="2"/>
      <c r="I33" s="2"/>
      <c r="J33" s="2"/>
      <c r="K33" s="3"/>
      <c r="L33" s="2"/>
      <c r="M33" s="3"/>
      <c r="N33" s="2"/>
      <c r="O33" s="2"/>
      <c r="P33" s="2"/>
      <c r="Q33" s="2"/>
      <c r="R33" s="2"/>
      <c r="S33" s="2"/>
      <c r="T33" s="2"/>
      <c r="U33" s="2"/>
      <c r="V33" s="2"/>
      <c r="W33" s="2"/>
      <c r="X33" s="2"/>
      <c r="Y33" s="2"/>
      <c r="AD33" s="1" t="s">
        <v>639</v>
      </c>
      <c r="AE33" s="1" t="s">
        <v>783</v>
      </c>
      <c r="AJ33" s="1"/>
      <c r="AK33" s="1"/>
      <c r="AL33" s="1"/>
      <c r="AM33" s="1"/>
      <c r="AN33" s="1"/>
      <c r="AO33" s="1"/>
      <c r="AP33" s="1"/>
      <c r="AQ33" s="1"/>
      <c r="AR33" s="1"/>
      <c r="AS33" s="1"/>
      <c r="AT33" s="1"/>
    </row>
    <row r="34" spans="1:46" x14ac:dyDescent="0.2">
      <c r="E34" s="2" t="s">
        <v>784</v>
      </c>
      <c r="F34" s="2" t="s">
        <v>343</v>
      </c>
      <c r="G34" s="2" t="s">
        <v>785</v>
      </c>
      <c r="H34" s="2"/>
      <c r="I34" s="2"/>
      <c r="J34" s="2"/>
      <c r="K34" s="3"/>
      <c r="L34" s="2"/>
      <c r="M34" s="3"/>
      <c r="N34" s="2"/>
      <c r="O34" s="2"/>
      <c r="P34" s="2"/>
      <c r="Q34" s="2"/>
      <c r="R34" s="2"/>
      <c r="S34" s="2"/>
      <c r="T34" s="2"/>
      <c r="U34" s="2"/>
      <c r="V34" s="2"/>
      <c r="W34" s="2"/>
      <c r="X34" s="2"/>
      <c r="Y34" s="2"/>
      <c r="AD34" s="1" t="s">
        <v>639</v>
      </c>
      <c r="AF34" s="1" t="s">
        <v>726</v>
      </c>
      <c r="AJ34" s="1"/>
      <c r="AK34" s="1"/>
      <c r="AL34" s="1"/>
      <c r="AM34" s="1"/>
      <c r="AN34" s="1"/>
      <c r="AO34" s="1"/>
      <c r="AP34" s="1"/>
      <c r="AQ34" s="1"/>
      <c r="AR34" s="1"/>
      <c r="AS34" s="1"/>
      <c r="AT34" s="1"/>
    </row>
    <row r="35" spans="1:46" ht="128.25" x14ac:dyDescent="0.2">
      <c r="A35" s="1" t="s">
        <v>713</v>
      </c>
      <c r="B35" s="1" t="s">
        <v>786</v>
      </c>
      <c r="E35" s="2" t="s">
        <v>787</v>
      </c>
      <c r="F35" s="2" t="s">
        <v>489</v>
      </c>
      <c r="G35" s="2" t="s">
        <v>490</v>
      </c>
      <c r="H35" s="2"/>
      <c r="I35" s="2"/>
      <c r="J35" s="2"/>
      <c r="K35" s="3"/>
      <c r="L35" s="2"/>
      <c r="M35" s="3"/>
      <c r="N35" s="2"/>
      <c r="O35" s="2"/>
      <c r="P35" s="2"/>
      <c r="Q35" s="2"/>
      <c r="R35" s="2"/>
      <c r="S35" s="2"/>
      <c r="T35" s="2"/>
      <c r="U35" s="2"/>
      <c r="V35" s="2"/>
      <c r="W35" s="2"/>
      <c r="X35" s="2"/>
      <c r="Y35" s="2"/>
      <c r="AD35" s="1" t="s">
        <v>639</v>
      </c>
      <c r="AE35" s="1" t="s">
        <v>717</v>
      </c>
      <c r="AF35" s="1" t="s">
        <v>788</v>
      </c>
      <c r="AJ35" s="1"/>
      <c r="AK35" s="1"/>
      <c r="AL35" s="1"/>
      <c r="AM35" s="1"/>
      <c r="AN35" s="1"/>
      <c r="AO35" s="1"/>
      <c r="AP35" s="1"/>
      <c r="AQ35" s="1"/>
      <c r="AR35" s="1"/>
      <c r="AS35" s="1"/>
      <c r="AT35" s="1"/>
    </row>
    <row r="36" spans="1:46" ht="42.75" x14ac:dyDescent="0.2">
      <c r="A36" s="1" t="s">
        <v>713</v>
      </c>
      <c r="B36" s="1" t="s">
        <v>789</v>
      </c>
      <c r="C36" s="1" t="s">
        <v>135</v>
      </c>
      <c r="D36" s="1" t="s">
        <v>649</v>
      </c>
      <c r="E36" s="2" t="s">
        <v>790</v>
      </c>
      <c r="F36" s="2" t="s">
        <v>439</v>
      </c>
      <c r="G36" s="2" t="s">
        <v>440</v>
      </c>
      <c r="H36" s="2"/>
      <c r="I36" s="2"/>
      <c r="J36" s="2"/>
      <c r="K36" s="3"/>
      <c r="L36" s="2"/>
      <c r="M36" s="3"/>
      <c r="N36" s="2"/>
      <c r="O36" s="2"/>
      <c r="P36" s="2"/>
      <c r="Q36" s="2"/>
      <c r="R36" s="2"/>
      <c r="S36" s="2"/>
      <c r="T36" s="2"/>
      <c r="U36" s="2"/>
      <c r="V36" s="2"/>
      <c r="W36" s="2"/>
      <c r="X36" s="2"/>
      <c r="Y36" s="2"/>
      <c r="AD36" s="1" t="s">
        <v>639</v>
      </c>
      <c r="AE36" s="1" t="s">
        <v>717</v>
      </c>
      <c r="AF36" s="1" t="s">
        <v>791</v>
      </c>
      <c r="AJ36" s="1"/>
      <c r="AK36" s="1"/>
      <c r="AL36" s="1"/>
      <c r="AM36" s="1"/>
      <c r="AN36" s="1"/>
      <c r="AO36" s="1"/>
      <c r="AP36" s="1"/>
      <c r="AQ36" s="1"/>
      <c r="AR36" s="1"/>
      <c r="AS36" s="1"/>
      <c r="AT36" s="1"/>
    </row>
    <row r="37" spans="1:46" x14ac:dyDescent="0.2">
      <c r="A37" s="1" t="s">
        <v>713</v>
      </c>
      <c r="B37" s="1" t="s">
        <v>792</v>
      </c>
      <c r="E37" s="2" t="s">
        <v>793</v>
      </c>
      <c r="F37" s="2" t="s">
        <v>465</v>
      </c>
      <c r="G37" s="2" t="s">
        <v>466</v>
      </c>
      <c r="H37" s="2"/>
      <c r="I37" s="2"/>
      <c r="J37" s="2"/>
      <c r="K37" s="3"/>
      <c r="L37" s="2"/>
      <c r="M37" s="3"/>
      <c r="N37" s="2"/>
      <c r="O37" s="2"/>
      <c r="P37" s="2"/>
      <c r="Q37" s="2"/>
      <c r="R37" s="2"/>
      <c r="S37" s="2"/>
      <c r="T37" s="2"/>
      <c r="U37" s="2"/>
      <c r="V37" s="2"/>
      <c r="W37" s="2"/>
      <c r="X37" s="2"/>
      <c r="Y37" s="2"/>
      <c r="AD37" s="1" t="s">
        <v>639</v>
      </c>
      <c r="AE37" s="1" t="s">
        <v>717</v>
      </c>
      <c r="AF37" s="1" t="s">
        <v>794</v>
      </c>
      <c r="AJ37" s="1"/>
      <c r="AK37" s="1"/>
      <c r="AL37" s="1"/>
      <c r="AM37" s="1"/>
      <c r="AN37" s="1"/>
      <c r="AO37" s="1"/>
      <c r="AP37" s="1"/>
      <c r="AQ37" s="1"/>
      <c r="AR37" s="1"/>
      <c r="AS37" s="1"/>
      <c r="AT37" s="1"/>
    </row>
    <row r="38" spans="1:46" x14ac:dyDescent="0.2">
      <c r="E38" s="2" t="s">
        <v>795</v>
      </c>
      <c r="F38" s="2" t="s">
        <v>796</v>
      </c>
      <c r="G38" s="2" t="s">
        <v>662</v>
      </c>
      <c r="H38" s="2"/>
      <c r="I38" s="2"/>
      <c r="J38" s="2"/>
      <c r="K38" s="3"/>
      <c r="L38" s="2"/>
      <c r="M38" s="3"/>
      <c r="N38" s="2"/>
      <c r="O38" s="2"/>
      <c r="P38" s="2"/>
      <c r="Q38" s="2"/>
      <c r="R38" s="2"/>
      <c r="S38" s="2"/>
      <c r="T38" s="2"/>
      <c r="U38" s="2"/>
      <c r="V38" s="2"/>
      <c r="W38" s="2"/>
      <c r="X38" s="2"/>
      <c r="Y38" s="2"/>
      <c r="AD38" s="1" t="s">
        <v>633</v>
      </c>
      <c r="AF38" s="1" t="s">
        <v>797</v>
      </c>
      <c r="AJ38" s="1"/>
      <c r="AK38" s="1"/>
      <c r="AL38" s="1"/>
      <c r="AM38" s="1"/>
      <c r="AN38" s="1"/>
      <c r="AO38" s="1"/>
      <c r="AP38" s="1"/>
      <c r="AQ38" s="1"/>
      <c r="AR38" s="1"/>
      <c r="AS38" s="1"/>
      <c r="AT38" s="1"/>
    </row>
    <row r="39" spans="1:46" ht="85.5" x14ac:dyDescent="0.2">
      <c r="A39" s="1" t="s">
        <v>713</v>
      </c>
      <c r="B39" s="1" t="s">
        <v>798</v>
      </c>
      <c r="E39" s="2" t="s">
        <v>799</v>
      </c>
      <c r="F39" s="2" t="s">
        <v>109</v>
      </c>
      <c r="G39" s="2" t="s">
        <v>800</v>
      </c>
      <c r="H39" s="2"/>
      <c r="I39" s="2"/>
      <c r="J39" s="2"/>
      <c r="K39" s="3"/>
      <c r="L39" s="2"/>
      <c r="M39" s="3"/>
      <c r="N39" s="2"/>
      <c r="O39" s="2"/>
      <c r="P39" s="2"/>
      <c r="Q39" s="2"/>
      <c r="R39" s="2"/>
      <c r="S39" s="2"/>
      <c r="T39" s="2"/>
      <c r="U39" s="2"/>
      <c r="V39" s="2"/>
      <c r="W39" s="2"/>
      <c r="X39" s="2"/>
      <c r="Y39" s="2"/>
      <c r="AD39" s="1" t="s">
        <v>633</v>
      </c>
      <c r="AE39" s="1" t="s">
        <v>717</v>
      </c>
      <c r="AF39" s="1" t="s">
        <v>801</v>
      </c>
      <c r="AJ39" s="1"/>
      <c r="AK39" s="1"/>
      <c r="AL39" s="1"/>
      <c r="AM39" s="1"/>
      <c r="AN39" s="1"/>
      <c r="AO39" s="1"/>
      <c r="AP39" s="1"/>
      <c r="AQ39" s="1"/>
      <c r="AR39" s="1"/>
      <c r="AS39" s="1"/>
      <c r="AT39" s="1"/>
    </row>
    <row r="40" spans="1:46" ht="142.5" x14ac:dyDescent="0.2">
      <c r="B40" s="1" t="s">
        <v>802</v>
      </c>
      <c r="E40" s="2" t="s">
        <v>803</v>
      </c>
      <c r="F40" s="2" t="s">
        <v>325</v>
      </c>
      <c r="G40" s="2" t="s">
        <v>326</v>
      </c>
      <c r="H40" s="2"/>
      <c r="I40" s="2"/>
      <c r="J40" s="2"/>
      <c r="K40" s="3"/>
      <c r="L40" s="2"/>
      <c r="M40" s="3"/>
      <c r="N40" s="2"/>
      <c r="O40" s="2" t="s">
        <v>671</v>
      </c>
      <c r="P40" s="2" t="s">
        <v>671</v>
      </c>
      <c r="Q40" s="2"/>
      <c r="R40" s="2"/>
      <c r="S40" s="2"/>
      <c r="T40" s="2"/>
      <c r="U40" s="2"/>
      <c r="V40" s="2"/>
      <c r="W40" s="2"/>
      <c r="X40" s="2"/>
      <c r="Y40" s="2"/>
      <c r="AD40" s="1" t="s">
        <v>639</v>
      </c>
      <c r="AE40" s="1" t="s">
        <v>647</v>
      </c>
      <c r="AF40" s="1" t="s">
        <v>804</v>
      </c>
      <c r="AJ40" s="1"/>
      <c r="AK40" s="1"/>
      <c r="AL40" s="1"/>
      <c r="AM40" s="1"/>
      <c r="AN40" s="1"/>
      <c r="AO40" s="1"/>
      <c r="AP40" s="1"/>
      <c r="AQ40" s="1"/>
      <c r="AR40" s="1"/>
      <c r="AS40" s="1"/>
      <c r="AT40" s="1"/>
    </row>
    <row r="41" spans="1:46" ht="85.5" x14ac:dyDescent="0.2">
      <c r="B41" s="1" t="s">
        <v>805</v>
      </c>
      <c r="E41" s="2" t="s">
        <v>806</v>
      </c>
      <c r="F41" s="2" t="s">
        <v>520</v>
      </c>
      <c r="G41" s="2" t="s">
        <v>521</v>
      </c>
      <c r="H41" s="2"/>
      <c r="I41" s="2"/>
      <c r="J41" s="2"/>
      <c r="K41" s="3"/>
      <c r="L41" s="2"/>
      <c r="M41" s="3"/>
      <c r="N41" s="2"/>
      <c r="O41" s="2" t="s">
        <v>671</v>
      </c>
      <c r="P41" s="2" t="s">
        <v>671</v>
      </c>
      <c r="Q41" s="2"/>
      <c r="R41" s="2"/>
      <c r="S41" s="2"/>
      <c r="T41" s="2"/>
      <c r="U41" s="2"/>
      <c r="V41" s="2"/>
      <c r="W41" s="2"/>
      <c r="X41" s="2"/>
      <c r="Y41" s="2"/>
      <c r="AD41" s="1" t="s">
        <v>639</v>
      </c>
      <c r="AE41" s="1" t="s">
        <v>675</v>
      </c>
      <c r="AF41" s="1" t="s">
        <v>804</v>
      </c>
      <c r="AJ41" s="1"/>
      <c r="AK41" s="1"/>
      <c r="AL41" s="1"/>
      <c r="AM41" s="1"/>
      <c r="AN41" s="1"/>
      <c r="AO41" s="1"/>
      <c r="AP41" s="1"/>
      <c r="AQ41" s="1"/>
      <c r="AR41" s="1"/>
      <c r="AS41" s="1"/>
      <c r="AT41" s="1"/>
    </row>
    <row r="42" spans="1:46" x14ac:dyDescent="0.2">
      <c r="E42" s="2" t="s">
        <v>807</v>
      </c>
      <c r="F42" s="2" t="s">
        <v>437</v>
      </c>
      <c r="G42" s="2" t="s">
        <v>438</v>
      </c>
      <c r="H42" s="2"/>
      <c r="I42" s="2"/>
      <c r="J42" s="2"/>
      <c r="K42" s="3"/>
      <c r="L42" s="2"/>
      <c r="M42" s="3"/>
      <c r="N42" s="2"/>
      <c r="O42" s="2" t="s">
        <v>671</v>
      </c>
      <c r="P42" s="2" t="s">
        <v>671</v>
      </c>
      <c r="Q42" s="2"/>
      <c r="R42" s="2"/>
      <c r="S42" s="2"/>
      <c r="T42" s="2"/>
      <c r="U42" s="2"/>
      <c r="V42" s="2"/>
      <c r="W42" s="2"/>
      <c r="X42" s="2"/>
      <c r="Y42" s="2"/>
      <c r="AD42" s="1" t="s">
        <v>633</v>
      </c>
      <c r="AF42" s="1" t="s">
        <v>804</v>
      </c>
      <c r="AJ42" s="1"/>
      <c r="AK42" s="1"/>
      <c r="AL42" s="1"/>
      <c r="AM42" s="1"/>
      <c r="AN42" s="1"/>
      <c r="AO42" s="1"/>
      <c r="AP42" s="1"/>
      <c r="AQ42" s="1"/>
      <c r="AR42" s="1"/>
      <c r="AS42" s="1"/>
      <c r="AT42" s="1"/>
    </row>
    <row r="43" spans="1:46" ht="409.5" x14ac:dyDescent="0.2">
      <c r="A43" s="1" t="s">
        <v>808</v>
      </c>
      <c r="B43" s="1" t="s">
        <v>809</v>
      </c>
      <c r="C43" s="1" t="s">
        <v>135</v>
      </c>
      <c r="D43" s="1" t="s">
        <v>641</v>
      </c>
      <c r="E43" s="2" t="s">
        <v>810</v>
      </c>
      <c r="F43" s="2" t="s">
        <v>111</v>
      </c>
      <c r="G43" s="2" t="s">
        <v>811</v>
      </c>
      <c r="H43" s="2"/>
      <c r="I43" s="2"/>
      <c r="J43" s="2"/>
      <c r="K43" s="3"/>
      <c r="L43" s="2"/>
      <c r="M43" s="3"/>
      <c r="N43" s="2"/>
      <c r="O43" s="2"/>
      <c r="P43" s="2"/>
      <c r="Q43" s="2"/>
      <c r="R43" s="2"/>
      <c r="S43" s="2"/>
      <c r="T43" s="2"/>
      <c r="U43" s="2"/>
      <c r="V43" s="2"/>
      <c r="W43" s="2"/>
      <c r="X43" s="2"/>
      <c r="Y43" s="2"/>
      <c r="Z43" s="1" t="s">
        <v>134</v>
      </c>
      <c r="AA43" s="1" t="s">
        <v>812</v>
      </c>
      <c r="AD43" s="1" t="s">
        <v>639</v>
      </c>
      <c r="AE43" s="1" t="s">
        <v>813</v>
      </c>
      <c r="AF43" s="1" t="s">
        <v>814</v>
      </c>
      <c r="AJ43" s="1"/>
      <c r="AK43" s="1"/>
      <c r="AL43" s="1"/>
      <c r="AM43" s="1"/>
      <c r="AN43" s="1"/>
      <c r="AO43" s="1"/>
      <c r="AP43" s="1"/>
      <c r="AQ43" s="1"/>
      <c r="AR43" s="1"/>
      <c r="AS43" s="1"/>
      <c r="AT43" s="1"/>
    </row>
    <row r="44" spans="1:46" x14ac:dyDescent="0.2">
      <c r="A44" s="1" t="s">
        <v>713</v>
      </c>
      <c r="B44" s="1" t="s">
        <v>815</v>
      </c>
      <c r="E44" s="2" t="s">
        <v>816</v>
      </c>
      <c r="F44" s="2" t="s">
        <v>173</v>
      </c>
      <c r="G44" s="2" t="s">
        <v>377</v>
      </c>
      <c r="H44" s="2"/>
      <c r="I44" s="2"/>
      <c r="J44" s="2"/>
      <c r="K44" s="3"/>
      <c r="L44" s="2"/>
      <c r="M44" s="3"/>
      <c r="N44" s="2"/>
      <c r="O44" s="2"/>
      <c r="P44" s="2" t="s">
        <v>671</v>
      </c>
      <c r="Q44" s="2"/>
      <c r="R44" s="2"/>
      <c r="S44" s="2"/>
      <c r="T44" s="2"/>
      <c r="U44" s="2"/>
      <c r="V44" s="2"/>
      <c r="W44" s="2"/>
      <c r="X44" s="2"/>
      <c r="Y44" s="2"/>
      <c r="AD44" s="1" t="s">
        <v>639</v>
      </c>
      <c r="AE44" s="1" t="s">
        <v>717</v>
      </c>
      <c r="AF44" s="1" t="s">
        <v>817</v>
      </c>
      <c r="AJ44" s="1"/>
      <c r="AK44" s="1"/>
      <c r="AL44" s="1"/>
      <c r="AM44" s="1"/>
      <c r="AN44" s="1"/>
      <c r="AO44" s="1"/>
      <c r="AP44" s="1"/>
      <c r="AQ44" s="1"/>
      <c r="AR44" s="1"/>
      <c r="AS44" s="1"/>
      <c r="AT44" s="1"/>
    </row>
    <row r="45" spans="1:46" ht="57" x14ac:dyDescent="0.2">
      <c r="A45" s="1" t="s">
        <v>713</v>
      </c>
      <c r="B45" s="1" t="s">
        <v>818</v>
      </c>
      <c r="C45" s="1" t="s">
        <v>135</v>
      </c>
      <c r="D45" s="1" t="s">
        <v>740</v>
      </c>
      <c r="E45" s="2" t="s">
        <v>819</v>
      </c>
      <c r="F45" s="2" t="s">
        <v>463</v>
      </c>
      <c r="G45" s="2" t="s">
        <v>820</v>
      </c>
      <c r="H45" s="2"/>
      <c r="I45" s="2"/>
      <c r="J45" s="2"/>
      <c r="K45" s="3"/>
      <c r="L45" s="2"/>
      <c r="M45" s="3"/>
      <c r="N45" s="2"/>
      <c r="O45" s="2"/>
      <c r="P45" s="2" t="s">
        <v>671</v>
      </c>
      <c r="Q45" s="2"/>
      <c r="R45" s="2"/>
      <c r="S45" s="2"/>
      <c r="T45" s="2"/>
      <c r="U45" s="2"/>
      <c r="V45" s="2"/>
      <c r="W45" s="2"/>
      <c r="X45" s="2"/>
      <c r="Y45" s="2"/>
      <c r="Z45" s="1" t="s">
        <v>821</v>
      </c>
      <c r="AA45" s="1" t="s">
        <v>822</v>
      </c>
      <c r="AD45" s="1" t="s">
        <v>639</v>
      </c>
      <c r="AE45" s="1" t="s">
        <v>717</v>
      </c>
      <c r="AF45" s="1" t="s">
        <v>823</v>
      </c>
      <c r="AJ45" s="1"/>
      <c r="AK45" s="1"/>
      <c r="AL45" s="1"/>
      <c r="AM45" s="1"/>
      <c r="AN45" s="1"/>
      <c r="AO45" s="1"/>
      <c r="AP45" s="1"/>
      <c r="AQ45" s="1"/>
      <c r="AR45" s="1"/>
      <c r="AS45" s="1"/>
      <c r="AT45" s="1"/>
    </row>
    <row r="46" spans="1:46" ht="114" x14ac:dyDescent="0.2">
      <c r="B46" s="1" t="s">
        <v>824</v>
      </c>
      <c r="C46" s="1" t="s">
        <v>135</v>
      </c>
      <c r="D46" s="1" t="s">
        <v>740</v>
      </c>
      <c r="E46" s="2" t="s">
        <v>825</v>
      </c>
      <c r="F46" s="2" t="s">
        <v>144</v>
      </c>
      <c r="G46" s="2" t="s">
        <v>826</v>
      </c>
      <c r="H46" s="2"/>
      <c r="I46" s="2"/>
      <c r="J46" s="2"/>
      <c r="K46" s="3"/>
      <c r="L46" s="2"/>
      <c r="M46" s="3"/>
      <c r="N46" s="2"/>
      <c r="O46" s="2" t="s">
        <v>671</v>
      </c>
      <c r="P46" s="2" t="s">
        <v>671</v>
      </c>
      <c r="Q46" s="2"/>
      <c r="R46" s="2"/>
      <c r="S46" s="2"/>
      <c r="T46" s="2"/>
      <c r="U46" s="2"/>
      <c r="V46" s="2"/>
      <c r="W46" s="2"/>
      <c r="X46" s="2"/>
      <c r="Y46" s="2"/>
      <c r="Z46" s="1" t="s">
        <v>145</v>
      </c>
      <c r="AA46" s="1" t="s">
        <v>827</v>
      </c>
      <c r="AD46" s="1" t="s">
        <v>639</v>
      </c>
      <c r="AE46" s="1" t="s">
        <v>647</v>
      </c>
      <c r="AF46" s="1" t="s">
        <v>135</v>
      </c>
      <c r="AJ46" s="1"/>
      <c r="AK46" s="1"/>
      <c r="AL46" s="1"/>
      <c r="AM46" s="1"/>
      <c r="AN46" s="1"/>
      <c r="AO46" s="1"/>
      <c r="AP46" s="1"/>
      <c r="AQ46" s="1"/>
      <c r="AR46" s="1"/>
      <c r="AS46" s="1"/>
      <c r="AT46" s="1"/>
    </row>
    <row r="47" spans="1:46" ht="114" x14ac:dyDescent="0.2">
      <c r="B47" s="1" t="s">
        <v>828</v>
      </c>
      <c r="C47" s="1" t="s">
        <v>135</v>
      </c>
      <c r="D47" s="1" t="s">
        <v>740</v>
      </c>
      <c r="E47" s="2" t="s">
        <v>829</v>
      </c>
      <c r="F47" s="2" t="s">
        <v>179</v>
      </c>
      <c r="G47" s="2" t="s">
        <v>506</v>
      </c>
      <c r="H47" s="2"/>
      <c r="I47" s="2"/>
      <c r="J47" s="2"/>
      <c r="K47" s="3"/>
      <c r="L47" s="2"/>
      <c r="M47" s="3"/>
      <c r="N47" s="2"/>
      <c r="O47" s="2" t="s">
        <v>671</v>
      </c>
      <c r="P47" s="2" t="s">
        <v>671</v>
      </c>
      <c r="Q47" s="2"/>
      <c r="R47" s="2"/>
      <c r="S47" s="2"/>
      <c r="T47" s="2"/>
      <c r="U47" s="2"/>
      <c r="V47" s="2"/>
      <c r="W47" s="2"/>
      <c r="X47" s="2"/>
      <c r="Y47" s="2"/>
      <c r="Z47" s="1" t="s">
        <v>145</v>
      </c>
      <c r="AA47" s="1" t="s">
        <v>827</v>
      </c>
      <c r="AD47" s="1" t="s">
        <v>639</v>
      </c>
      <c r="AE47" s="1" t="s">
        <v>675</v>
      </c>
      <c r="AF47" s="1" t="s">
        <v>135</v>
      </c>
      <c r="AJ47" s="1"/>
      <c r="AK47" s="1"/>
      <c r="AL47" s="1"/>
      <c r="AM47" s="1"/>
      <c r="AN47" s="1"/>
      <c r="AO47" s="1"/>
      <c r="AP47" s="1"/>
      <c r="AQ47" s="1"/>
      <c r="AR47" s="1"/>
      <c r="AS47" s="1"/>
      <c r="AT47" s="1"/>
    </row>
    <row r="48" spans="1:46" x14ac:dyDescent="0.2">
      <c r="E48" s="2" t="s">
        <v>830</v>
      </c>
      <c r="F48" s="2" t="s">
        <v>495</v>
      </c>
      <c r="G48" s="2" t="s">
        <v>831</v>
      </c>
      <c r="H48" s="2"/>
      <c r="I48" s="2"/>
      <c r="J48" s="2"/>
      <c r="K48" s="3"/>
      <c r="L48" s="2"/>
      <c r="M48" s="3"/>
      <c r="N48" s="2"/>
      <c r="O48" s="2"/>
      <c r="P48" s="2"/>
      <c r="Q48" s="2"/>
      <c r="R48" s="2"/>
      <c r="S48" s="2"/>
      <c r="T48" s="2"/>
      <c r="U48" s="2"/>
      <c r="V48" s="2"/>
      <c r="W48" s="2"/>
      <c r="X48" s="2"/>
      <c r="Y48" s="2"/>
      <c r="AD48" s="1" t="s">
        <v>639</v>
      </c>
      <c r="AF48" s="1" t="s">
        <v>832</v>
      </c>
      <c r="AJ48" s="1"/>
      <c r="AK48" s="1"/>
      <c r="AL48" s="1"/>
      <c r="AM48" s="1"/>
      <c r="AN48" s="1"/>
      <c r="AO48" s="1"/>
      <c r="AP48" s="1"/>
      <c r="AQ48" s="1"/>
      <c r="AR48" s="1"/>
      <c r="AS48" s="1"/>
      <c r="AT48" s="1"/>
    </row>
    <row r="49" spans="1:46" x14ac:dyDescent="0.2">
      <c r="E49" s="2" t="s">
        <v>833</v>
      </c>
      <c r="F49" s="2" t="s">
        <v>303</v>
      </c>
      <c r="G49" s="2" t="s">
        <v>834</v>
      </c>
      <c r="H49" s="2"/>
      <c r="I49" s="2"/>
      <c r="J49" s="2"/>
      <c r="K49" s="3"/>
      <c r="L49" s="2"/>
      <c r="M49" s="3"/>
      <c r="N49" s="2"/>
      <c r="O49" s="2" t="s">
        <v>671</v>
      </c>
      <c r="P49" s="2" t="s">
        <v>671</v>
      </c>
      <c r="Q49" s="2"/>
      <c r="R49" s="2"/>
      <c r="S49" s="2"/>
      <c r="T49" s="2"/>
      <c r="U49" s="2"/>
      <c r="V49" s="2"/>
      <c r="W49" s="2"/>
      <c r="X49" s="2"/>
      <c r="Y49" s="2"/>
      <c r="AD49" s="1" t="s">
        <v>633</v>
      </c>
      <c r="AF49" s="1" t="s">
        <v>832</v>
      </c>
      <c r="AJ49" s="1"/>
      <c r="AK49" s="1"/>
      <c r="AL49" s="1"/>
      <c r="AM49" s="1"/>
      <c r="AN49" s="1"/>
      <c r="AO49" s="1"/>
      <c r="AP49" s="1"/>
      <c r="AQ49" s="1"/>
      <c r="AR49" s="1"/>
      <c r="AS49" s="1"/>
      <c r="AT49" s="1"/>
    </row>
    <row r="50" spans="1:46" ht="57" x14ac:dyDescent="0.2">
      <c r="A50" s="1" t="s">
        <v>713</v>
      </c>
      <c r="B50" s="1" t="s">
        <v>835</v>
      </c>
      <c r="E50" s="2" t="s">
        <v>836</v>
      </c>
      <c r="F50" s="2" t="s">
        <v>497</v>
      </c>
      <c r="G50" s="2" t="s">
        <v>837</v>
      </c>
      <c r="H50" s="2"/>
      <c r="I50" s="2"/>
      <c r="J50" s="2"/>
      <c r="K50" s="3"/>
      <c r="L50" s="2"/>
      <c r="M50" s="3"/>
      <c r="N50" s="2"/>
      <c r="O50" s="2"/>
      <c r="P50" s="2" t="s">
        <v>671</v>
      </c>
      <c r="Q50" s="2"/>
      <c r="R50" s="2"/>
      <c r="S50" s="2"/>
      <c r="T50" s="2"/>
      <c r="U50" s="2"/>
      <c r="V50" s="2"/>
      <c r="W50" s="2"/>
      <c r="X50" s="2"/>
      <c r="Y50" s="2"/>
      <c r="AD50" s="1" t="s">
        <v>639</v>
      </c>
      <c r="AE50" s="1" t="s">
        <v>717</v>
      </c>
      <c r="AF50" s="1" t="s">
        <v>838</v>
      </c>
      <c r="AJ50" s="1"/>
      <c r="AK50" s="1"/>
      <c r="AL50" s="1"/>
      <c r="AM50" s="1"/>
      <c r="AN50" s="1"/>
      <c r="AO50" s="1"/>
      <c r="AP50" s="1"/>
      <c r="AQ50" s="1"/>
      <c r="AR50" s="1"/>
      <c r="AS50" s="1"/>
      <c r="AT50" s="1"/>
    </row>
    <row r="51" spans="1:46" ht="142.5" x14ac:dyDescent="0.2">
      <c r="B51" s="1" t="s">
        <v>839</v>
      </c>
      <c r="E51" s="2" t="s">
        <v>840</v>
      </c>
      <c r="F51" s="2" t="s">
        <v>310</v>
      </c>
      <c r="G51" s="2" t="s">
        <v>311</v>
      </c>
      <c r="H51" s="2"/>
      <c r="I51" s="2"/>
      <c r="J51" s="2"/>
      <c r="K51" s="3"/>
      <c r="L51" s="2"/>
      <c r="M51" s="3"/>
      <c r="N51" s="2"/>
      <c r="O51" s="2"/>
      <c r="P51" s="2"/>
      <c r="Q51" s="2"/>
      <c r="R51" s="2"/>
      <c r="S51" s="2"/>
      <c r="T51" s="2"/>
      <c r="U51" s="2"/>
      <c r="V51" s="2"/>
      <c r="W51" s="2"/>
      <c r="X51" s="2"/>
      <c r="Y51" s="2"/>
      <c r="AD51" s="1" t="s">
        <v>639</v>
      </c>
      <c r="AE51" s="1" t="s">
        <v>647</v>
      </c>
      <c r="AF51" s="1" t="s">
        <v>841</v>
      </c>
      <c r="AJ51" s="1"/>
      <c r="AK51" s="1"/>
      <c r="AL51" s="1"/>
      <c r="AM51" s="1"/>
      <c r="AN51" s="1"/>
      <c r="AO51" s="1"/>
      <c r="AP51" s="1"/>
      <c r="AQ51" s="1"/>
      <c r="AR51" s="1"/>
      <c r="AS51" s="1"/>
      <c r="AT51" s="1"/>
    </row>
    <row r="52" spans="1:46" ht="142.5" x14ac:dyDescent="0.2">
      <c r="B52" s="1" t="s">
        <v>842</v>
      </c>
      <c r="E52" s="2" t="s">
        <v>843</v>
      </c>
      <c r="F52" s="2" t="s">
        <v>508</v>
      </c>
      <c r="G52" s="2" t="s">
        <v>509</v>
      </c>
      <c r="H52" s="2"/>
      <c r="I52" s="2"/>
      <c r="J52" s="2"/>
      <c r="K52" s="3"/>
      <c r="L52" s="2"/>
      <c r="M52" s="3"/>
      <c r="N52" s="2"/>
      <c r="O52" s="2"/>
      <c r="P52" s="2"/>
      <c r="Q52" s="2"/>
      <c r="R52" s="2"/>
      <c r="S52" s="2"/>
      <c r="T52" s="2"/>
      <c r="U52" s="2"/>
      <c r="V52" s="2"/>
      <c r="W52" s="2"/>
      <c r="X52" s="2"/>
      <c r="Y52" s="2"/>
      <c r="AD52" s="1" t="s">
        <v>639</v>
      </c>
      <c r="AE52" s="1" t="s">
        <v>675</v>
      </c>
      <c r="AF52" s="1" t="s">
        <v>841</v>
      </c>
      <c r="AJ52" s="1"/>
      <c r="AK52" s="1"/>
      <c r="AL52" s="1"/>
      <c r="AM52" s="1"/>
      <c r="AN52" s="1"/>
      <c r="AO52" s="1"/>
      <c r="AP52" s="1"/>
      <c r="AQ52" s="1"/>
      <c r="AR52" s="1"/>
      <c r="AS52" s="1"/>
      <c r="AT52" s="1"/>
    </row>
    <row r="53" spans="1:46" x14ac:dyDescent="0.2">
      <c r="E53" s="2" t="s">
        <v>844</v>
      </c>
      <c r="F53" s="2" t="s">
        <v>493</v>
      </c>
      <c r="G53" s="2" t="s">
        <v>845</v>
      </c>
      <c r="H53" s="2"/>
      <c r="I53" s="2"/>
      <c r="J53" s="2"/>
      <c r="K53" s="3"/>
      <c r="L53" s="2"/>
      <c r="M53" s="3"/>
      <c r="N53" s="2"/>
      <c r="O53" s="2"/>
      <c r="P53" s="2"/>
      <c r="Q53" s="2"/>
      <c r="R53" s="2"/>
      <c r="S53" s="2"/>
      <c r="T53" s="2"/>
      <c r="U53" s="2"/>
      <c r="V53" s="2"/>
      <c r="W53" s="2"/>
      <c r="X53" s="2"/>
      <c r="Y53" s="2"/>
      <c r="AD53" s="1" t="s">
        <v>633</v>
      </c>
      <c r="AF53" s="1" t="s">
        <v>846</v>
      </c>
      <c r="AJ53" s="1"/>
      <c r="AK53" s="1"/>
      <c r="AL53" s="1"/>
      <c r="AM53" s="1"/>
      <c r="AN53" s="1"/>
      <c r="AO53" s="1"/>
      <c r="AP53" s="1"/>
      <c r="AQ53" s="1"/>
      <c r="AR53" s="1"/>
      <c r="AS53" s="1"/>
      <c r="AT53" s="1"/>
    </row>
    <row r="54" spans="1:46" x14ac:dyDescent="0.2">
      <c r="E54" s="2" t="s">
        <v>847</v>
      </c>
      <c r="F54" s="2" t="s">
        <v>355</v>
      </c>
      <c r="G54" s="2" t="s">
        <v>848</v>
      </c>
      <c r="H54" s="2"/>
      <c r="I54" s="2"/>
      <c r="J54" s="2"/>
      <c r="K54" s="3"/>
      <c r="L54" s="2"/>
      <c r="M54" s="3"/>
      <c r="N54" s="2"/>
      <c r="O54" s="2"/>
      <c r="P54" s="2"/>
      <c r="Q54" s="2"/>
      <c r="R54" s="2"/>
      <c r="S54" s="2"/>
      <c r="T54" s="2"/>
      <c r="U54" s="2"/>
      <c r="V54" s="2"/>
      <c r="W54" s="2"/>
      <c r="X54" s="2"/>
      <c r="Y54" s="2"/>
      <c r="AD54" s="1" t="s">
        <v>633</v>
      </c>
      <c r="AF54" s="1" t="s">
        <v>846</v>
      </c>
      <c r="AJ54" s="1"/>
      <c r="AK54" s="1"/>
      <c r="AL54" s="1"/>
      <c r="AM54" s="1"/>
      <c r="AN54" s="1"/>
      <c r="AO54" s="1"/>
      <c r="AP54" s="1"/>
      <c r="AQ54" s="1"/>
      <c r="AR54" s="1"/>
      <c r="AS54" s="1"/>
      <c r="AT54" s="1"/>
    </row>
    <row r="55" spans="1:46" x14ac:dyDescent="0.2">
      <c r="E55" s="2" t="s">
        <v>849</v>
      </c>
      <c r="F55" s="2" t="s">
        <v>351</v>
      </c>
      <c r="G55" s="2" t="s">
        <v>850</v>
      </c>
      <c r="H55" s="2"/>
      <c r="I55" s="2"/>
      <c r="J55" s="2"/>
      <c r="K55" s="3"/>
      <c r="L55" s="2"/>
      <c r="M55" s="3"/>
      <c r="N55" s="2"/>
      <c r="O55" s="2"/>
      <c r="P55" s="2"/>
      <c r="Q55" s="2"/>
      <c r="R55" s="2"/>
      <c r="S55" s="2"/>
      <c r="T55" s="2"/>
      <c r="U55" s="2"/>
      <c r="V55" s="2"/>
      <c r="W55" s="2"/>
      <c r="X55" s="2"/>
      <c r="Y55" s="2"/>
      <c r="AD55" s="1" t="s">
        <v>633</v>
      </c>
      <c r="AF55" s="1" t="s">
        <v>846</v>
      </c>
      <c r="AJ55" s="1"/>
      <c r="AK55" s="1"/>
      <c r="AL55" s="1"/>
      <c r="AM55" s="1"/>
      <c r="AN55" s="1"/>
      <c r="AO55" s="1"/>
      <c r="AP55" s="1"/>
      <c r="AQ55" s="1"/>
      <c r="AR55" s="1"/>
      <c r="AS55" s="1"/>
      <c r="AT55" s="1"/>
    </row>
    <row r="56" spans="1:46" ht="57" x14ac:dyDescent="0.2">
      <c r="B56" s="1" t="s">
        <v>851</v>
      </c>
      <c r="C56" s="2" t="s">
        <v>135</v>
      </c>
      <c r="D56" s="1" t="s">
        <v>740</v>
      </c>
      <c r="E56" s="2" t="s">
        <v>852</v>
      </c>
      <c r="F56" s="2" t="s">
        <v>148</v>
      </c>
      <c r="G56" s="2" t="s">
        <v>307</v>
      </c>
      <c r="H56" s="2" t="s">
        <v>853</v>
      </c>
      <c r="I56" s="2" t="s">
        <v>697</v>
      </c>
      <c r="J56" s="2" t="s">
        <v>149</v>
      </c>
      <c r="K56" s="3">
        <v>44271</v>
      </c>
      <c r="L56" s="2"/>
      <c r="M56" s="3"/>
      <c r="N56" s="2"/>
      <c r="O56" s="2" t="s">
        <v>671</v>
      </c>
      <c r="P56" s="2"/>
      <c r="Q56" s="2"/>
      <c r="R56" s="2"/>
      <c r="S56" s="2"/>
      <c r="T56" s="2"/>
      <c r="U56" s="2"/>
      <c r="V56" s="2"/>
      <c r="W56" s="2"/>
      <c r="X56" s="2"/>
      <c r="Y56" s="2"/>
      <c r="Z56" s="1" t="s">
        <v>149</v>
      </c>
      <c r="AA56" s="1" t="s">
        <v>854</v>
      </c>
      <c r="AD56" s="1" t="s">
        <v>639</v>
      </c>
      <c r="AE56" s="1" t="s">
        <v>647</v>
      </c>
      <c r="AF56" s="1" t="s">
        <v>855</v>
      </c>
      <c r="AJ56" s="1"/>
      <c r="AK56" s="1"/>
      <c r="AL56" s="1"/>
      <c r="AM56" s="1"/>
      <c r="AN56" s="1"/>
      <c r="AO56" s="1"/>
      <c r="AP56" s="1"/>
      <c r="AQ56" s="1"/>
      <c r="AR56" s="1"/>
      <c r="AS56" s="1"/>
      <c r="AT56" s="1"/>
    </row>
    <row r="57" spans="1:46" ht="57" x14ac:dyDescent="0.2">
      <c r="B57" s="1" t="s">
        <v>851</v>
      </c>
      <c r="C57" s="2" t="s">
        <v>135</v>
      </c>
      <c r="D57" s="1" t="s">
        <v>740</v>
      </c>
      <c r="E57" s="2" t="s">
        <v>856</v>
      </c>
      <c r="F57" s="2" t="s">
        <v>180</v>
      </c>
      <c r="G57" s="2" t="s">
        <v>507</v>
      </c>
      <c r="H57" s="2" t="s">
        <v>853</v>
      </c>
      <c r="I57" s="2" t="s">
        <v>697</v>
      </c>
      <c r="J57" s="2" t="s">
        <v>149</v>
      </c>
      <c r="K57" s="3">
        <v>44271</v>
      </c>
      <c r="L57" s="2"/>
      <c r="M57" s="3"/>
      <c r="N57" s="2"/>
      <c r="O57" s="2" t="s">
        <v>671</v>
      </c>
      <c r="P57" s="2"/>
      <c r="Q57" s="2"/>
      <c r="R57" s="2"/>
      <c r="S57" s="2"/>
      <c r="T57" s="2"/>
      <c r="U57" s="2"/>
      <c r="V57" s="2"/>
      <c r="W57" s="2"/>
      <c r="X57" s="2"/>
      <c r="Y57" s="2"/>
      <c r="Z57" s="1" t="s">
        <v>149</v>
      </c>
      <c r="AA57" s="1" t="s">
        <v>854</v>
      </c>
      <c r="AD57" s="1" t="s">
        <v>639</v>
      </c>
      <c r="AE57" s="1" t="s">
        <v>675</v>
      </c>
      <c r="AF57" s="1" t="s">
        <v>857</v>
      </c>
      <c r="AJ57" s="1"/>
      <c r="AK57" s="1"/>
      <c r="AL57" s="1"/>
      <c r="AM57" s="1"/>
      <c r="AN57" s="1"/>
      <c r="AO57" s="1"/>
      <c r="AP57" s="1"/>
      <c r="AQ57" s="1"/>
      <c r="AR57" s="1"/>
      <c r="AS57" s="1"/>
      <c r="AT57" s="1"/>
    </row>
    <row r="58" spans="1:46" x14ac:dyDescent="0.2">
      <c r="E58" s="2" t="s">
        <v>858</v>
      </c>
      <c r="F58" s="2" t="s">
        <v>353</v>
      </c>
      <c r="G58" s="2" t="s">
        <v>859</v>
      </c>
      <c r="H58" s="2"/>
      <c r="I58" s="2"/>
      <c r="J58" s="2"/>
      <c r="K58" s="3"/>
      <c r="L58" s="2"/>
      <c r="M58" s="3"/>
      <c r="N58" s="2"/>
      <c r="O58" s="2"/>
      <c r="P58" s="2"/>
      <c r="Q58" s="2"/>
      <c r="R58" s="2"/>
      <c r="S58" s="2"/>
      <c r="T58" s="2"/>
      <c r="U58" s="2"/>
      <c r="V58" s="2"/>
      <c r="W58" s="2"/>
      <c r="X58" s="2"/>
      <c r="Y58" s="2"/>
      <c r="AD58" s="1" t="s">
        <v>633</v>
      </c>
      <c r="AF58" s="1" t="s">
        <v>860</v>
      </c>
      <c r="AJ58" s="1"/>
      <c r="AK58" s="1"/>
      <c r="AL58" s="1"/>
      <c r="AM58" s="1"/>
      <c r="AN58" s="1"/>
      <c r="AO58" s="1"/>
      <c r="AP58" s="1"/>
      <c r="AQ58" s="1"/>
      <c r="AR58" s="1"/>
      <c r="AS58" s="1"/>
      <c r="AT58" s="1"/>
    </row>
    <row r="59" spans="1:46" x14ac:dyDescent="0.2">
      <c r="E59" s="2" t="s">
        <v>861</v>
      </c>
      <c r="F59" s="2" t="s">
        <v>328</v>
      </c>
      <c r="G59" s="2" t="s">
        <v>862</v>
      </c>
      <c r="H59" s="2"/>
      <c r="I59" s="2"/>
      <c r="J59" s="2"/>
      <c r="K59" s="3"/>
      <c r="L59" s="2"/>
      <c r="M59" s="3"/>
      <c r="N59" s="2"/>
      <c r="O59" s="2" t="s">
        <v>671</v>
      </c>
      <c r="P59" s="2"/>
      <c r="Q59" s="2"/>
      <c r="R59" s="2"/>
      <c r="S59" s="2"/>
      <c r="T59" s="2"/>
      <c r="U59" s="2"/>
      <c r="V59" s="2"/>
      <c r="W59" s="2"/>
      <c r="X59" s="2"/>
      <c r="Y59" s="2"/>
      <c r="AD59" s="1" t="s">
        <v>633</v>
      </c>
      <c r="AF59" s="1" t="s">
        <v>860</v>
      </c>
      <c r="AJ59" s="1"/>
      <c r="AK59" s="1"/>
      <c r="AL59" s="1"/>
      <c r="AM59" s="1"/>
      <c r="AN59" s="1"/>
      <c r="AO59" s="1"/>
      <c r="AP59" s="1"/>
      <c r="AQ59" s="1"/>
      <c r="AR59" s="1"/>
      <c r="AS59" s="1"/>
      <c r="AT59" s="1"/>
    </row>
    <row r="60" spans="1:46" ht="42.75" x14ac:dyDescent="0.2">
      <c r="E60" s="2" t="s">
        <v>863</v>
      </c>
      <c r="F60" s="2" t="s">
        <v>384</v>
      </c>
      <c r="G60" s="2" t="s">
        <v>864</v>
      </c>
      <c r="H60" s="2"/>
      <c r="I60" s="2"/>
      <c r="J60" s="2"/>
      <c r="K60" s="3"/>
      <c r="L60" s="2"/>
      <c r="M60" s="3"/>
      <c r="N60" s="2"/>
      <c r="O60" s="2"/>
      <c r="P60" s="2" t="s">
        <v>671</v>
      </c>
      <c r="Q60" s="2"/>
      <c r="R60" s="2"/>
      <c r="S60" s="2"/>
      <c r="T60" s="2"/>
      <c r="U60" s="2"/>
      <c r="V60" s="2"/>
      <c r="W60" s="2"/>
      <c r="X60" s="2"/>
      <c r="Y60" s="2"/>
      <c r="AD60" s="1" t="s">
        <v>633</v>
      </c>
      <c r="AF60" s="1" t="s">
        <v>865</v>
      </c>
      <c r="AJ60" s="1"/>
      <c r="AK60" s="1"/>
      <c r="AL60" s="1"/>
      <c r="AM60" s="1"/>
      <c r="AN60" s="1"/>
      <c r="AO60" s="1"/>
      <c r="AP60" s="1"/>
      <c r="AQ60" s="1"/>
      <c r="AR60" s="1"/>
      <c r="AS60" s="1"/>
      <c r="AT60" s="1"/>
    </row>
    <row r="61" spans="1:46" ht="409.5" x14ac:dyDescent="0.2">
      <c r="A61" s="1" t="s">
        <v>866</v>
      </c>
      <c r="B61" s="1" t="s">
        <v>867</v>
      </c>
      <c r="C61" s="1" t="s">
        <v>135</v>
      </c>
      <c r="D61" s="1" t="s">
        <v>641</v>
      </c>
      <c r="E61" s="2" t="s">
        <v>868</v>
      </c>
      <c r="F61" s="2" t="s">
        <v>123</v>
      </c>
      <c r="G61" s="2" t="s">
        <v>869</v>
      </c>
      <c r="H61" s="2"/>
      <c r="I61" s="2"/>
      <c r="J61" s="2"/>
      <c r="K61" s="3"/>
      <c r="L61" s="2"/>
      <c r="M61" s="3"/>
      <c r="N61" s="2"/>
      <c r="O61" s="2"/>
      <c r="P61" s="2"/>
      <c r="Q61" s="2"/>
      <c r="R61" s="2"/>
      <c r="S61" s="2"/>
      <c r="T61" s="2"/>
      <c r="U61" s="2"/>
      <c r="V61" s="2"/>
      <c r="W61" s="2"/>
      <c r="X61" s="2"/>
      <c r="Y61" s="2"/>
      <c r="Z61" s="1" t="s">
        <v>134</v>
      </c>
      <c r="AA61" s="1" t="s">
        <v>812</v>
      </c>
      <c r="AD61" s="1" t="s">
        <v>639</v>
      </c>
      <c r="AE61" s="1" t="s">
        <v>870</v>
      </c>
      <c r="AF61" s="1" t="s">
        <v>871</v>
      </c>
      <c r="AJ61" s="1"/>
      <c r="AK61" s="1"/>
      <c r="AL61" s="1"/>
      <c r="AM61" s="1"/>
      <c r="AN61" s="1"/>
      <c r="AO61" s="1"/>
      <c r="AP61" s="1"/>
      <c r="AQ61" s="1"/>
      <c r="AR61" s="1"/>
      <c r="AS61" s="1"/>
      <c r="AT61" s="1"/>
    </row>
    <row r="62" spans="1:46" ht="57" x14ac:dyDescent="0.2">
      <c r="A62" s="1" t="s">
        <v>872</v>
      </c>
      <c r="B62" s="1" t="s">
        <v>873</v>
      </c>
      <c r="C62" s="1" t="s">
        <v>135</v>
      </c>
      <c r="D62" s="1" t="s">
        <v>641</v>
      </c>
      <c r="E62" s="2" t="s">
        <v>874</v>
      </c>
      <c r="F62" s="2" t="s">
        <v>461</v>
      </c>
      <c r="G62" s="2" t="s">
        <v>462</v>
      </c>
      <c r="H62" s="2"/>
      <c r="I62" s="2"/>
      <c r="J62" s="2"/>
      <c r="K62" s="3"/>
      <c r="L62" s="2"/>
      <c r="M62" s="3"/>
      <c r="N62" s="2"/>
      <c r="O62" s="2"/>
      <c r="P62" s="2"/>
      <c r="Q62" s="2"/>
      <c r="R62" s="2"/>
      <c r="S62" s="2"/>
      <c r="T62" s="2"/>
      <c r="U62" s="2"/>
      <c r="V62" s="2"/>
      <c r="W62" s="2"/>
      <c r="X62" s="2"/>
      <c r="Y62" s="2"/>
      <c r="Z62" s="1" t="s">
        <v>875</v>
      </c>
      <c r="AA62" s="1" t="s">
        <v>876</v>
      </c>
      <c r="AD62" s="1" t="s">
        <v>639</v>
      </c>
      <c r="AE62" s="1" t="s">
        <v>877</v>
      </c>
      <c r="AF62" s="1" t="s">
        <v>878</v>
      </c>
      <c r="AJ62" s="1"/>
      <c r="AK62" s="1"/>
      <c r="AL62" s="1"/>
      <c r="AM62" s="1"/>
      <c r="AN62" s="1"/>
      <c r="AO62" s="1"/>
      <c r="AP62" s="1"/>
      <c r="AQ62" s="1"/>
      <c r="AR62" s="1"/>
      <c r="AS62" s="1"/>
      <c r="AT62" s="1"/>
    </row>
    <row r="63" spans="1:46" x14ac:dyDescent="0.2">
      <c r="E63" s="2" t="s">
        <v>879</v>
      </c>
      <c r="F63" s="2" t="s">
        <v>880</v>
      </c>
      <c r="G63" s="2" t="s">
        <v>881</v>
      </c>
      <c r="H63" s="2"/>
      <c r="I63" s="2"/>
      <c r="J63" s="2"/>
      <c r="K63" s="3"/>
      <c r="L63" s="2"/>
      <c r="M63" s="3"/>
      <c r="N63" s="2"/>
      <c r="O63" s="2"/>
      <c r="P63" s="2"/>
      <c r="Q63" s="2"/>
      <c r="R63" s="2"/>
      <c r="S63" s="2"/>
      <c r="T63" s="2"/>
      <c r="U63" s="2"/>
      <c r="V63" s="2"/>
      <c r="W63" s="2"/>
      <c r="X63" s="2"/>
      <c r="Y63" s="2"/>
      <c r="AD63" s="1" t="s">
        <v>639</v>
      </c>
      <c r="AF63" s="1" t="s">
        <v>882</v>
      </c>
      <c r="AJ63" s="1"/>
      <c r="AK63" s="1"/>
      <c r="AL63" s="1"/>
      <c r="AM63" s="1"/>
      <c r="AN63" s="1"/>
      <c r="AO63" s="1"/>
      <c r="AP63" s="1"/>
      <c r="AQ63" s="1"/>
      <c r="AR63" s="1"/>
      <c r="AS63" s="1"/>
      <c r="AT63" s="1"/>
    </row>
    <row r="64" spans="1:46" ht="28.5" x14ac:dyDescent="0.2">
      <c r="A64" s="1" t="s">
        <v>713</v>
      </c>
      <c r="B64" s="1" t="s">
        <v>883</v>
      </c>
      <c r="E64" s="2" t="s">
        <v>884</v>
      </c>
      <c r="F64" s="2" t="s">
        <v>467</v>
      </c>
      <c r="G64" s="2" t="s">
        <v>468</v>
      </c>
      <c r="H64" s="2"/>
      <c r="I64" s="2"/>
      <c r="J64" s="2"/>
      <c r="K64" s="3"/>
      <c r="L64" s="2"/>
      <c r="M64" s="3"/>
      <c r="N64" s="2"/>
      <c r="O64" s="2"/>
      <c r="P64" s="2"/>
      <c r="Q64" s="2"/>
      <c r="R64" s="2"/>
      <c r="S64" s="2"/>
      <c r="T64" s="2"/>
      <c r="U64" s="2"/>
      <c r="V64" s="2"/>
      <c r="W64" s="2"/>
      <c r="X64" s="2"/>
      <c r="Y64" s="2"/>
      <c r="AD64" s="1" t="s">
        <v>639</v>
      </c>
      <c r="AE64" s="1" t="s">
        <v>717</v>
      </c>
      <c r="AF64" s="1" t="s">
        <v>885</v>
      </c>
      <c r="AJ64" s="1"/>
      <c r="AK64" s="1"/>
      <c r="AL64" s="1"/>
      <c r="AM64" s="1"/>
      <c r="AN64" s="1"/>
      <c r="AO64" s="1"/>
      <c r="AP64" s="1"/>
      <c r="AQ64" s="1"/>
      <c r="AR64" s="1"/>
      <c r="AS64" s="1"/>
      <c r="AT64" s="1"/>
    </row>
    <row r="65" spans="1:46" ht="85.5" x14ac:dyDescent="0.2">
      <c r="A65" s="29" t="s">
        <v>713</v>
      </c>
      <c r="B65" s="1" t="s">
        <v>886</v>
      </c>
      <c r="C65" s="1" t="s">
        <v>135</v>
      </c>
      <c r="D65" s="1" t="s">
        <v>887</v>
      </c>
      <c r="E65" s="2" t="s">
        <v>888</v>
      </c>
      <c r="F65" s="2" t="s">
        <v>537</v>
      </c>
      <c r="G65" s="2" t="s">
        <v>889</v>
      </c>
      <c r="H65" s="2"/>
      <c r="I65" s="2"/>
      <c r="J65" s="2"/>
      <c r="K65" s="3"/>
      <c r="L65" s="2"/>
      <c r="M65" s="3"/>
      <c r="N65" s="2"/>
      <c r="O65" s="2"/>
      <c r="P65" s="2"/>
      <c r="Q65" s="2"/>
      <c r="R65" s="2"/>
      <c r="S65" s="2"/>
      <c r="T65" s="2"/>
      <c r="U65" s="2"/>
      <c r="V65" s="2"/>
      <c r="W65" s="2"/>
      <c r="X65" s="2"/>
      <c r="Y65" s="2"/>
      <c r="Z65" s="1" t="s">
        <v>890</v>
      </c>
      <c r="AA65" s="1" t="s">
        <v>891</v>
      </c>
      <c r="AC65" s="29" t="s">
        <v>892</v>
      </c>
      <c r="AD65" s="1" t="s">
        <v>639</v>
      </c>
      <c r="AE65" s="1" t="s">
        <v>717</v>
      </c>
      <c r="AF65" s="1" t="s">
        <v>893</v>
      </c>
      <c r="AJ65" s="1"/>
      <c r="AK65" s="1"/>
      <c r="AL65" s="1"/>
      <c r="AM65" s="1"/>
      <c r="AN65" s="1"/>
      <c r="AO65" s="1"/>
      <c r="AP65" s="1"/>
      <c r="AQ65" s="1"/>
      <c r="AR65" s="1"/>
      <c r="AS65" s="1"/>
      <c r="AT65" s="1"/>
    </row>
    <row r="66" spans="1:46" ht="128.25" x14ac:dyDescent="0.2">
      <c r="A66" s="1" t="s">
        <v>894</v>
      </c>
      <c r="B66" s="1" t="s">
        <v>895</v>
      </c>
      <c r="C66" s="1" t="s">
        <v>135</v>
      </c>
      <c r="D66" s="1" t="s">
        <v>896</v>
      </c>
      <c r="E66" s="2" t="s">
        <v>897</v>
      </c>
      <c r="F66" s="2" t="s">
        <v>898</v>
      </c>
      <c r="G66" s="2" t="s">
        <v>899</v>
      </c>
      <c r="H66" s="2"/>
      <c r="I66" s="2"/>
      <c r="J66" s="2"/>
      <c r="K66" s="3"/>
      <c r="L66" s="2"/>
      <c r="M66" s="3"/>
      <c r="N66" s="2"/>
      <c r="O66" s="2"/>
      <c r="P66" s="2"/>
      <c r="Q66" s="2"/>
      <c r="R66" s="2"/>
      <c r="S66" s="2"/>
      <c r="T66" s="2"/>
      <c r="U66" s="2"/>
      <c r="V66" s="2"/>
      <c r="W66" s="2"/>
      <c r="X66" s="2"/>
      <c r="Y66" s="2"/>
      <c r="Z66" s="1" t="s">
        <v>900</v>
      </c>
      <c r="AA66" s="1" t="s">
        <v>901</v>
      </c>
      <c r="AD66" s="1" t="s">
        <v>639</v>
      </c>
      <c r="AJ66" s="1"/>
      <c r="AK66" s="1"/>
      <c r="AL66" s="1"/>
      <c r="AM66" s="1"/>
      <c r="AN66" s="1"/>
      <c r="AO66" s="1"/>
      <c r="AP66" s="1"/>
      <c r="AQ66" s="1"/>
      <c r="AR66" s="1"/>
      <c r="AS66" s="1"/>
      <c r="AT66" s="1"/>
    </row>
    <row r="67" spans="1:46" ht="42.75" x14ac:dyDescent="0.2">
      <c r="A67" s="1" t="s">
        <v>713</v>
      </c>
      <c r="B67" s="29" t="s">
        <v>902</v>
      </c>
      <c r="C67" s="1" t="s">
        <v>135</v>
      </c>
      <c r="D67" s="1" t="s">
        <v>896</v>
      </c>
      <c r="E67" s="2" t="s">
        <v>903</v>
      </c>
      <c r="F67" s="2" t="s">
        <v>904</v>
      </c>
      <c r="G67" s="2" t="s">
        <v>905</v>
      </c>
      <c r="H67" s="2"/>
      <c r="I67" s="2"/>
      <c r="J67" s="2"/>
      <c r="K67" s="3"/>
      <c r="L67" s="2"/>
      <c r="M67" s="3"/>
      <c r="N67" s="2"/>
      <c r="O67" s="2"/>
      <c r="P67" s="2"/>
      <c r="Q67" s="2"/>
      <c r="R67" s="2"/>
      <c r="S67" s="2"/>
      <c r="T67" s="2"/>
      <c r="U67" s="2"/>
      <c r="V67" s="2"/>
      <c r="W67" s="2"/>
      <c r="X67" s="2"/>
      <c r="Y67" s="2"/>
      <c r="AC67" s="29" t="s">
        <v>906</v>
      </c>
      <c r="AD67" s="1" t="s">
        <v>639</v>
      </c>
      <c r="AJ67" s="1"/>
      <c r="AK67" s="1"/>
      <c r="AL67" s="1"/>
      <c r="AM67" s="1"/>
      <c r="AN67" s="1"/>
      <c r="AO67" s="1"/>
      <c r="AP67" s="1"/>
      <c r="AQ67" s="1"/>
      <c r="AR67" s="1"/>
      <c r="AS67" s="1"/>
      <c r="AT67" s="1"/>
    </row>
    <row r="68" spans="1:46" ht="28.5" x14ac:dyDescent="0.2">
      <c r="A68" s="1" t="s">
        <v>713</v>
      </c>
      <c r="B68" s="29" t="s">
        <v>907</v>
      </c>
      <c r="C68" s="1" t="s">
        <v>135</v>
      </c>
      <c r="D68" s="1" t="s">
        <v>896</v>
      </c>
      <c r="E68" s="2" t="s">
        <v>908</v>
      </c>
      <c r="F68" s="2" t="s">
        <v>909</v>
      </c>
      <c r="G68" s="2" t="s">
        <v>910</v>
      </c>
      <c r="H68" s="2"/>
      <c r="I68" s="2"/>
      <c r="J68" s="2"/>
      <c r="K68" s="3"/>
      <c r="L68" s="2"/>
      <c r="M68" s="3"/>
      <c r="N68" s="2"/>
      <c r="O68" s="2"/>
      <c r="P68" s="2"/>
      <c r="Q68" s="2"/>
      <c r="R68" s="2"/>
      <c r="S68" s="2"/>
      <c r="T68" s="2"/>
      <c r="U68" s="2"/>
      <c r="V68" s="2"/>
      <c r="W68" s="2"/>
      <c r="X68" s="2"/>
      <c r="Y68" s="2"/>
      <c r="AC68" s="29" t="s">
        <v>911</v>
      </c>
      <c r="AD68" s="1" t="s">
        <v>639</v>
      </c>
      <c r="AJ68" s="1"/>
      <c r="AK68" s="1"/>
      <c r="AL68" s="1"/>
      <c r="AM68" s="1"/>
      <c r="AN68" s="1"/>
      <c r="AO68" s="1"/>
      <c r="AP68" s="1"/>
      <c r="AQ68" s="1"/>
      <c r="AR68" s="1"/>
      <c r="AS68" s="1"/>
      <c r="AT68" s="1"/>
    </row>
    <row r="69" spans="1:46" ht="128.25" x14ac:dyDescent="0.2">
      <c r="A69" s="1" t="s">
        <v>713</v>
      </c>
      <c r="B69" s="1" t="s">
        <v>912</v>
      </c>
      <c r="C69" s="1" t="s">
        <v>135</v>
      </c>
      <c r="D69" s="1" t="s">
        <v>896</v>
      </c>
      <c r="E69" s="2" t="s">
        <v>913</v>
      </c>
      <c r="F69" s="2" t="s">
        <v>914</v>
      </c>
      <c r="G69" s="2" t="s">
        <v>915</v>
      </c>
      <c r="H69" s="2"/>
      <c r="I69" s="2"/>
      <c r="J69" s="2"/>
      <c r="K69" s="3"/>
      <c r="L69" s="2"/>
      <c r="M69" s="3"/>
      <c r="N69" s="2"/>
      <c r="O69" s="2"/>
      <c r="P69" s="2"/>
      <c r="Q69" s="2"/>
      <c r="R69" s="2"/>
      <c r="S69" s="2"/>
      <c r="T69" s="2"/>
      <c r="U69" s="2"/>
      <c r="V69" s="2"/>
      <c r="W69" s="2"/>
      <c r="X69" s="2"/>
      <c r="Y69" s="2"/>
      <c r="AD69" s="1" t="s">
        <v>639</v>
      </c>
      <c r="AJ69" s="1"/>
      <c r="AK69" s="1"/>
      <c r="AL69" s="1"/>
      <c r="AM69" s="1"/>
      <c r="AN69" s="1"/>
      <c r="AO69" s="1"/>
      <c r="AP69" s="1"/>
      <c r="AQ69" s="1"/>
      <c r="AR69" s="1"/>
      <c r="AS69" s="1"/>
      <c r="AT69" s="1"/>
    </row>
    <row r="70" spans="1:46" ht="242.25" x14ac:dyDescent="0.2">
      <c r="A70" s="1" t="s">
        <v>916</v>
      </c>
      <c r="B70" s="1" t="s">
        <v>917</v>
      </c>
      <c r="C70" s="1" t="s">
        <v>135</v>
      </c>
      <c r="D70" s="1" t="s">
        <v>641</v>
      </c>
      <c r="E70" s="2" t="s">
        <v>918</v>
      </c>
      <c r="F70" s="2" t="s">
        <v>919</v>
      </c>
      <c r="G70" s="2" t="s">
        <v>920</v>
      </c>
      <c r="H70" s="2"/>
      <c r="I70" s="2"/>
      <c r="J70" s="2"/>
      <c r="K70" s="3"/>
      <c r="L70" s="2"/>
      <c r="M70" s="3"/>
      <c r="N70" s="2"/>
      <c r="O70" s="2"/>
      <c r="P70" s="2"/>
      <c r="Q70" s="2"/>
      <c r="R70" s="2"/>
      <c r="S70" s="2"/>
      <c r="T70" s="2"/>
      <c r="U70" s="2"/>
      <c r="V70" s="2"/>
      <c r="W70" s="2"/>
      <c r="X70" s="2"/>
      <c r="Y70" s="2"/>
      <c r="Z70" s="1" t="s">
        <v>921</v>
      </c>
      <c r="AA70" s="1" t="s">
        <v>922</v>
      </c>
      <c r="AD70" s="1" t="s">
        <v>639</v>
      </c>
      <c r="AJ70" s="1"/>
      <c r="AK70" s="1"/>
      <c r="AL70" s="1"/>
      <c r="AM70" s="1"/>
      <c r="AN70" s="1"/>
      <c r="AO70" s="1"/>
      <c r="AP70" s="1"/>
      <c r="AQ70" s="1"/>
      <c r="AR70" s="1"/>
      <c r="AS70" s="1"/>
      <c r="AT70" s="1"/>
    </row>
    <row r="71" spans="1:46" ht="128.25" x14ac:dyDescent="0.2">
      <c r="A71" s="1" t="s">
        <v>894</v>
      </c>
      <c r="B71" s="29" t="s">
        <v>895</v>
      </c>
      <c r="C71" s="1" t="s">
        <v>135</v>
      </c>
      <c r="D71" s="1" t="s">
        <v>896</v>
      </c>
      <c r="E71" s="2" t="s">
        <v>923</v>
      </c>
      <c r="F71" s="2" t="s">
        <v>924</v>
      </c>
      <c r="G71" s="2" t="s">
        <v>925</v>
      </c>
      <c r="H71" s="2"/>
      <c r="I71" s="2"/>
      <c r="J71" s="2"/>
      <c r="K71" s="3"/>
      <c r="L71" s="2"/>
      <c r="M71" s="3"/>
      <c r="N71" s="2"/>
      <c r="O71" s="2"/>
      <c r="P71" s="2"/>
      <c r="Q71" s="2"/>
      <c r="R71" s="2"/>
      <c r="S71" s="2"/>
      <c r="T71" s="2"/>
      <c r="U71" s="2"/>
      <c r="V71" s="2"/>
      <c r="W71" s="2"/>
      <c r="X71" s="2"/>
      <c r="Y71" s="2"/>
      <c r="Z71" s="1" t="s">
        <v>900</v>
      </c>
      <c r="AA71" s="1" t="s">
        <v>901</v>
      </c>
      <c r="AC71" s="29" t="s">
        <v>926</v>
      </c>
      <c r="AD71" s="1" t="s">
        <v>639</v>
      </c>
      <c r="AJ71" s="1"/>
      <c r="AK71" s="1"/>
      <c r="AL71" s="1"/>
      <c r="AM71" s="1"/>
      <c r="AN71" s="1"/>
      <c r="AO71" s="1"/>
      <c r="AP71" s="1"/>
      <c r="AQ71" s="1"/>
      <c r="AR71" s="1"/>
      <c r="AS71" s="1"/>
      <c r="AT71" s="1"/>
    </row>
    <row r="72" spans="1:46" ht="42.75" x14ac:dyDescent="0.2">
      <c r="A72" s="1" t="s">
        <v>713</v>
      </c>
      <c r="B72" s="1" t="s">
        <v>902</v>
      </c>
      <c r="C72" s="1" t="s">
        <v>135</v>
      </c>
      <c r="D72" s="1" t="s">
        <v>896</v>
      </c>
      <c r="E72" s="2" t="s">
        <v>927</v>
      </c>
      <c r="F72" s="2" t="s">
        <v>928</v>
      </c>
      <c r="G72" s="2" t="s">
        <v>929</v>
      </c>
      <c r="H72" s="2"/>
      <c r="I72" s="2"/>
      <c r="J72" s="2"/>
      <c r="K72" s="3"/>
      <c r="L72" s="2"/>
      <c r="M72" s="3"/>
      <c r="N72" s="2"/>
      <c r="O72" s="2"/>
      <c r="P72" s="2"/>
      <c r="Q72" s="2"/>
      <c r="R72" s="2"/>
      <c r="S72" s="2"/>
      <c r="T72" s="2"/>
      <c r="U72" s="2"/>
      <c r="V72" s="2"/>
      <c r="W72" s="2"/>
      <c r="X72" s="2"/>
      <c r="Y72" s="2"/>
      <c r="AD72" s="1" t="s">
        <v>639</v>
      </c>
      <c r="AJ72" s="1"/>
      <c r="AK72" s="1"/>
      <c r="AL72" s="1"/>
      <c r="AM72" s="1"/>
      <c r="AN72" s="1"/>
      <c r="AO72" s="1"/>
      <c r="AP72" s="1"/>
      <c r="AQ72" s="1"/>
      <c r="AR72" s="1"/>
      <c r="AS72" s="1"/>
      <c r="AT72" s="1"/>
    </row>
    <row r="73" spans="1:46" ht="28.5" x14ac:dyDescent="0.2">
      <c r="A73" s="1" t="s">
        <v>713</v>
      </c>
      <c r="B73" s="1" t="s">
        <v>907</v>
      </c>
      <c r="C73" s="1" t="s">
        <v>135</v>
      </c>
      <c r="D73" s="1" t="s">
        <v>896</v>
      </c>
      <c r="E73" s="2" t="s">
        <v>930</v>
      </c>
      <c r="F73" s="2" t="s">
        <v>931</v>
      </c>
      <c r="G73" s="2" t="s">
        <v>932</v>
      </c>
      <c r="H73" s="2"/>
      <c r="I73" s="2"/>
      <c r="J73" s="2"/>
      <c r="K73" s="3"/>
      <c r="L73" s="2"/>
      <c r="M73" s="3"/>
      <c r="N73" s="2"/>
      <c r="O73" s="2"/>
      <c r="P73" s="2"/>
      <c r="Q73" s="2"/>
      <c r="R73" s="2"/>
      <c r="S73" s="2"/>
      <c r="T73" s="2"/>
      <c r="U73" s="2"/>
      <c r="V73" s="2"/>
      <c r="W73" s="2"/>
      <c r="X73" s="2"/>
      <c r="Y73" s="2"/>
      <c r="AD73" s="1" t="s">
        <v>639</v>
      </c>
      <c r="AJ73" s="1"/>
      <c r="AK73" s="1"/>
      <c r="AL73" s="1"/>
      <c r="AM73" s="1"/>
      <c r="AN73" s="1"/>
      <c r="AO73" s="1"/>
      <c r="AP73" s="1"/>
      <c r="AQ73" s="1"/>
      <c r="AR73" s="1"/>
      <c r="AS73" s="1"/>
      <c r="AT73" s="1"/>
    </row>
    <row r="74" spans="1:46" ht="128.25" x14ac:dyDescent="0.2">
      <c r="A74" s="1" t="s">
        <v>713</v>
      </c>
      <c r="B74" s="1" t="s">
        <v>912</v>
      </c>
      <c r="C74" s="1" t="s">
        <v>135</v>
      </c>
      <c r="D74" s="1" t="s">
        <v>896</v>
      </c>
      <c r="E74" s="2" t="s">
        <v>933</v>
      </c>
      <c r="F74" s="2" t="s">
        <v>934</v>
      </c>
      <c r="G74" s="2" t="s">
        <v>935</v>
      </c>
      <c r="H74" s="2"/>
      <c r="I74" s="2"/>
      <c r="J74" s="2"/>
      <c r="K74" s="3"/>
      <c r="L74" s="2"/>
      <c r="M74" s="3"/>
      <c r="N74" s="2"/>
      <c r="O74" s="2"/>
      <c r="P74" s="2"/>
      <c r="Q74" s="2"/>
      <c r="R74" s="2"/>
      <c r="S74" s="2"/>
      <c r="T74" s="2"/>
      <c r="U74" s="2"/>
      <c r="V74" s="2"/>
      <c r="W74" s="2"/>
      <c r="X74" s="2"/>
      <c r="Y74" s="2"/>
      <c r="AD74" s="1" t="s">
        <v>639</v>
      </c>
      <c r="AJ74" s="1"/>
      <c r="AK74" s="1"/>
      <c r="AL74" s="1"/>
      <c r="AM74" s="1"/>
      <c r="AN74" s="1"/>
      <c r="AO74" s="1"/>
      <c r="AP74" s="1"/>
      <c r="AQ74" s="1"/>
      <c r="AR74" s="1"/>
      <c r="AS74" s="1"/>
      <c r="AT74" s="1"/>
    </row>
    <row r="75" spans="1:46" ht="242.25" x14ac:dyDescent="0.2">
      <c r="A75" s="1" t="s">
        <v>916</v>
      </c>
      <c r="B75" s="1" t="s">
        <v>917</v>
      </c>
      <c r="C75" s="1" t="s">
        <v>135</v>
      </c>
      <c r="D75" s="1" t="s">
        <v>641</v>
      </c>
      <c r="E75" s="2" t="s">
        <v>936</v>
      </c>
      <c r="F75" s="2" t="s">
        <v>937</v>
      </c>
      <c r="G75" s="2" t="s">
        <v>938</v>
      </c>
      <c r="H75" s="2"/>
      <c r="I75" s="2"/>
      <c r="J75" s="2"/>
      <c r="K75" s="3"/>
      <c r="L75" s="2"/>
      <c r="M75" s="3"/>
      <c r="N75" s="2"/>
      <c r="O75" s="2"/>
      <c r="P75" s="2"/>
      <c r="Q75" s="2"/>
      <c r="R75" s="2"/>
      <c r="S75" s="2"/>
      <c r="T75" s="2"/>
      <c r="U75" s="2"/>
      <c r="V75" s="2"/>
      <c r="W75" s="2"/>
      <c r="X75" s="2"/>
      <c r="Y75" s="2"/>
      <c r="Z75" s="1" t="s">
        <v>921</v>
      </c>
      <c r="AA75" s="1" t="s">
        <v>922</v>
      </c>
      <c r="AD75" s="1" t="s">
        <v>639</v>
      </c>
      <c r="AJ75" s="1"/>
      <c r="AK75" s="1"/>
      <c r="AL75" s="1"/>
      <c r="AM75" s="1"/>
      <c r="AN75" s="1"/>
      <c r="AO75" s="1"/>
      <c r="AP75" s="1"/>
      <c r="AQ75" s="1"/>
      <c r="AR75" s="1"/>
      <c r="AS75" s="1"/>
      <c r="AT75" s="1"/>
    </row>
    <row r="76" spans="1:46" ht="128.25" x14ac:dyDescent="0.2">
      <c r="A76" s="1" t="s">
        <v>894</v>
      </c>
      <c r="B76" s="1" t="s">
        <v>895</v>
      </c>
      <c r="C76" s="1" t="s">
        <v>135</v>
      </c>
      <c r="D76" s="1" t="s">
        <v>896</v>
      </c>
      <c r="E76" s="2" t="s">
        <v>939</v>
      </c>
      <c r="F76" s="2" t="s">
        <v>940</v>
      </c>
      <c r="G76" s="2" t="s">
        <v>941</v>
      </c>
      <c r="H76" s="2"/>
      <c r="I76" s="2"/>
      <c r="J76" s="2"/>
      <c r="K76" s="3"/>
      <c r="L76" s="2"/>
      <c r="M76" s="3"/>
      <c r="N76" s="2"/>
      <c r="O76" s="2"/>
      <c r="P76" s="2"/>
      <c r="Q76" s="2"/>
      <c r="R76" s="2"/>
      <c r="S76" s="2"/>
      <c r="T76" s="2"/>
      <c r="U76" s="2"/>
      <c r="V76" s="2"/>
      <c r="W76" s="2"/>
      <c r="X76" s="2"/>
      <c r="Y76" s="2"/>
      <c r="Z76" s="1" t="s">
        <v>900</v>
      </c>
      <c r="AA76" s="1" t="s">
        <v>901</v>
      </c>
      <c r="AC76" s="29" t="s">
        <v>942</v>
      </c>
      <c r="AD76" s="1" t="s">
        <v>639</v>
      </c>
      <c r="AJ76" s="1"/>
      <c r="AK76" s="1"/>
      <c r="AL76" s="1"/>
      <c r="AM76" s="1"/>
      <c r="AN76" s="1"/>
      <c r="AO76" s="1"/>
      <c r="AP76" s="1"/>
      <c r="AQ76" s="1"/>
      <c r="AR76" s="1"/>
      <c r="AS76" s="1"/>
      <c r="AT76" s="1"/>
    </row>
    <row r="77" spans="1:46" ht="42.75" x14ac:dyDescent="0.2">
      <c r="A77" s="1" t="s">
        <v>713</v>
      </c>
      <c r="B77" s="1" t="s">
        <v>902</v>
      </c>
      <c r="C77" s="1" t="s">
        <v>135</v>
      </c>
      <c r="D77" s="1" t="s">
        <v>896</v>
      </c>
      <c r="E77" s="2" t="s">
        <v>943</v>
      </c>
      <c r="F77" s="2" t="s">
        <v>944</v>
      </c>
      <c r="G77" s="2" t="s">
        <v>945</v>
      </c>
      <c r="H77" s="2"/>
      <c r="I77" s="2"/>
      <c r="J77" s="2"/>
      <c r="K77" s="3"/>
      <c r="L77" s="2"/>
      <c r="M77" s="3"/>
      <c r="N77" s="2"/>
      <c r="O77" s="2"/>
      <c r="P77" s="2"/>
      <c r="Q77" s="2"/>
      <c r="R77" s="2"/>
      <c r="S77" s="2"/>
      <c r="T77" s="2"/>
      <c r="U77" s="2"/>
      <c r="V77" s="2"/>
      <c r="W77" s="2"/>
      <c r="X77" s="2"/>
      <c r="Y77" s="2"/>
      <c r="AD77" s="1" t="s">
        <v>639</v>
      </c>
      <c r="AJ77" s="1"/>
      <c r="AK77" s="1"/>
      <c r="AL77" s="1"/>
      <c r="AM77" s="1"/>
      <c r="AN77" s="1"/>
      <c r="AO77" s="1"/>
      <c r="AP77" s="1"/>
      <c r="AQ77" s="1"/>
      <c r="AR77" s="1"/>
      <c r="AS77" s="1"/>
      <c r="AT77" s="1"/>
    </row>
    <row r="78" spans="1:46" ht="28.5" x14ac:dyDescent="0.2">
      <c r="A78" s="1" t="s">
        <v>713</v>
      </c>
      <c r="B78" s="1" t="s">
        <v>907</v>
      </c>
      <c r="C78" s="1" t="s">
        <v>135</v>
      </c>
      <c r="D78" s="1" t="s">
        <v>896</v>
      </c>
      <c r="E78" s="2" t="s">
        <v>946</v>
      </c>
      <c r="F78" s="2" t="s">
        <v>947</v>
      </c>
      <c r="G78" s="2" t="s">
        <v>948</v>
      </c>
      <c r="H78" s="2"/>
      <c r="I78" s="2"/>
      <c r="J78" s="2"/>
      <c r="K78" s="3"/>
      <c r="L78" s="2"/>
      <c r="M78" s="3"/>
      <c r="N78" s="2"/>
      <c r="O78" s="2"/>
      <c r="P78" s="2"/>
      <c r="Q78" s="2"/>
      <c r="R78" s="2"/>
      <c r="S78" s="2"/>
      <c r="T78" s="2"/>
      <c r="U78" s="2"/>
      <c r="V78" s="2"/>
      <c r="W78" s="2"/>
      <c r="X78" s="2"/>
      <c r="Y78" s="2"/>
      <c r="AD78" s="1" t="s">
        <v>639</v>
      </c>
      <c r="AJ78" s="1"/>
      <c r="AK78" s="1"/>
      <c r="AL78" s="1"/>
      <c r="AM78" s="1"/>
      <c r="AN78" s="1"/>
      <c r="AO78" s="1"/>
      <c r="AP78" s="1"/>
      <c r="AQ78" s="1"/>
      <c r="AR78" s="1"/>
      <c r="AS78" s="1"/>
      <c r="AT78" s="1"/>
    </row>
    <row r="79" spans="1:46" ht="128.25" x14ac:dyDescent="0.2">
      <c r="A79" s="1" t="s">
        <v>713</v>
      </c>
      <c r="B79" s="1" t="s">
        <v>912</v>
      </c>
      <c r="C79" s="1" t="s">
        <v>135</v>
      </c>
      <c r="D79" s="1" t="s">
        <v>896</v>
      </c>
      <c r="E79" s="2" t="s">
        <v>949</v>
      </c>
      <c r="F79" s="2" t="s">
        <v>950</v>
      </c>
      <c r="G79" s="2" t="s">
        <v>951</v>
      </c>
      <c r="H79" s="2"/>
      <c r="I79" s="2"/>
      <c r="J79" s="2"/>
      <c r="K79" s="3"/>
      <c r="L79" s="2"/>
      <c r="M79" s="3"/>
      <c r="N79" s="2"/>
      <c r="O79" s="2"/>
      <c r="P79" s="2"/>
      <c r="Q79" s="2"/>
      <c r="R79" s="2"/>
      <c r="S79" s="2"/>
      <c r="T79" s="2"/>
      <c r="U79" s="2"/>
      <c r="V79" s="2"/>
      <c r="W79" s="2"/>
      <c r="X79" s="2"/>
      <c r="Y79" s="2"/>
      <c r="AD79" s="1" t="s">
        <v>952</v>
      </c>
      <c r="AJ79" s="1"/>
      <c r="AK79" s="1"/>
      <c r="AL79" s="1"/>
      <c r="AM79" s="1"/>
      <c r="AN79" s="1"/>
      <c r="AO79" s="1"/>
      <c r="AP79" s="1"/>
      <c r="AQ79" s="1"/>
      <c r="AR79" s="1"/>
      <c r="AS79" s="1"/>
      <c r="AT79" s="1"/>
    </row>
    <row r="80" spans="1:46" ht="242.25" x14ac:dyDescent="0.2">
      <c r="A80" s="1" t="s">
        <v>916</v>
      </c>
      <c r="B80" s="1" t="s">
        <v>917</v>
      </c>
      <c r="C80" s="1" t="s">
        <v>135</v>
      </c>
      <c r="D80" s="1" t="s">
        <v>641</v>
      </c>
      <c r="E80" s="2" t="s">
        <v>953</v>
      </c>
      <c r="F80" s="2" t="s">
        <v>954</v>
      </c>
      <c r="G80" s="2" t="s">
        <v>955</v>
      </c>
      <c r="H80" s="2"/>
      <c r="I80" s="2"/>
      <c r="J80" s="2"/>
      <c r="K80" s="3"/>
      <c r="L80" s="2"/>
      <c r="M80" s="3"/>
      <c r="N80" s="2"/>
      <c r="O80" s="2"/>
      <c r="P80" s="2"/>
      <c r="Q80" s="2"/>
      <c r="R80" s="2"/>
      <c r="S80" s="2"/>
      <c r="T80" s="2"/>
      <c r="U80" s="2"/>
      <c r="V80" s="2"/>
      <c r="W80" s="2"/>
      <c r="X80" s="2"/>
      <c r="Y80" s="2"/>
      <c r="Z80" s="1" t="s">
        <v>921</v>
      </c>
      <c r="AA80" s="1" t="s">
        <v>922</v>
      </c>
      <c r="AD80" s="1" t="s">
        <v>639</v>
      </c>
      <c r="AJ80" s="1"/>
      <c r="AK80" s="1"/>
      <c r="AL80" s="1"/>
      <c r="AM80" s="1"/>
      <c r="AN80" s="1"/>
      <c r="AO80" s="1"/>
      <c r="AP80" s="1"/>
      <c r="AQ80" s="1"/>
      <c r="AR80" s="1"/>
      <c r="AS80" s="1"/>
      <c r="AT80" s="1"/>
    </row>
    <row r="81" spans="1:46" ht="128.25" x14ac:dyDescent="0.2">
      <c r="A81" s="1" t="s">
        <v>894</v>
      </c>
      <c r="B81" s="1" t="s">
        <v>895</v>
      </c>
      <c r="C81" s="1" t="s">
        <v>135</v>
      </c>
      <c r="D81" s="1" t="s">
        <v>896</v>
      </c>
      <c r="E81" s="2" t="s">
        <v>956</v>
      </c>
      <c r="F81" s="2" t="s">
        <v>957</v>
      </c>
      <c r="G81" s="2" t="s">
        <v>958</v>
      </c>
      <c r="H81" s="2"/>
      <c r="I81" s="2"/>
      <c r="J81" s="2"/>
      <c r="K81" s="3"/>
      <c r="L81" s="2"/>
      <c r="M81" s="3"/>
      <c r="N81" s="2"/>
      <c r="O81" s="2"/>
      <c r="P81" s="2"/>
      <c r="Q81" s="2"/>
      <c r="R81" s="2"/>
      <c r="S81" s="2"/>
      <c r="T81" s="2"/>
      <c r="U81" s="2"/>
      <c r="V81" s="2"/>
      <c r="W81" s="2"/>
      <c r="X81" s="2"/>
      <c r="Y81" s="2"/>
      <c r="Z81" s="1" t="s">
        <v>900</v>
      </c>
      <c r="AA81" s="1" t="s">
        <v>901</v>
      </c>
      <c r="AD81" s="1" t="s">
        <v>639</v>
      </c>
      <c r="AJ81" s="1"/>
      <c r="AK81" s="1"/>
      <c r="AL81" s="1"/>
      <c r="AM81" s="1"/>
      <c r="AN81" s="1"/>
      <c r="AO81" s="1"/>
      <c r="AP81" s="1"/>
      <c r="AQ81" s="1"/>
      <c r="AR81" s="1"/>
      <c r="AS81" s="1"/>
      <c r="AT81" s="1"/>
    </row>
    <row r="82" spans="1:46" ht="42.75" x14ac:dyDescent="0.2">
      <c r="A82" s="1" t="s">
        <v>713</v>
      </c>
      <c r="B82" s="1" t="s">
        <v>902</v>
      </c>
      <c r="C82" s="1" t="s">
        <v>135</v>
      </c>
      <c r="D82" s="1" t="s">
        <v>896</v>
      </c>
      <c r="E82" s="2" t="s">
        <v>959</v>
      </c>
      <c r="F82" s="2" t="s">
        <v>960</v>
      </c>
      <c r="G82" s="2" t="s">
        <v>961</v>
      </c>
      <c r="H82" s="2"/>
      <c r="I82" s="2"/>
      <c r="J82" s="2"/>
      <c r="K82" s="3"/>
      <c r="L82" s="2"/>
      <c r="M82" s="3"/>
      <c r="N82" s="2"/>
      <c r="O82" s="2"/>
      <c r="P82" s="2"/>
      <c r="Q82" s="2"/>
      <c r="R82" s="2"/>
      <c r="S82" s="2"/>
      <c r="T82" s="2"/>
      <c r="U82" s="2"/>
      <c r="V82" s="2"/>
      <c r="W82" s="2"/>
      <c r="X82" s="2"/>
      <c r="Y82" s="2"/>
      <c r="AD82" s="1" t="s">
        <v>639</v>
      </c>
      <c r="AJ82" s="1"/>
      <c r="AK82" s="1"/>
      <c r="AL82" s="1"/>
      <c r="AM82" s="1"/>
      <c r="AN82" s="1"/>
      <c r="AO82" s="1"/>
      <c r="AP82" s="1"/>
      <c r="AQ82" s="1"/>
      <c r="AR82" s="1"/>
      <c r="AS82" s="1"/>
      <c r="AT82" s="1"/>
    </row>
    <row r="83" spans="1:46" ht="28.5" x14ac:dyDescent="0.2">
      <c r="A83" s="1" t="s">
        <v>713</v>
      </c>
      <c r="B83" s="1" t="s">
        <v>907</v>
      </c>
      <c r="C83" s="1" t="s">
        <v>135</v>
      </c>
      <c r="D83" s="1" t="s">
        <v>896</v>
      </c>
      <c r="E83" s="2" t="s">
        <v>962</v>
      </c>
      <c r="F83" s="2" t="s">
        <v>963</v>
      </c>
      <c r="G83" s="2" t="s">
        <v>964</v>
      </c>
      <c r="H83" s="2"/>
      <c r="I83" s="2"/>
      <c r="J83" s="2"/>
      <c r="K83" s="3"/>
      <c r="L83" s="2"/>
      <c r="M83" s="3"/>
      <c r="N83" s="2"/>
      <c r="O83" s="2"/>
      <c r="P83" s="2"/>
      <c r="Q83" s="2"/>
      <c r="R83" s="2"/>
      <c r="S83" s="2"/>
      <c r="T83" s="2"/>
      <c r="U83" s="2"/>
      <c r="V83" s="2"/>
      <c r="W83" s="2"/>
      <c r="X83" s="2"/>
      <c r="Y83" s="2"/>
      <c r="AD83" s="1" t="s">
        <v>639</v>
      </c>
      <c r="AJ83" s="1"/>
      <c r="AK83" s="1"/>
      <c r="AL83" s="1"/>
      <c r="AM83" s="1"/>
      <c r="AN83" s="1"/>
      <c r="AO83" s="1"/>
      <c r="AP83" s="1"/>
      <c r="AQ83" s="1"/>
      <c r="AR83" s="1"/>
      <c r="AS83" s="1"/>
      <c r="AT83" s="1"/>
    </row>
    <row r="84" spans="1:46" ht="128.25" x14ac:dyDescent="0.2">
      <c r="A84" s="1" t="s">
        <v>713</v>
      </c>
      <c r="B84" s="1" t="s">
        <v>912</v>
      </c>
      <c r="C84" s="1" t="s">
        <v>135</v>
      </c>
      <c r="D84" s="1" t="s">
        <v>896</v>
      </c>
      <c r="E84" s="2" t="s">
        <v>965</v>
      </c>
      <c r="F84" s="2" t="s">
        <v>966</v>
      </c>
      <c r="G84" s="2" t="s">
        <v>967</v>
      </c>
      <c r="H84" s="2"/>
      <c r="I84" s="2"/>
      <c r="J84" s="2"/>
      <c r="K84" s="3"/>
      <c r="L84" s="2"/>
      <c r="M84" s="3"/>
      <c r="N84" s="2"/>
      <c r="O84" s="2"/>
      <c r="P84" s="2"/>
      <c r="Q84" s="2"/>
      <c r="R84" s="2"/>
      <c r="S84" s="2"/>
      <c r="T84" s="2"/>
      <c r="U84" s="2"/>
      <c r="V84" s="2"/>
      <c r="W84" s="2"/>
      <c r="X84" s="2"/>
      <c r="Y84" s="2"/>
      <c r="AD84" s="1" t="s">
        <v>639</v>
      </c>
      <c r="AJ84" s="1"/>
      <c r="AK84" s="1"/>
      <c r="AL84" s="1"/>
      <c r="AM84" s="1"/>
      <c r="AN84" s="1"/>
      <c r="AO84" s="1"/>
      <c r="AP84" s="1"/>
      <c r="AQ84" s="1"/>
      <c r="AR84" s="1"/>
      <c r="AS84" s="1"/>
      <c r="AT84" s="1"/>
    </row>
    <row r="85" spans="1:46" ht="242.25" x14ac:dyDescent="0.2">
      <c r="A85" s="1" t="s">
        <v>916</v>
      </c>
      <c r="B85" s="1" t="s">
        <v>917</v>
      </c>
      <c r="C85" s="1" t="s">
        <v>135</v>
      </c>
      <c r="D85" s="1" t="s">
        <v>641</v>
      </c>
      <c r="E85" s="2" t="s">
        <v>968</v>
      </c>
      <c r="F85" s="2" t="s">
        <v>969</v>
      </c>
      <c r="G85" s="2" t="s">
        <v>970</v>
      </c>
      <c r="H85" s="2"/>
      <c r="I85" s="2"/>
      <c r="J85" s="2"/>
      <c r="K85" s="3"/>
      <c r="L85" s="2"/>
      <c r="M85" s="3"/>
      <c r="N85" s="2"/>
      <c r="O85" s="2"/>
      <c r="P85" s="2"/>
      <c r="Q85" s="2"/>
      <c r="R85" s="2"/>
      <c r="S85" s="2"/>
      <c r="T85" s="2"/>
      <c r="U85" s="2"/>
      <c r="V85" s="2"/>
      <c r="W85" s="2"/>
      <c r="X85" s="2"/>
      <c r="Y85" s="2"/>
      <c r="Z85" s="1" t="s">
        <v>921</v>
      </c>
      <c r="AA85" s="1" t="s">
        <v>922</v>
      </c>
      <c r="AD85" s="1" t="s">
        <v>639</v>
      </c>
      <c r="AJ85" s="1"/>
      <c r="AK85" s="1"/>
      <c r="AL85" s="1"/>
      <c r="AM85" s="1"/>
      <c r="AN85" s="1"/>
      <c r="AO85" s="1"/>
      <c r="AP85" s="1"/>
      <c r="AQ85" s="1"/>
      <c r="AR85" s="1"/>
      <c r="AS85" s="1"/>
      <c r="AT85" s="1"/>
    </row>
    <row r="86" spans="1:46" ht="128.25" x14ac:dyDescent="0.2">
      <c r="A86" s="1" t="s">
        <v>894</v>
      </c>
      <c r="B86" s="1" t="s">
        <v>895</v>
      </c>
      <c r="C86" s="1" t="s">
        <v>135</v>
      </c>
      <c r="D86" s="1" t="s">
        <v>896</v>
      </c>
      <c r="E86" s="2" t="s">
        <v>971</v>
      </c>
      <c r="F86" s="2" t="s">
        <v>972</v>
      </c>
      <c r="G86" s="2" t="s">
        <v>973</v>
      </c>
      <c r="H86" s="2"/>
      <c r="I86" s="2"/>
      <c r="J86" s="2"/>
      <c r="K86" s="3"/>
      <c r="L86" s="2"/>
      <c r="M86" s="3"/>
      <c r="N86" s="2"/>
      <c r="O86" s="2"/>
      <c r="P86" s="2"/>
      <c r="Q86" s="2"/>
      <c r="R86" s="2"/>
      <c r="S86" s="2"/>
      <c r="T86" s="2"/>
      <c r="U86" s="2"/>
      <c r="V86" s="2"/>
      <c r="W86" s="2"/>
      <c r="X86" s="2"/>
      <c r="Y86" s="2"/>
      <c r="Z86" s="1" t="s">
        <v>900</v>
      </c>
      <c r="AA86" s="1" t="s">
        <v>901</v>
      </c>
      <c r="AD86" s="1" t="s">
        <v>639</v>
      </c>
      <c r="AJ86" s="1"/>
      <c r="AK86" s="1"/>
      <c r="AL86" s="1"/>
      <c r="AM86" s="1"/>
      <c r="AN86" s="1"/>
      <c r="AO86" s="1"/>
      <c r="AP86" s="1"/>
      <c r="AQ86" s="1"/>
      <c r="AR86" s="1"/>
      <c r="AS86" s="1"/>
      <c r="AT86" s="1"/>
    </row>
    <row r="87" spans="1:46" ht="42.75" x14ac:dyDescent="0.2">
      <c r="A87" s="1" t="s">
        <v>713</v>
      </c>
      <c r="B87" s="1" t="s">
        <v>902</v>
      </c>
      <c r="C87" s="1" t="s">
        <v>135</v>
      </c>
      <c r="D87" s="1" t="s">
        <v>896</v>
      </c>
      <c r="E87" s="2" t="s">
        <v>974</v>
      </c>
      <c r="F87" s="2" t="s">
        <v>975</v>
      </c>
      <c r="G87" s="2" t="s">
        <v>976</v>
      </c>
      <c r="H87" s="2"/>
      <c r="I87" s="2"/>
      <c r="J87" s="2"/>
      <c r="K87" s="3"/>
      <c r="L87" s="2"/>
      <c r="M87" s="3"/>
      <c r="N87" s="2"/>
      <c r="O87" s="2"/>
      <c r="P87" s="2"/>
      <c r="Q87" s="2"/>
      <c r="R87" s="2"/>
      <c r="S87" s="2"/>
      <c r="T87" s="2"/>
      <c r="U87" s="2"/>
      <c r="V87" s="2"/>
      <c r="W87" s="2"/>
      <c r="X87" s="2"/>
      <c r="Y87" s="2"/>
      <c r="AD87" s="1" t="s">
        <v>952</v>
      </c>
      <c r="AJ87" s="1"/>
      <c r="AK87" s="1"/>
      <c r="AL87" s="1"/>
      <c r="AM87" s="1"/>
      <c r="AN87" s="1"/>
      <c r="AO87" s="1"/>
      <c r="AP87" s="1"/>
      <c r="AQ87" s="1"/>
      <c r="AR87" s="1"/>
      <c r="AS87" s="1"/>
      <c r="AT87" s="1"/>
    </row>
    <row r="88" spans="1:46" ht="28.5" x14ac:dyDescent="0.2">
      <c r="A88" s="1" t="s">
        <v>713</v>
      </c>
      <c r="B88" s="1" t="s">
        <v>907</v>
      </c>
      <c r="C88" s="1" t="s">
        <v>135</v>
      </c>
      <c r="D88" s="1" t="s">
        <v>896</v>
      </c>
      <c r="E88" s="2" t="s">
        <v>977</v>
      </c>
      <c r="F88" s="2" t="s">
        <v>978</v>
      </c>
      <c r="G88" s="2" t="s">
        <v>979</v>
      </c>
      <c r="H88" s="2"/>
      <c r="I88" s="2"/>
      <c r="J88" s="2"/>
      <c r="K88" s="3"/>
      <c r="L88" s="2"/>
      <c r="M88" s="3"/>
      <c r="N88" s="2"/>
      <c r="O88" s="2"/>
      <c r="P88" s="2"/>
      <c r="Q88" s="2"/>
      <c r="R88" s="2"/>
      <c r="S88" s="2"/>
      <c r="T88" s="2"/>
      <c r="U88" s="2"/>
      <c r="V88" s="2"/>
      <c r="W88" s="2"/>
      <c r="X88" s="2"/>
      <c r="Y88" s="2"/>
      <c r="AD88" s="1" t="s">
        <v>639</v>
      </c>
      <c r="AJ88" s="1"/>
      <c r="AK88" s="1"/>
      <c r="AL88" s="1"/>
      <c r="AM88" s="1"/>
      <c r="AN88" s="1"/>
      <c r="AO88" s="1"/>
      <c r="AP88" s="1"/>
      <c r="AQ88" s="1"/>
      <c r="AR88" s="1"/>
      <c r="AS88" s="1"/>
      <c r="AT88" s="1"/>
    </row>
    <row r="89" spans="1:46" ht="128.25" x14ac:dyDescent="0.2">
      <c r="A89" s="1" t="s">
        <v>713</v>
      </c>
      <c r="B89" s="1" t="s">
        <v>912</v>
      </c>
      <c r="C89" s="1" t="s">
        <v>135</v>
      </c>
      <c r="D89" s="1" t="s">
        <v>896</v>
      </c>
      <c r="E89" s="2" t="s">
        <v>980</v>
      </c>
      <c r="F89" s="2" t="s">
        <v>981</v>
      </c>
      <c r="G89" s="2" t="s">
        <v>982</v>
      </c>
      <c r="H89" s="2"/>
      <c r="I89" s="2"/>
      <c r="J89" s="2"/>
      <c r="K89" s="3"/>
      <c r="L89" s="2"/>
      <c r="M89" s="3"/>
      <c r="N89" s="2"/>
      <c r="O89" s="2"/>
      <c r="P89" s="2"/>
      <c r="Q89" s="2"/>
      <c r="R89" s="2"/>
      <c r="S89" s="2"/>
      <c r="T89" s="2"/>
      <c r="U89" s="2"/>
      <c r="V89" s="2"/>
      <c r="W89" s="2"/>
      <c r="X89" s="2"/>
      <c r="Y89" s="2"/>
      <c r="AD89" s="1" t="s">
        <v>639</v>
      </c>
      <c r="AJ89" s="1"/>
      <c r="AK89" s="1"/>
      <c r="AL89" s="1"/>
      <c r="AM89" s="1"/>
      <c r="AN89" s="1"/>
      <c r="AO89" s="1"/>
      <c r="AP89" s="1"/>
      <c r="AQ89" s="1"/>
      <c r="AR89" s="1"/>
      <c r="AS89" s="1"/>
      <c r="AT89" s="1"/>
    </row>
    <row r="90" spans="1:46" ht="242.25" x14ac:dyDescent="0.2">
      <c r="A90" s="1" t="s">
        <v>916</v>
      </c>
      <c r="B90" s="1" t="s">
        <v>917</v>
      </c>
      <c r="C90" s="1" t="s">
        <v>135</v>
      </c>
      <c r="D90" s="1" t="s">
        <v>641</v>
      </c>
      <c r="E90" s="2" t="s">
        <v>983</v>
      </c>
      <c r="F90" s="2" t="s">
        <v>984</v>
      </c>
      <c r="G90" s="2" t="s">
        <v>985</v>
      </c>
      <c r="H90" s="2"/>
      <c r="I90" s="2"/>
      <c r="J90" s="2"/>
      <c r="K90" s="3"/>
      <c r="L90" s="2"/>
      <c r="M90" s="3"/>
      <c r="N90" s="2"/>
      <c r="O90" s="2"/>
      <c r="P90" s="2"/>
      <c r="Q90" s="2"/>
      <c r="R90" s="2"/>
      <c r="S90" s="2"/>
      <c r="T90" s="2"/>
      <c r="U90" s="2"/>
      <c r="V90" s="2"/>
      <c r="W90" s="2"/>
      <c r="X90" s="2"/>
      <c r="Y90" s="2"/>
      <c r="Z90" s="1" t="s">
        <v>921</v>
      </c>
      <c r="AA90" s="1" t="s">
        <v>922</v>
      </c>
      <c r="AD90" s="1" t="s">
        <v>639</v>
      </c>
      <c r="AJ90" s="1"/>
      <c r="AK90" s="1"/>
      <c r="AL90" s="1"/>
      <c r="AM90" s="1"/>
      <c r="AN90" s="1"/>
      <c r="AO90" s="1"/>
      <c r="AP90" s="1"/>
      <c r="AQ90" s="1"/>
      <c r="AR90" s="1"/>
      <c r="AS90" s="1"/>
      <c r="AT90" s="1"/>
    </row>
    <row r="91" spans="1:46" ht="57" x14ac:dyDescent="0.2">
      <c r="B91" s="29" t="s">
        <v>986</v>
      </c>
      <c r="C91" s="1" t="s">
        <v>135</v>
      </c>
      <c r="D91" s="1" t="s">
        <v>695</v>
      </c>
      <c r="E91" s="2" t="s">
        <v>987</v>
      </c>
      <c r="F91" s="2" t="s">
        <v>504</v>
      </c>
      <c r="G91" s="2" t="s">
        <v>988</v>
      </c>
      <c r="H91" s="2"/>
      <c r="I91" s="2"/>
      <c r="J91" s="2"/>
      <c r="K91" s="3"/>
      <c r="L91" s="2"/>
      <c r="M91" s="3"/>
      <c r="N91" s="2"/>
      <c r="O91" s="2"/>
      <c r="P91" s="2"/>
      <c r="Q91" s="2"/>
      <c r="R91" s="2"/>
      <c r="S91" s="2"/>
      <c r="T91" s="2"/>
      <c r="U91" s="2"/>
      <c r="V91" s="2"/>
      <c r="W91" s="2"/>
      <c r="X91" s="2"/>
      <c r="Y91" s="2"/>
      <c r="AA91" s="1" t="s">
        <v>989</v>
      </c>
      <c r="AC91" s="1" t="s">
        <v>990</v>
      </c>
      <c r="AD91" s="1" t="s">
        <v>952</v>
      </c>
      <c r="AE91" s="1" t="s">
        <v>684</v>
      </c>
      <c r="AJ91" s="1"/>
      <c r="AK91" s="1"/>
      <c r="AL91" s="1"/>
      <c r="AM91" s="1"/>
      <c r="AN91" s="1"/>
      <c r="AO91" s="1"/>
      <c r="AP91" s="1"/>
      <c r="AQ91" s="1"/>
      <c r="AR91" s="1"/>
      <c r="AS91" s="1"/>
      <c r="AT91" s="1"/>
    </row>
    <row r="92" spans="1:46" ht="28.5" x14ac:dyDescent="0.2">
      <c r="B92" s="1" t="s">
        <v>991</v>
      </c>
      <c r="C92" s="1" t="s">
        <v>135</v>
      </c>
      <c r="D92" s="1" t="s">
        <v>695</v>
      </c>
      <c r="E92" s="2" t="s">
        <v>992</v>
      </c>
      <c r="F92" s="2" t="s">
        <v>297</v>
      </c>
      <c r="G92" s="2" t="s">
        <v>993</v>
      </c>
      <c r="H92" s="2"/>
      <c r="I92" s="2"/>
      <c r="J92" s="2"/>
      <c r="K92" s="3"/>
      <c r="L92" s="2"/>
      <c r="M92" s="3"/>
      <c r="N92" s="2"/>
      <c r="O92" s="2"/>
      <c r="P92" s="2"/>
      <c r="Q92" s="2"/>
      <c r="R92" s="2"/>
      <c r="S92" s="2"/>
      <c r="T92" s="2"/>
      <c r="U92" s="2"/>
      <c r="V92" s="2"/>
      <c r="W92" s="2"/>
      <c r="X92" s="2"/>
      <c r="Y92" s="2"/>
      <c r="AA92" s="1" t="s">
        <v>994</v>
      </c>
      <c r="AC92" s="1" t="s">
        <v>995</v>
      </c>
      <c r="AD92" s="1" t="s">
        <v>639</v>
      </c>
      <c r="AE92" s="1" t="s">
        <v>684</v>
      </c>
      <c r="AJ92" s="1"/>
      <c r="AK92" s="1"/>
      <c r="AL92" s="1"/>
      <c r="AM92" s="1"/>
      <c r="AN92" s="1"/>
      <c r="AO92" s="1"/>
      <c r="AP92" s="1"/>
      <c r="AQ92" s="1"/>
      <c r="AR92" s="1"/>
      <c r="AS92" s="1"/>
      <c r="AT92" s="1"/>
    </row>
    <row r="93" spans="1:46" ht="28.5" x14ac:dyDescent="0.2">
      <c r="B93" s="1" t="s">
        <v>996</v>
      </c>
      <c r="C93" s="1" t="s">
        <v>135</v>
      </c>
      <c r="D93" s="1" t="s">
        <v>695</v>
      </c>
      <c r="E93" s="2" t="s">
        <v>997</v>
      </c>
      <c r="F93" s="2" t="s">
        <v>510</v>
      </c>
      <c r="G93" s="2" t="s">
        <v>998</v>
      </c>
      <c r="H93" s="2"/>
      <c r="I93" s="2"/>
      <c r="J93" s="2"/>
      <c r="K93" s="3"/>
      <c r="L93" s="2"/>
      <c r="M93" s="3"/>
      <c r="N93" s="2"/>
      <c r="O93" s="2"/>
      <c r="P93" s="2"/>
      <c r="Q93" s="2"/>
      <c r="R93" s="2"/>
      <c r="S93" s="2"/>
      <c r="T93" s="2"/>
      <c r="U93" s="2"/>
      <c r="V93" s="2"/>
      <c r="W93" s="2"/>
      <c r="X93" s="2"/>
      <c r="Y93" s="2"/>
      <c r="Z93" s="1" t="s">
        <v>999</v>
      </c>
      <c r="AA93" s="1" t="s">
        <v>1000</v>
      </c>
      <c r="AC93" s="1" t="s">
        <v>1001</v>
      </c>
      <c r="AD93" s="1" t="s">
        <v>639</v>
      </c>
      <c r="AE93" s="1" t="s">
        <v>1002</v>
      </c>
      <c r="AJ93" s="1"/>
      <c r="AK93" s="1"/>
      <c r="AL93" s="1"/>
      <c r="AM93" s="1"/>
      <c r="AN93" s="1"/>
      <c r="AO93" s="1"/>
      <c r="AP93" s="1"/>
      <c r="AQ93" s="1"/>
      <c r="AR93" s="1"/>
      <c r="AS93" s="1"/>
      <c r="AT93" s="1"/>
    </row>
    <row r="94" spans="1:46" x14ac:dyDescent="0.2">
      <c r="E94" s="2" t="s">
        <v>1003</v>
      </c>
      <c r="F94" s="2" t="s">
        <v>1004</v>
      </c>
      <c r="G94" s="2" t="s">
        <v>662</v>
      </c>
      <c r="H94" s="2"/>
      <c r="I94" s="2"/>
      <c r="J94" s="2"/>
      <c r="K94" s="3"/>
      <c r="L94" s="2"/>
      <c r="M94" s="3"/>
      <c r="N94" s="2"/>
      <c r="O94" s="2"/>
      <c r="P94" s="2"/>
      <c r="Q94" s="2"/>
      <c r="R94" s="2"/>
      <c r="S94" s="2"/>
      <c r="T94" s="2"/>
      <c r="U94" s="2"/>
      <c r="V94" s="2"/>
      <c r="W94" s="2"/>
      <c r="X94" s="2"/>
      <c r="Y94" s="2"/>
      <c r="AJ94" s="1"/>
      <c r="AK94" s="1"/>
      <c r="AL94" s="1"/>
      <c r="AM94" s="1"/>
      <c r="AN94" s="1"/>
      <c r="AO94" s="1"/>
      <c r="AP94" s="1"/>
      <c r="AQ94" s="1"/>
      <c r="AR94" s="1"/>
      <c r="AS94" s="1"/>
      <c r="AT94" s="1"/>
    </row>
    <row r="95" spans="1:46" ht="409.5" x14ac:dyDescent="0.2">
      <c r="A95" s="1" t="s">
        <v>713</v>
      </c>
      <c r="B95" s="1" t="s">
        <v>1005</v>
      </c>
      <c r="C95" s="1" t="s">
        <v>1006</v>
      </c>
      <c r="E95" s="2" t="s">
        <v>1007</v>
      </c>
      <c r="F95" s="2" t="s">
        <v>367</v>
      </c>
      <c r="G95" s="2" t="s">
        <v>368</v>
      </c>
      <c r="H95" s="2"/>
      <c r="I95" s="2"/>
      <c r="J95" s="2"/>
      <c r="K95" s="3"/>
      <c r="L95" s="2"/>
      <c r="M95" s="3"/>
      <c r="N95" s="2"/>
      <c r="O95" s="2"/>
      <c r="P95" s="2"/>
      <c r="Q95" s="2"/>
      <c r="R95" s="2"/>
      <c r="S95" s="2"/>
      <c r="T95" s="2"/>
      <c r="U95" s="2"/>
      <c r="V95" s="2"/>
      <c r="W95" s="2"/>
      <c r="X95" s="2"/>
      <c r="Y95" s="2"/>
      <c r="AC95" s="1" t="s">
        <v>1008</v>
      </c>
      <c r="AD95" s="1" t="s">
        <v>639</v>
      </c>
      <c r="AE95" s="1" t="s">
        <v>717</v>
      </c>
      <c r="AJ95" s="1"/>
      <c r="AK95" s="1"/>
      <c r="AL95" s="1"/>
      <c r="AM95" s="1"/>
      <c r="AN95" s="1"/>
      <c r="AO95" s="1"/>
      <c r="AP95" s="1"/>
      <c r="AQ95" s="1"/>
      <c r="AR95" s="1"/>
      <c r="AS95" s="1"/>
      <c r="AT95" s="1"/>
    </row>
    <row r="96" spans="1:46" ht="57" x14ac:dyDescent="0.2">
      <c r="A96" s="1" t="s">
        <v>713</v>
      </c>
      <c r="B96" s="1" t="s">
        <v>1009</v>
      </c>
      <c r="C96" s="1" t="s">
        <v>1006</v>
      </c>
      <c r="E96" s="2" t="s">
        <v>1010</v>
      </c>
      <c r="F96" s="2" t="s">
        <v>237</v>
      </c>
      <c r="G96" s="2" t="s">
        <v>371</v>
      </c>
      <c r="H96" s="2"/>
      <c r="I96" s="2"/>
      <c r="J96" s="2"/>
      <c r="K96" s="3"/>
      <c r="L96" s="2"/>
      <c r="M96" s="3"/>
      <c r="N96" s="2"/>
      <c r="O96" s="2"/>
      <c r="P96" s="2"/>
      <c r="Q96" s="2"/>
      <c r="R96" s="2"/>
      <c r="S96" s="2"/>
      <c r="T96" s="2"/>
      <c r="U96" s="2" t="s">
        <v>671</v>
      </c>
      <c r="V96" s="2"/>
      <c r="W96" s="2"/>
      <c r="X96" s="2"/>
      <c r="Y96" s="2"/>
      <c r="AC96" s="1" t="s">
        <v>1011</v>
      </c>
      <c r="AD96" s="1" t="s">
        <v>639</v>
      </c>
      <c r="AE96" s="1" t="s">
        <v>717</v>
      </c>
      <c r="AJ96" s="1"/>
      <c r="AK96" s="1"/>
      <c r="AL96" s="1"/>
      <c r="AM96" s="1"/>
      <c r="AN96" s="1"/>
      <c r="AO96" s="1"/>
      <c r="AP96" s="1"/>
      <c r="AQ96" s="1"/>
      <c r="AR96" s="1"/>
      <c r="AS96" s="1"/>
      <c r="AT96" s="1"/>
    </row>
    <row r="97" spans="1:46" ht="85.5" x14ac:dyDescent="0.2">
      <c r="A97" s="1" t="s">
        <v>713</v>
      </c>
      <c r="B97" s="1" t="s">
        <v>1012</v>
      </c>
      <c r="C97" s="1" t="s">
        <v>1006</v>
      </c>
      <c r="E97" s="2" t="s">
        <v>1013</v>
      </c>
      <c r="F97" s="2" t="s">
        <v>240</v>
      </c>
      <c r="G97" s="2" t="s">
        <v>372</v>
      </c>
      <c r="H97" s="2"/>
      <c r="I97" s="2"/>
      <c r="J97" s="2"/>
      <c r="K97" s="3"/>
      <c r="L97" s="2"/>
      <c r="M97" s="3"/>
      <c r="N97" s="2"/>
      <c r="O97" s="2"/>
      <c r="P97" s="2"/>
      <c r="Q97" s="2"/>
      <c r="R97" s="2"/>
      <c r="S97" s="2"/>
      <c r="T97" s="2"/>
      <c r="U97" s="2" t="s">
        <v>671</v>
      </c>
      <c r="V97" s="2"/>
      <c r="W97" s="2"/>
      <c r="X97" s="2"/>
      <c r="Y97" s="2"/>
      <c r="AC97" s="1" t="s">
        <v>1014</v>
      </c>
      <c r="AD97" s="1" t="s">
        <v>639</v>
      </c>
      <c r="AE97" s="1" t="s">
        <v>717</v>
      </c>
      <c r="AJ97" s="1"/>
      <c r="AK97" s="1"/>
      <c r="AL97" s="1"/>
      <c r="AM97" s="1"/>
      <c r="AN97" s="1"/>
      <c r="AO97" s="1"/>
      <c r="AP97" s="1"/>
      <c r="AQ97" s="1"/>
      <c r="AR97" s="1"/>
      <c r="AS97" s="1"/>
      <c r="AT97" s="1"/>
    </row>
    <row r="98" spans="1:46" ht="71.25" x14ac:dyDescent="0.2">
      <c r="A98" s="1" t="s">
        <v>713</v>
      </c>
      <c r="B98" s="1" t="s">
        <v>1015</v>
      </c>
      <c r="C98" s="1" t="s">
        <v>1006</v>
      </c>
      <c r="E98" s="2" t="s">
        <v>1016</v>
      </c>
      <c r="F98" s="2" t="s">
        <v>234</v>
      </c>
      <c r="G98" s="2" t="s">
        <v>1017</v>
      </c>
      <c r="H98" s="2"/>
      <c r="I98" s="2"/>
      <c r="J98" s="2"/>
      <c r="K98" s="3"/>
      <c r="L98" s="2"/>
      <c r="M98" s="3"/>
      <c r="N98" s="2"/>
      <c r="O98" s="2"/>
      <c r="P98" s="2"/>
      <c r="Q98" s="2"/>
      <c r="R98" s="2"/>
      <c r="S98" s="2"/>
      <c r="T98" s="2"/>
      <c r="U98" s="2" t="s">
        <v>671</v>
      </c>
      <c r="V98" s="2"/>
      <c r="W98" s="2"/>
      <c r="X98" s="2"/>
      <c r="Y98" s="2"/>
      <c r="AC98" s="1" t="s">
        <v>1018</v>
      </c>
      <c r="AD98" s="1" t="s">
        <v>639</v>
      </c>
      <c r="AE98" s="1" t="s">
        <v>717</v>
      </c>
      <c r="AJ98" s="1"/>
      <c r="AK98" s="1"/>
      <c r="AL98" s="1"/>
      <c r="AM98" s="1"/>
      <c r="AN98" s="1"/>
      <c r="AO98" s="1"/>
      <c r="AP98" s="1"/>
      <c r="AQ98" s="1"/>
      <c r="AR98" s="1"/>
      <c r="AS98" s="1"/>
      <c r="AT98" s="1"/>
    </row>
    <row r="99" spans="1:46" ht="114" x14ac:dyDescent="0.2">
      <c r="A99" s="1" t="s">
        <v>713</v>
      </c>
      <c r="B99" s="1" t="s">
        <v>1019</v>
      </c>
      <c r="C99" s="1" t="s">
        <v>1006</v>
      </c>
      <c r="E99" s="2" t="s">
        <v>1020</v>
      </c>
      <c r="F99" s="2" t="s">
        <v>231</v>
      </c>
      <c r="G99" s="2" t="s">
        <v>1021</v>
      </c>
      <c r="H99" s="2"/>
      <c r="I99" s="2"/>
      <c r="J99" s="2"/>
      <c r="K99" s="3"/>
      <c r="L99" s="2"/>
      <c r="M99" s="3"/>
      <c r="N99" s="2"/>
      <c r="O99" s="2"/>
      <c r="P99" s="2"/>
      <c r="Q99" s="2"/>
      <c r="R99" s="2"/>
      <c r="S99" s="2"/>
      <c r="T99" s="2"/>
      <c r="U99" s="2" t="s">
        <v>671</v>
      </c>
      <c r="V99" s="2"/>
      <c r="W99" s="2"/>
      <c r="X99" s="2"/>
      <c r="Y99" s="2"/>
      <c r="AC99" s="1" t="s">
        <v>1018</v>
      </c>
      <c r="AD99" s="1" t="s">
        <v>639</v>
      </c>
      <c r="AE99" s="1" t="s">
        <v>717</v>
      </c>
      <c r="AJ99" s="1"/>
      <c r="AK99" s="1"/>
      <c r="AL99" s="1"/>
      <c r="AM99" s="1"/>
      <c r="AN99" s="1"/>
      <c r="AO99" s="1"/>
      <c r="AP99" s="1"/>
      <c r="AQ99" s="1"/>
      <c r="AR99" s="1"/>
      <c r="AS99" s="1"/>
      <c r="AT99" s="1"/>
    </row>
    <row r="100" spans="1:46" ht="199.5" x14ac:dyDescent="0.2">
      <c r="A100" s="1" t="s">
        <v>713</v>
      </c>
      <c r="B100" s="1" t="s">
        <v>1022</v>
      </c>
      <c r="C100" s="1" t="s">
        <v>1006</v>
      </c>
      <c r="E100" s="2" t="s">
        <v>1023</v>
      </c>
      <c r="F100" s="2" t="s">
        <v>365</v>
      </c>
      <c r="G100" s="2" t="s">
        <v>366</v>
      </c>
      <c r="H100" s="2"/>
      <c r="I100" s="2"/>
      <c r="J100" s="2"/>
      <c r="K100" s="3"/>
      <c r="L100" s="2"/>
      <c r="M100" s="3"/>
      <c r="N100" s="2"/>
      <c r="O100" s="2"/>
      <c r="P100" s="2"/>
      <c r="Q100" s="2"/>
      <c r="R100" s="2"/>
      <c r="S100" s="2"/>
      <c r="T100" s="2"/>
      <c r="U100" s="2" t="s">
        <v>671</v>
      </c>
      <c r="V100" s="2"/>
      <c r="W100" s="2"/>
      <c r="X100" s="2"/>
      <c r="Y100" s="2"/>
      <c r="AC100" s="1" t="s">
        <v>1024</v>
      </c>
      <c r="AD100" s="1" t="s">
        <v>639</v>
      </c>
      <c r="AE100" s="1" t="s">
        <v>717</v>
      </c>
      <c r="AJ100" s="1"/>
      <c r="AK100" s="1"/>
      <c r="AL100" s="1"/>
      <c r="AM100" s="1"/>
      <c r="AN100" s="1"/>
      <c r="AO100" s="1"/>
      <c r="AP100" s="1"/>
      <c r="AQ100" s="1"/>
      <c r="AR100" s="1"/>
      <c r="AS100" s="1"/>
      <c r="AT100" s="1"/>
    </row>
    <row r="101" spans="1:46" ht="85.5" x14ac:dyDescent="0.2">
      <c r="A101" s="1" t="s">
        <v>713</v>
      </c>
      <c r="B101" s="1" t="s">
        <v>1025</v>
      </c>
      <c r="C101" s="1" t="s">
        <v>1006</v>
      </c>
      <c r="E101" s="2" t="s">
        <v>1026</v>
      </c>
      <c r="F101" s="2" t="s">
        <v>369</v>
      </c>
      <c r="G101" s="2" t="s">
        <v>370</v>
      </c>
      <c r="H101" s="2"/>
      <c r="I101" s="2"/>
      <c r="J101" s="2"/>
      <c r="K101" s="3"/>
      <c r="L101" s="2"/>
      <c r="M101" s="3"/>
      <c r="N101" s="2"/>
      <c r="O101" s="2"/>
      <c r="P101" s="2"/>
      <c r="Q101" s="2"/>
      <c r="R101" s="2"/>
      <c r="S101" s="2"/>
      <c r="T101" s="2"/>
      <c r="U101" s="2" t="s">
        <v>671</v>
      </c>
      <c r="V101" s="2"/>
      <c r="W101" s="2"/>
      <c r="X101" s="2"/>
      <c r="Y101" s="2"/>
      <c r="AD101" s="1" t="s">
        <v>639</v>
      </c>
      <c r="AE101" s="1" t="s">
        <v>717</v>
      </c>
      <c r="AJ101" s="1"/>
      <c r="AK101" s="1"/>
      <c r="AL101" s="1"/>
      <c r="AM101" s="1"/>
      <c r="AN101" s="1"/>
      <c r="AO101" s="1"/>
      <c r="AP101" s="1"/>
      <c r="AQ101" s="1"/>
      <c r="AR101" s="1"/>
      <c r="AS101" s="1"/>
      <c r="AT101" s="1"/>
    </row>
    <row r="102" spans="1:46" ht="57" x14ac:dyDescent="0.2">
      <c r="A102" s="1" t="s">
        <v>713</v>
      </c>
      <c r="B102" s="1" t="s">
        <v>1027</v>
      </c>
      <c r="C102" s="1" t="s">
        <v>1006</v>
      </c>
      <c r="E102" s="2" t="s">
        <v>1028</v>
      </c>
      <c r="F102" s="2" t="s">
        <v>379</v>
      </c>
      <c r="G102" s="2" t="s">
        <v>380</v>
      </c>
      <c r="H102" s="2"/>
      <c r="I102" s="2"/>
      <c r="J102" s="2"/>
      <c r="K102" s="3"/>
      <c r="L102" s="2"/>
      <c r="M102" s="3"/>
      <c r="N102" s="2"/>
      <c r="O102" s="2"/>
      <c r="P102" s="2"/>
      <c r="Q102" s="2"/>
      <c r="R102" s="2"/>
      <c r="S102" s="2"/>
      <c r="T102" s="2"/>
      <c r="U102" s="2" t="s">
        <v>671</v>
      </c>
      <c r="V102" s="2"/>
      <c r="W102" s="2"/>
      <c r="X102" s="2"/>
      <c r="Y102" s="2"/>
      <c r="AD102" s="1" t="s">
        <v>639</v>
      </c>
      <c r="AE102" s="1" t="s">
        <v>717</v>
      </c>
      <c r="AJ102" s="1"/>
      <c r="AK102" s="1"/>
      <c r="AL102" s="1"/>
      <c r="AM102" s="1"/>
      <c r="AN102" s="1"/>
      <c r="AO102" s="1"/>
      <c r="AP102" s="1"/>
      <c r="AQ102" s="1"/>
      <c r="AR102" s="1"/>
      <c r="AS102" s="1"/>
      <c r="AT102" s="1"/>
    </row>
    <row r="103" spans="1:46" ht="85.5" x14ac:dyDescent="0.2">
      <c r="A103" s="1" t="s">
        <v>713</v>
      </c>
      <c r="B103" s="1" t="s">
        <v>1029</v>
      </c>
      <c r="C103" s="1" t="s">
        <v>1006</v>
      </c>
      <c r="E103" s="2" t="s">
        <v>1030</v>
      </c>
      <c r="F103" s="2" t="s">
        <v>170</v>
      </c>
      <c r="G103" s="2" t="s">
        <v>228</v>
      </c>
      <c r="H103" s="2"/>
      <c r="I103" s="2"/>
      <c r="J103" s="2"/>
      <c r="K103" s="3"/>
      <c r="L103" s="2"/>
      <c r="M103" s="3"/>
      <c r="N103" s="2"/>
      <c r="O103" s="2"/>
      <c r="P103" s="2"/>
      <c r="Q103" s="2" t="s">
        <v>671</v>
      </c>
      <c r="R103" s="2"/>
      <c r="S103" s="2"/>
      <c r="T103" s="2"/>
      <c r="U103" s="2"/>
      <c r="V103" s="2"/>
      <c r="W103" s="2"/>
      <c r="X103" s="2"/>
      <c r="Y103" s="2"/>
      <c r="AE103" s="1" t="s">
        <v>717</v>
      </c>
      <c r="AF103" s="1" t="s">
        <v>1031</v>
      </c>
      <c r="AJ103" s="1"/>
      <c r="AK103" s="1"/>
      <c r="AL103" s="1"/>
      <c r="AM103" s="1"/>
      <c r="AN103" s="1"/>
      <c r="AO103" s="1"/>
      <c r="AP103" s="1"/>
      <c r="AQ103" s="1"/>
      <c r="AR103" s="1"/>
      <c r="AS103" s="1"/>
      <c r="AT103" s="1"/>
    </row>
    <row r="104" spans="1:46" ht="128.25" x14ac:dyDescent="0.2">
      <c r="A104" s="1" t="s">
        <v>1032</v>
      </c>
      <c r="B104" s="1" t="s">
        <v>1033</v>
      </c>
      <c r="C104" s="1" t="s">
        <v>1006</v>
      </c>
      <c r="E104" s="2" t="s">
        <v>1034</v>
      </c>
      <c r="F104" s="2" t="s">
        <v>375</v>
      </c>
      <c r="G104" s="2" t="s">
        <v>376</v>
      </c>
      <c r="H104" s="2"/>
      <c r="I104" s="2"/>
      <c r="J104" s="2"/>
      <c r="K104" s="3"/>
      <c r="L104" s="2"/>
      <c r="M104" s="3"/>
      <c r="N104" s="2"/>
      <c r="O104" s="2"/>
      <c r="P104" s="2"/>
      <c r="Q104" s="2" t="s">
        <v>671</v>
      </c>
      <c r="R104" s="2"/>
      <c r="S104" s="2"/>
      <c r="T104" s="2"/>
      <c r="U104" s="2"/>
      <c r="V104" s="2"/>
      <c r="W104" s="2"/>
      <c r="X104" s="2"/>
      <c r="Y104" s="2"/>
      <c r="AC104" s="1" t="s">
        <v>1035</v>
      </c>
      <c r="AD104" s="1" t="s">
        <v>639</v>
      </c>
      <c r="AE104" s="1" t="s">
        <v>1036</v>
      </c>
      <c r="AF104" s="1" t="s">
        <v>1031</v>
      </c>
      <c r="AJ104" s="1"/>
      <c r="AK104" s="1"/>
      <c r="AL104" s="1"/>
      <c r="AM104" s="1"/>
      <c r="AN104" s="1"/>
      <c r="AO104" s="1"/>
      <c r="AP104" s="1"/>
      <c r="AQ104" s="1"/>
      <c r="AR104" s="1"/>
      <c r="AS104" s="1"/>
      <c r="AT104" s="1"/>
    </row>
    <row r="105" spans="1:46" ht="228" x14ac:dyDescent="0.2">
      <c r="A105" s="1" t="s">
        <v>1037</v>
      </c>
      <c r="B105" s="1" t="s">
        <v>1038</v>
      </c>
      <c r="C105" s="1" t="s">
        <v>1006</v>
      </c>
      <c r="E105" s="2" t="s">
        <v>1039</v>
      </c>
      <c r="F105" s="2" t="s">
        <v>224</v>
      </c>
      <c r="G105" s="2" t="s">
        <v>363</v>
      </c>
      <c r="H105" s="2"/>
      <c r="I105" s="2"/>
      <c r="J105" s="2"/>
      <c r="K105" s="3"/>
      <c r="L105" s="2"/>
      <c r="M105" s="3"/>
      <c r="N105" s="2"/>
      <c r="O105" s="2"/>
      <c r="P105" s="2"/>
      <c r="Q105" s="2"/>
      <c r="R105" s="2" t="s">
        <v>671</v>
      </c>
      <c r="S105" s="2"/>
      <c r="T105" s="2"/>
      <c r="U105" s="2"/>
      <c r="V105" s="2"/>
      <c r="W105" s="2"/>
      <c r="X105" s="2"/>
      <c r="Y105" s="2"/>
      <c r="AC105" s="1" t="s">
        <v>1040</v>
      </c>
      <c r="AD105" s="1" t="s">
        <v>639</v>
      </c>
      <c r="AE105" s="1" t="s">
        <v>1041</v>
      </c>
      <c r="AF105" s="1" t="s">
        <v>1042</v>
      </c>
      <c r="AJ105" s="1"/>
      <c r="AK105" s="1"/>
      <c r="AL105" s="1"/>
      <c r="AM105" s="1"/>
      <c r="AN105" s="1"/>
      <c r="AO105" s="1"/>
      <c r="AP105" s="1"/>
      <c r="AQ105" s="1"/>
      <c r="AR105" s="1"/>
      <c r="AS105" s="1"/>
      <c r="AT105" s="1"/>
    </row>
    <row r="106" spans="1:46" ht="199.5" x14ac:dyDescent="0.2">
      <c r="A106" s="1" t="s">
        <v>1043</v>
      </c>
      <c r="B106" s="1" t="s">
        <v>1044</v>
      </c>
      <c r="C106" s="1" t="s">
        <v>1006</v>
      </c>
      <c r="E106" s="2" t="s">
        <v>1045</v>
      </c>
      <c r="F106" s="2" t="s">
        <v>226</v>
      </c>
      <c r="G106" s="2" t="s">
        <v>364</v>
      </c>
      <c r="H106" s="2"/>
      <c r="I106" s="2"/>
      <c r="J106" s="2"/>
      <c r="K106" s="3"/>
      <c r="L106" s="2"/>
      <c r="M106" s="3"/>
      <c r="N106" s="2"/>
      <c r="O106" s="2"/>
      <c r="P106" s="2"/>
      <c r="Q106" s="2"/>
      <c r="R106" s="2" t="s">
        <v>671</v>
      </c>
      <c r="S106" s="2"/>
      <c r="T106" s="2"/>
      <c r="U106" s="2"/>
      <c r="V106" s="2"/>
      <c r="W106" s="2"/>
      <c r="X106" s="2"/>
      <c r="Y106" s="2"/>
      <c r="AE106" s="1" t="s">
        <v>1046</v>
      </c>
      <c r="AJ106" s="1"/>
      <c r="AK106" s="1"/>
      <c r="AL106" s="1"/>
      <c r="AM106" s="1"/>
      <c r="AN106" s="1"/>
      <c r="AO106" s="1"/>
      <c r="AP106" s="1"/>
      <c r="AQ106" s="1"/>
      <c r="AR106" s="1"/>
      <c r="AS106" s="1"/>
      <c r="AT106" s="1"/>
    </row>
    <row r="107" spans="1:46" ht="242.25" x14ac:dyDescent="0.2">
      <c r="A107" s="1" t="s">
        <v>1047</v>
      </c>
      <c r="B107" s="1" t="s">
        <v>1048</v>
      </c>
      <c r="C107" s="1" t="s">
        <v>1006</v>
      </c>
      <c r="E107" s="2" t="s">
        <v>1049</v>
      </c>
      <c r="F107" s="2" t="s">
        <v>373</v>
      </c>
      <c r="G107" s="2" t="s">
        <v>1050</v>
      </c>
      <c r="H107" s="2"/>
      <c r="I107" s="2"/>
      <c r="J107" s="2"/>
      <c r="K107" s="3"/>
      <c r="L107" s="2"/>
      <c r="M107" s="3"/>
      <c r="N107" s="2"/>
      <c r="O107" s="2"/>
      <c r="P107" s="2"/>
      <c r="Q107" s="2"/>
      <c r="R107" s="2"/>
      <c r="S107" s="2"/>
      <c r="T107" s="2"/>
      <c r="U107" s="2"/>
      <c r="V107" s="2"/>
      <c r="W107" s="2"/>
      <c r="X107" s="2"/>
      <c r="Y107" s="2"/>
      <c r="AC107" s="1" t="s">
        <v>1051</v>
      </c>
      <c r="AD107" s="1" t="s">
        <v>639</v>
      </c>
      <c r="AE107" s="1" t="s">
        <v>1052</v>
      </c>
      <c r="AF107" s="1" t="s">
        <v>1053</v>
      </c>
      <c r="AJ107" s="1"/>
      <c r="AK107" s="1"/>
      <c r="AL107" s="1"/>
      <c r="AM107" s="1"/>
      <c r="AN107" s="1"/>
      <c r="AO107" s="1"/>
      <c r="AP107" s="1"/>
      <c r="AQ107" s="1"/>
      <c r="AR107" s="1"/>
      <c r="AS107" s="1"/>
      <c r="AT107" s="1"/>
    </row>
    <row r="108" spans="1:46" x14ac:dyDescent="0.2">
      <c r="E108" s="2" t="s">
        <v>1054</v>
      </c>
      <c r="F108" s="2" t="s">
        <v>1055</v>
      </c>
      <c r="G108" s="2" t="s">
        <v>662</v>
      </c>
      <c r="H108" s="2"/>
      <c r="I108" s="2"/>
      <c r="J108" s="2"/>
      <c r="K108" s="3"/>
      <c r="L108" s="2"/>
      <c r="M108" s="3"/>
      <c r="N108" s="2"/>
      <c r="O108" s="2"/>
      <c r="P108" s="2"/>
      <c r="Q108" s="2"/>
      <c r="R108" s="2"/>
      <c r="S108" s="2"/>
      <c r="T108" s="2"/>
      <c r="U108" s="2"/>
      <c r="V108" s="2"/>
      <c r="W108" s="2"/>
      <c r="X108" s="2"/>
      <c r="Y108" s="2"/>
      <c r="AJ108" s="1"/>
      <c r="AK108" s="1"/>
      <c r="AL108" s="1"/>
      <c r="AM108" s="1"/>
      <c r="AN108" s="1"/>
      <c r="AO108" s="1"/>
      <c r="AP108" s="1"/>
      <c r="AQ108" s="1"/>
      <c r="AR108" s="1"/>
      <c r="AS108" s="1"/>
      <c r="AT108" s="1"/>
    </row>
    <row r="109" spans="1:46" ht="213.75" x14ac:dyDescent="0.2">
      <c r="A109" s="1" t="s">
        <v>1056</v>
      </c>
      <c r="B109" s="1" t="s">
        <v>1057</v>
      </c>
      <c r="C109" s="1" t="s">
        <v>1006</v>
      </c>
      <c r="E109" s="2" t="s">
        <v>1058</v>
      </c>
      <c r="F109" s="2" t="s">
        <v>1059</v>
      </c>
      <c r="G109" s="2" t="s">
        <v>314</v>
      </c>
      <c r="H109" s="2"/>
      <c r="I109" s="2"/>
      <c r="J109" s="2"/>
      <c r="K109" s="3"/>
      <c r="L109" s="2"/>
      <c r="M109" s="3"/>
      <c r="N109" s="2"/>
      <c r="O109" s="2"/>
      <c r="P109" s="2"/>
      <c r="Q109" s="2"/>
      <c r="R109" s="2"/>
      <c r="S109" s="2" t="s">
        <v>671</v>
      </c>
      <c r="T109" s="2"/>
      <c r="U109" s="2"/>
      <c r="V109" s="2"/>
      <c r="W109" s="2"/>
      <c r="X109" s="2"/>
      <c r="Y109" s="2"/>
      <c r="AD109" s="1" t="s">
        <v>639</v>
      </c>
      <c r="AE109" s="1" t="s">
        <v>1060</v>
      </c>
      <c r="AF109" s="1" t="s">
        <v>1061</v>
      </c>
      <c r="AJ109" s="1"/>
      <c r="AK109" s="1"/>
      <c r="AL109" s="1"/>
      <c r="AM109" s="1"/>
      <c r="AN109" s="1"/>
      <c r="AO109" s="1"/>
      <c r="AP109" s="1"/>
      <c r="AQ109" s="1"/>
      <c r="AR109" s="1"/>
      <c r="AS109" s="1"/>
      <c r="AT109" s="1"/>
    </row>
    <row r="110" spans="1:46" x14ac:dyDescent="0.2">
      <c r="B110" s="1" t="s">
        <v>1062</v>
      </c>
      <c r="C110" s="1" t="s">
        <v>1006</v>
      </c>
      <c r="E110" s="2" t="s">
        <v>1063</v>
      </c>
      <c r="F110" s="2" t="s">
        <v>107</v>
      </c>
      <c r="G110" s="2" t="s">
        <v>1064</v>
      </c>
      <c r="H110" s="2"/>
      <c r="I110" s="2"/>
      <c r="J110" s="2"/>
      <c r="K110" s="3"/>
      <c r="L110" s="2"/>
      <c r="M110" s="3"/>
      <c r="N110" s="2"/>
      <c r="O110" s="2"/>
      <c r="P110" s="2"/>
      <c r="Q110" s="2"/>
      <c r="R110" s="2"/>
      <c r="S110" s="2" t="s">
        <v>671</v>
      </c>
      <c r="T110" s="2"/>
      <c r="U110" s="2"/>
      <c r="V110" s="2"/>
      <c r="W110" s="2"/>
      <c r="X110" s="2"/>
      <c r="Y110" s="2"/>
      <c r="AD110" s="1" t="s">
        <v>639</v>
      </c>
      <c r="AE110" s="1" t="s">
        <v>647</v>
      </c>
      <c r="AF110" s="1" t="s">
        <v>1065</v>
      </c>
      <c r="AJ110" s="1"/>
      <c r="AK110" s="1"/>
      <c r="AL110" s="1"/>
      <c r="AM110" s="1"/>
      <c r="AN110" s="1"/>
      <c r="AO110" s="1"/>
      <c r="AP110" s="1"/>
      <c r="AQ110" s="1"/>
      <c r="AR110" s="1"/>
      <c r="AS110" s="1"/>
      <c r="AT110" s="1"/>
    </row>
    <row r="111" spans="1:46" ht="28.5" x14ac:dyDescent="0.2">
      <c r="C111" s="1" t="s">
        <v>1006</v>
      </c>
      <c r="E111" s="2" t="s">
        <v>1066</v>
      </c>
      <c r="F111" s="2" t="s">
        <v>388</v>
      </c>
      <c r="G111" s="2" t="s">
        <v>1067</v>
      </c>
      <c r="H111" s="2"/>
      <c r="I111" s="2"/>
      <c r="J111" s="2"/>
      <c r="K111" s="3"/>
      <c r="L111" s="2"/>
      <c r="M111" s="3"/>
      <c r="N111" s="2"/>
      <c r="O111" s="2"/>
      <c r="P111" s="2"/>
      <c r="Q111" s="2"/>
      <c r="R111" s="2"/>
      <c r="S111" s="2"/>
      <c r="T111" s="2"/>
      <c r="U111" s="2"/>
      <c r="V111" s="2"/>
      <c r="W111" s="2"/>
      <c r="X111" s="2"/>
      <c r="Y111" s="2"/>
      <c r="AD111" s="1" t="s">
        <v>639</v>
      </c>
      <c r="AF111" s="1" t="s">
        <v>1068</v>
      </c>
      <c r="AJ111" s="1"/>
      <c r="AK111" s="1"/>
      <c r="AL111" s="1"/>
      <c r="AM111" s="1"/>
      <c r="AN111" s="1"/>
      <c r="AO111" s="1"/>
      <c r="AP111" s="1"/>
      <c r="AQ111" s="1"/>
      <c r="AR111" s="1"/>
      <c r="AS111" s="1"/>
      <c r="AT111" s="1"/>
    </row>
    <row r="112" spans="1:46" ht="42.75" x14ac:dyDescent="0.2">
      <c r="A112" s="1" t="s">
        <v>1069</v>
      </c>
      <c r="B112" s="1" t="s">
        <v>1070</v>
      </c>
      <c r="C112" s="1" t="s">
        <v>1006</v>
      </c>
      <c r="E112" s="2" t="s">
        <v>1071</v>
      </c>
      <c r="F112" s="2" t="s">
        <v>137</v>
      </c>
      <c r="G112" s="2" t="s">
        <v>1072</v>
      </c>
      <c r="H112" s="2"/>
      <c r="I112" s="2"/>
      <c r="J112" s="2"/>
      <c r="K112" s="3"/>
      <c r="L112" s="2"/>
      <c r="M112" s="3"/>
      <c r="N112" s="2"/>
      <c r="O112" s="2"/>
      <c r="P112" s="2"/>
      <c r="Q112" s="2"/>
      <c r="R112" s="2"/>
      <c r="S112" s="2"/>
      <c r="T112" s="2"/>
      <c r="U112" s="2"/>
      <c r="V112" s="2"/>
      <c r="W112" s="2"/>
      <c r="X112" s="2" t="s">
        <v>671</v>
      </c>
      <c r="Y112" s="2"/>
      <c r="AD112" s="1" t="s">
        <v>639</v>
      </c>
      <c r="AE112" s="1" t="s">
        <v>1073</v>
      </c>
      <c r="AF112" s="1" t="s">
        <v>1074</v>
      </c>
      <c r="AJ112" s="1"/>
      <c r="AK112" s="1"/>
      <c r="AL112" s="1"/>
      <c r="AM112" s="1"/>
      <c r="AN112" s="1"/>
      <c r="AO112" s="1"/>
      <c r="AP112" s="1"/>
      <c r="AQ112" s="1"/>
      <c r="AR112" s="1"/>
      <c r="AS112" s="1"/>
      <c r="AT112" s="1"/>
    </row>
    <row r="113" spans="1:46" ht="128.25" x14ac:dyDescent="0.2">
      <c r="A113" s="1" t="s">
        <v>1075</v>
      </c>
      <c r="B113" s="1" t="s">
        <v>1076</v>
      </c>
      <c r="C113" s="1" t="s">
        <v>1006</v>
      </c>
      <c r="E113" s="2" t="s">
        <v>1077</v>
      </c>
      <c r="F113" s="2" t="s">
        <v>423</v>
      </c>
      <c r="G113" s="2" t="s">
        <v>1078</v>
      </c>
      <c r="H113" s="2"/>
      <c r="I113" s="2"/>
      <c r="J113" s="2"/>
      <c r="K113" s="3"/>
      <c r="L113" s="2"/>
      <c r="M113" s="3"/>
      <c r="N113" s="2"/>
      <c r="O113" s="2"/>
      <c r="P113" s="2"/>
      <c r="Q113" s="2"/>
      <c r="R113" s="2"/>
      <c r="S113" s="2"/>
      <c r="T113" s="2"/>
      <c r="U113" s="2"/>
      <c r="V113" s="2"/>
      <c r="W113" s="2"/>
      <c r="X113" s="2"/>
      <c r="Y113" s="2"/>
      <c r="AC113" s="1" t="s">
        <v>1079</v>
      </c>
      <c r="AD113" s="1" t="s">
        <v>639</v>
      </c>
      <c r="AE113" s="1" t="s">
        <v>1080</v>
      </c>
      <c r="AF113" s="1" t="s">
        <v>1081</v>
      </c>
      <c r="AJ113" s="1"/>
      <c r="AK113" s="1"/>
      <c r="AL113" s="1"/>
      <c r="AM113" s="1"/>
      <c r="AN113" s="1"/>
      <c r="AO113" s="1"/>
      <c r="AP113" s="1"/>
      <c r="AQ113" s="1"/>
      <c r="AR113" s="1"/>
      <c r="AS113" s="1"/>
      <c r="AT113" s="1"/>
    </row>
    <row r="114" spans="1:46" ht="71.25" x14ac:dyDescent="0.2">
      <c r="A114" s="1" t="s">
        <v>1082</v>
      </c>
      <c r="B114" s="1" t="s">
        <v>1083</v>
      </c>
      <c r="C114" s="1" t="s">
        <v>1084</v>
      </c>
      <c r="E114" s="2" t="s">
        <v>1085</v>
      </c>
      <c r="F114" s="2" t="s">
        <v>117</v>
      </c>
      <c r="G114" s="2" t="s">
        <v>299</v>
      </c>
      <c r="H114" s="2"/>
      <c r="I114" s="2"/>
      <c r="J114" s="2"/>
      <c r="K114" s="3"/>
      <c r="L114" s="2"/>
      <c r="M114" s="3"/>
      <c r="N114" s="2"/>
      <c r="O114" s="2"/>
      <c r="P114" s="2"/>
      <c r="Q114" s="2"/>
      <c r="R114" s="2"/>
      <c r="S114" s="2"/>
      <c r="T114" s="2"/>
      <c r="U114" s="2"/>
      <c r="V114" s="2"/>
      <c r="W114" s="2"/>
      <c r="X114" s="2"/>
      <c r="Y114" s="2" t="s">
        <v>671</v>
      </c>
      <c r="AC114" s="1" t="s">
        <v>1086</v>
      </c>
      <c r="AD114" s="1" t="s">
        <v>639</v>
      </c>
      <c r="AE114" s="1" t="s">
        <v>1087</v>
      </c>
      <c r="AF114" s="1" t="s">
        <v>1088</v>
      </c>
      <c r="AJ114" s="1"/>
      <c r="AK114" s="1"/>
      <c r="AL114" s="1"/>
      <c r="AM114" s="1"/>
      <c r="AN114" s="1"/>
      <c r="AO114" s="1"/>
      <c r="AP114" s="1"/>
      <c r="AQ114" s="1"/>
      <c r="AR114" s="1"/>
      <c r="AS114" s="1"/>
      <c r="AT114" s="1"/>
    </row>
    <row r="115" spans="1:46" ht="71.25" x14ac:dyDescent="0.2">
      <c r="A115" s="1" t="s">
        <v>1082</v>
      </c>
      <c r="B115" s="1" t="s">
        <v>1089</v>
      </c>
      <c r="C115" s="1" t="s">
        <v>1084</v>
      </c>
      <c r="E115" s="2" t="s">
        <v>1090</v>
      </c>
      <c r="F115" s="2" t="s">
        <v>119</v>
      </c>
      <c r="G115" s="2" t="s">
        <v>1091</v>
      </c>
      <c r="H115" s="2"/>
      <c r="I115" s="2"/>
      <c r="J115" s="2"/>
      <c r="K115" s="3"/>
      <c r="L115" s="2"/>
      <c r="M115" s="3"/>
      <c r="N115" s="2"/>
      <c r="O115" s="2"/>
      <c r="P115" s="2"/>
      <c r="Q115" s="2"/>
      <c r="R115" s="2"/>
      <c r="S115" s="2"/>
      <c r="T115" s="2"/>
      <c r="U115" s="2"/>
      <c r="V115" s="2"/>
      <c r="W115" s="2"/>
      <c r="X115" s="2"/>
      <c r="Y115" s="2" t="s">
        <v>671</v>
      </c>
      <c r="AC115" s="1" t="s">
        <v>1092</v>
      </c>
      <c r="AD115" s="1" t="s">
        <v>639</v>
      </c>
      <c r="AE115" s="1" t="s">
        <v>1087</v>
      </c>
      <c r="AF115" s="1" t="s">
        <v>1088</v>
      </c>
      <c r="AJ115" s="1"/>
      <c r="AK115" s="1"/>
      <c r="AL115" s="1"/>
      <c r="AM115" s="1"/>
      <c r="AN115" s="1"/>
      <c r="AO115" s="1"/>
      <c r="AP115" s="1"/>
      <c r="AQ115" s="1"/>
      <c r="AR115" s="1"/>
      <c r="AS115" s="1"/>
      <c r="AT115" s="1"/>
    </row>
    <row r="116" spans="1:46" ht="71.25" x14ac:dyDescent="0.2">
      <c r="A116" s="1" t="s">
        <v>1082</v>
      </c>
      <c r="B116" s="1" t="s">
        <v>1093</v>
      </c>
      <c r="C116" s="1" t="s">
        <v>1084</v>
      </c>
      <c r="E116" s="2" t="s">
        <v>1094</v>
      </c>
      <c r="F116" s="2" t="s">
        <v>115</v>
      </c>
      <c r="G116" s="2" t="s">
        <v>327</v>
      </c>
      <c r="H116" s="2"/>
      <c r="I116" s="2"/>
      <c r="J116" s="2"/>
      <c r="K116" s="3"/>
      <c r="L116" s="2"/>
      <c r="M116" s="3"/>
      <c r="N116" s="2"/>
      <c r="O116" s="2"/>
      <c r="P116" s="2"/>
      <c r="Q116" s="2"/>
      <c r="R116" s="2"/>
      <c r="S116" s="2"/>
      <c r="T116" s="2"/>
      <c r="U116" s="2"/>
      <c r="V116" s="2"/>
      <c r="W116" s="2" t="s">
        <v>671</v>
      </c>
      <c r="X116" s="2"/>
      <c r="Y116" s="2"/>
      <c r="AC116" s="1" t="s">
        <v>1095</v>
      </c>
      <c r="AD116" s="1" t="s">
        <v>639</v>
      </c>
      <c r="AE116" s="1" t="s">
        <v>1087</v>
      </c>
      <c r="AF116" s="1" t="s">
        <v>1088</v>
      </c>
      <c r="AJ116" s="1"/>
      <c r="AK116" s="1"/>
      <c r="AL116" s="1"/>
      <c r="AM116" s="1"/>
      <c r="AN116" s="1"/>
      <c r="AO116" s="1"/>
      <c r="AP116" s="1"/>
      <c r="AQ116" s="1"/>
      <c r="AR116" s="1"/>
      <c r="AS116" s="1"/>
      <c r="AT116" s="1"/>
    </row>
    <row r="117" spans="1:46" ht="71.25" x14ac:dyDescent="0.2">
      <c r="A117" s="1" t="s">
        <v>1082</v>
      </c>
      <c r="B117" s="1" t="s">
        <v>1096</v>
      </c>
      <c r="C117" s="1" t="s">
        <v>1084</v>
      </c>
      <c r="E117" s="2" t="s">
        <v>1097</v>
      </c>
      <c r="F117" s="2" t="s">
        <v>113</v>
      </c>
      <c r="G117" s="2" t="s">
        <v>1098</v>
      </c>
      <c r="H117" s="2"/>
      <c r="I117" s="2"/>
      <c r="J117" s="2"/>
      <c r="K117" s="3"/>
      <c r="L117" s="2"/>
      <c r="M117" s="3"/>
      <c r="N117" s="2"/>
      <c r="O117" s="2"/>
      <c r="P117" s="2"/>
      <c r="Q117" s="2"/>
      <c r="R117" s="2"/>
      <c r="S117" s="2"/>
      <c r="T117" s="2"/>
      <c r="U117" s="2"/>
      <c r="V117" s="2"/>
      <c r="W117" s="2" t="s">
        <v>671</v>
      </c>
      <c r="X117" s="2"/>
      <c r="Y117" s="2"/>
      <c r="AC117" s="1" t="s">
        <v>1006</v>
      </c>
      <c r="AD117" s="1" t="s">
        <v>639</v>
      </c>
      <c r="AE117" s="1" t="s">
        <v>1087</v>
      </c>
      <c r="AF117" s="1" t="s">
        <v>1088</v>
      </c>
      <c r="AJ117" s="1"/>
      <c r="AK117" s="1"/>
      <c r="AL117" s="1"/>
      <c r="AM117" s="1"/>
      <c r="AN117" s="1"/>
      <c r="AO117" s="1"/>
      <c r="AP117" s="1"/>
      <c r="AQ117" s="1"/>
      <c r="AR117" s="1"/>
      <c r="AS117" s="1"/>
      <c r="AT117" s="1"/>
    </row>
    <row r="118" spans="1:46" ht="28.5" x14ac:dyDescent="0.2">
      <c r="E118" s="2" t="s">
        <v>1099</v>
      </c>
      <c r="F118" s="2" t="s">
        <v>1100</v>
      </c>
      <c r="G118" s="2" t="s">
        <v>662</v>
      </c>
      <c r="H118" s="2"/>
      <c r="I118" s="2"/>
      <c r="J118" s="2"/>
      <c r="K118" s="3"/>
      <c r="L118" s="2"/>
      <c r="M118" s="3"/>
      <c r="N118" s="2"/>
      <c r="O118" s="2"/>
      <c r="P118" s="2"/>
      <c r="Q118" s="2"/>
      <c r="R118" s="2"/>
      <c r="S118" s="2"/>
      <c r="T118" s="2"/>
      <c r="U118" s="2"/>
      <c r="V118" s="2"/>
      <c r="W118" s="2"/>
      <c r="X118" s="2"/>
      <c r="Y118" s="2"/>
      <c r="AF118" s="1" t="s">
        <v>1101</v>
      </c>
      <c r="AJ118" s="1"/>
      <c r="AK118" s="1"/>
      <c r="AL118" s="1"/>
      <c r="AM118" s="1"/>
      <c r="AN118" s="1"/>
      <c r="AO118" s="1"/>
      <c r="AP118" s="1"/>
      <c r="AQ118" s="1"/>
      <c r="AR118" s="1"/>
      <c r="AS118" s="1"/>
      <c r="AT118" s="1"/>
    </row>
    <row r="119" spans="1:46" ht="28.5" x14ac:dyDescent="0.2">
      <c r="B119" s="1" t="s">
        <v>1102</v>
      </c>
      <c r="E119" s="2" t="s">
        <v>1103</v>
      </c>
      <c r="F119" s="2" t="s">
        <v>312</v>
      </c>
      <c r="G119" s="2" t="s">
        <v>1104</v>
      </c>
      <c r="H119" s="2"/>
      <c r="I119" s="2"/>
      <c r="J119" s="2"/>
      <c r="K119" s="3"/>
      <c r="L119" s="2"/>
      <c r="M119" s="3"/>
      <c r="N119" s="2"/>
      <c r="O119" s="2"/>
      <c r="P119" s="2"/>
      <c r="Q119" s="2"/>
      <c r="R119" s="2"/>
      <c r="S119" s="2"/>
      <c r="T119" s="2"/>
      <c r="U119" s="2"/>
      <c r="V119" s="2"/>
      <c r="W119" s="2"/>
      <c r="X119" s="2"/>
      <c r="Y119" s="2"/>
      <c r="AD119" s="1" t="s">
        <v>639</v>
      </c>
      <c r="AE119" s="1" t="s">
        <v>647</v>
      </c>
      <c r="AF119" s="1" t="s">
        <v>1105</v>
      </c>
      <c r="AJ119" s="1"/>
      <c r="AK119" s="1"/>
      <c r="AL119" s="1"/>
      <c r="AM119" s="1"/>
      <c r="AN119" s="1"/>
      <c r="AO119" s="1"/>
      <c r="AP119" s="1"/>
      <c r="AQ119" s="1"/>
      <c r="AR119" s="1"/>
      <c r="AS119" s="1"/>
      <c r="AT119" s="1"/>
    </row>
    <row r="120" spans="1:46" ht="57" x14ac:dyDescent="0.2">
      <c r="A120" s="1" t="s">
        <v>1106</v>
      </c>
      <c r="B120" s="1" t="s">
        <v>1102</v>
      </c>
      <c r="E120" s="2" t="s">
        <v>1107</v>
      </c>
      <c r="F120" s="2" t="s">
        <v>249</v>
      </c>
      <c r="G120" s="2" t="s">
        <v>501</v>
      </c>
      <c r="H120" s="2"/>
      <c r="I120" s="2"/>
      <c r="J120" s="2"/>
      <c r="K120" s="3"/>
      <c r="L120" s="2"/>
      <c r="M120" s="3"/>
      <c r="N120" s="2"/>
      <c r="O120" s="2"/>
      <c r="P120" s="2"/>
      <c r="Q120" s="2"/>
      <c r="R120" s="2"/>
      <c r="S120" s="2"/>
      <c r="T120" s="2"/>
      <c r="U120" s="2"/>
      <c r="V120" s="2" t="s">
        <v>671</v>
      </c>
      <c r="W120" s="2"/>
      <c r="X120" s="2"/>
      <c r="Y120" s="2"/>
      <c r="AD120" s="1" t="s">
        <v>639</v>
      </c>
      <c r="AE120" s="1" t="s">
        <v>1108</v>
      </c>
      <c r="AF120" s="1" t="s">
        <v>1109</v>
      </c>
      <c r="AJ120" s="1"/>
      <c r="AK120" s="1"/>
      <c r="AL120" s="1"/>
      <c r="AM120" s="1"/>
      <c r="AN120" s="1"/>
      <c r="AO120" s="1"/>
      <c r="AP120" s="1"/>
      <c r="AQ120" s="1"/>
      <c r="AR120" s="1"/>
      <c r="AS120" s="1"/>
      <c r="AT120" s="1"/>
    </row>
    <row r="121" spans="1:46" ht="28.5" x14ac:dyDescent="0.2">
      <c r="B121" s="1" t="s">
        <v>1110</v>
      </c>
      <c r="E121" s="2" t="s">
        <v>1111</v>
      </c>
      <c r="F121" s="2" t="s">
        <v>154</v>
      </c>
      <c r="G121" s="2" t="s">
        <v>315</v>
      </c>
      <c r="H121" s="2"/>
      <c r="I121" s="2"/>
      <c r="J121" s="2"/>
      <c r="K121" s="3"/>
      <c r="L121" s="2"/>
      <c r="M121" s="3"/>
      <c r="N121" s="2"/>
      <c r="O121" s="2"/>
      <c r="P121" s="2"/>
      <c r="Q121" s="2"/>
      <c r="R121" s="2"/>
      <c r="S121" s="2"/>
      <c r="T121" s="2"/>
      <c r="U121" s="2"/>
      <c r="V121" s="2" t="s">
        <v>671</v>
      </c>
      <c r="W121" s="2"/>
      <c r="X121" s="2"/>
      <c r="Y121" s="2"/>
      <c r="AC121" s="1" t="s">
        <v>1112</v>
      </c>
      <c r="AE121" s="1" t="s">
        <v>647</v>
      </c>
      <c r="AF121" s="1" t="s">
        <v>1113</v>
      </c>
      <c r="AJ121" s="1"/>
      <c r="AK121" s="1"/>
      <c r="AL121" s="1"/>
      <c r="AM121" s="1"/>
      <c r="AN121" s="1"/>
      <c r="AO121" s="1"/>
      <c r="AP121" s="1"/>
      <c r="AQ121" s="1"/>
      <c r="AR121" s="1"/>
      <c r="AS121" s="1"/>
      <c r="AT121" s="1"/>
    </row>
    <row r="122" spans="1:46" ht="142.5" x14ac:dyDescent="0.2">
      <c r="A122" s="1" t="s">
        <v>1114</v>
      </c>
      <c r="B122" s="1" t="s">
        <v>1115</v>
      </c>
      <c r="E122" s="2" t="s">
        <v>1116</v>
      </c>
      <c r="F122" s="2" t="s">
        <v>243</v>
      </c>
      <c r="G122" s="2" t="s">
        <v>1078</v>
      </c>
      <c r="H122" s="2"/>
      <c r="I122" s="2"/>
      <c r="J122" s="2"/>
      <c r="K122" s="3"/>
      <c r="L122" s="2"/>
      <c r="M122" s="3"/>
      <c r="N122" s="2"/>
      <c r="O122" s="2"/>
      <c r="P122" s="2"/>
      <c r="Q122" s="2"/>
      <c r="R122" s="2"/>
      <c r="S122" s="2"/>
      <c r="T122" s="2"/>
      <c r="U122" s="2"/>
      <c r="V122" s="2"/>
      <c r="W122" s="2"/>
      <c r="X122" s="2"/>
      <c r="Y122" s="2"/>
      <c r="AC122" s="1" t="s">
        <v>1112</v>
      </c>
      <c r="AD122" s="1" t="s">
        <v>639</v>
      </c>
      <c r="AE122" s="1" t="s">
        <v>1117</v>
      </c>
      <c r="AF122" s="1" t="s">
        <v>1118</v>
      </c>
      <c r="AJ122" s="1"/>
      <c r="AK122" s="1"/>
      <c r="AL122" s="1"/>
      <c r="AM122" s="1"/>
      <c r="AN122" s="1"/>
      <c r="AO122" s="1"/>
      <c r="AP122" s="1"/>
      <c r="AQ122" s="1"/>
      <c r="AR122" s="1"/>
      <c r="AS122" s="1"/>
      <c r="AT122" s="1"/>
    </row>
    <row r="123" spans="1:46" ht="409.5" x14ac:dyDescent="0.2">
      <c r="A123" s="1" t="s">
        <v>1069</v>
      </c>
      <c r="B123" s="1" t="s">
        <v>1119</v>
      </c>
      <c r="C123" s="1" t="s">
        <v>1120</v>
      </c>
      <c r="E123" s="2" t="s">
        <v>1121</v>
      </c>
      <c r="F123" s="2" t="s">
        <v>420</v>
      </c>
      <c r="G123" s="2" t="s">
        <v>421</v>
      </c>
      <c r="H123" s="2"/>
      <c r="I123" s="2"/>
      <c r="J123" s="2"/>
      <c r="K123" s="3"/>
      <c r="L123" s="2"/>
      <c r="M123" s="3"/>
      <c r="N123" s="2"/>
      <c r="O123" s="2"/>
      <c r="P123" s="2"/>
      <c r="Q123" s="2"/>
      <c r="R123" s="2"/>
      <c r="S123" s="2"/>
      <c r="T123" s="2"/>
      <c r="U123" s="2"/>
      <c r="V123" s="2"/>
      <c r="W123" s="2"/>
      <c r="X123" s="2"/>
      <c r="Y123" s="2"/>
      <c r="AC123" s="1" t="s">
        <v>1122</v>
      </c>
      <c r="AE123" s="1" t="s">
        <v>1123</v>
      </c>
      <c r="AF123" s="1" t="s">
        <v>1124</v>
      </c>
      <c r="AJ123" s="1"/>
      <c r="AK123" s="1"/>
      <c r="AL123" s="1"/>
      <c r="AM123" s="1"/>
      <c r="AN123" s="1"/>
      <c r="AO123" s="1"/>
      <c r="AP123" s="1"/>
      <c r="AQ123" s="1"/>
      <c r="AR123" s="1"/>
      <c r="AS123" s="1"/>
      <c r="AT123" s="1"/>
    </row>
    <row r="124" spans="1:46" ht="256.5" x14ac:dyDescent="0.2">
      <c r="A124" s="1" t="s">
        <v>1125</v>
      </c>
      <c r="B124" s="1" t="s">
        <v>1126</v>
      </c>
      <c r="E124" s="2" t="s">
        <v>1127</v>
      </c>
      <c r="F124" s="2" t="s">
        <v>499</v>
      </c>
      <c r="G124" s="2" t="s">
        <v>1128</v>
      </c>
      <c r="H124" s="2"/>
      <c r="I124" s="2"/>
      <c r="J124" s="2"/>
      <c r="K124" s="3"/>
      <c r="L124" s="2"/>
      <c r="M124" s="3"/>
      <c r="N124" s="2"/>
      <c r="O124" s="2"/>
      <c r="P124" s="2"/>
      <c r="Q124" s="2"/>
      <c r="R124" s="2"/>
      <c r="S124" s="2"/>
      <c r="T124" s="2"/>
      <c r="U124" s="2"/>
      <c r="V124" s="2"/>
      <c r="W124" s="2"/>
      <c r="X124" s="2"/>
      <c r="Y124" s="2"/>
      <c r="AE124" s="1" t="s">
        <v>1129</v>
      </c>
      <c r="AJ124" s="1"/>
      <c r="AK124" s="1"/>
      <c r="AL124" s="1"/>
      <c r="AM124" s="1"/>
      <c r="AN124" s="1"/>
      <c r="AO124" s="1"/>
      <c r="AP124" s="1"/>
      <c r="AQ124" s="1"/>
      <c r="AR124" s="1"/>
      <c r="AS124" s="1"/>
      <c r="AT124" s="1"/>
    </row>
    <row r="125" spans="1:46" ht="71.25" x14ac:dyDescent="0.2">
      <c r="A125" s="1" t="s">
        <v>1069</v>
      </c>
      <c r="B125" s="1" t="s">
        <v>1029</v>
      </c>
      <c r="E125" s="2" t="s">
        <v>1130</v>
      </c>
      <c r="F125" s="2" t="s">
        <v>433</v>
      </c>
      <c r="G125" s="2" t="s">
        <v>434</v>
      </c>
      <c r="H125" s="2"/>
      <c r="I125" s="2"/>
      <c r="J125" s="2"/>
      <c r="K125" s="3"/>
      <c r="L125" s="2"/>
      <c r="M125" s="3"/>
      <c r="N125" s="2"/>
      <c r="O125" s="2"/>
      <c r="P125" s="2"/>
      <c r="Q125" s="2"/>
      <c r="R125" s="2"/>
      <c r="S125" s="2"/>
      <c r="T125" s="2"/>
      <c r="U125" s="2"/>
      <c r="V125" s="2"/>
      <c r="W125" s="2"/>
      <c r="X125" s="2"/>
      <c r="Y125" s="2"/>
      <c r="AE125" s="1" t="s">
        <v>1123</v>
      </c>
      <c r="AJ125" s="1"/>
      <c r="AK125" s="1"/>
      <c r="AL125" s="1"/>
      <c r="AM125" s="1"/>
      <c r="AN125" s="1"/>
      <c r="AO125" s="1"/>
      <c r="AP125" s="1"/>
      <c r="AQ125" s="1"/>
      <c r="AR125" s="1"/>
      <c r="AS125" s="1"/>
      <c r="AT125" s="1"/>
    </row>
    <row r="126" spans="1:46" ht="128.25" x14ac:dyDescent="0.2">
      <c r="A126" s="1" t="s">
        <v>1032</v>
      </c>
      <c r="B126" s="1" t="s">
        <v>1033</v>
      </c>
      <c r="E126" s="2" t="s">
        <v>1131</v>
      </c>
      <c r="F126" s="2" t="s">
        <v>435</v>
      </c>
      <c r="G126" s="2" t="s">
        <v>1132</v>
      </c>
      <c r="H126" s="2"/>
      <c r="I126" s="2"/>
      <c r="J126" s="2"/>
      <c r="K126" s="3"/>
      <c r="L126" s="2"/>
      <c r="M126" s="3"/>
      <c r="N126" s="2"/>
      <c r="O126" s="2"/>
      <c r="P126" s="2"/>
      <c r="Q126" s="2"/>
      <c r="R126" s="2"/>
      <c r="S126" s="2"/>
      <c r="T126" s="2"/>
      <c r="U126" s="2"/>
      <c r="V126" s="2"/>
      <c r="W126" s="2"/>
      <c r="X126" s="2"/>
      <c r="Y126" s="2"/>
      <c r="AE126" s="1" t="s">
        <v>1133</v>
      </c>
      <c r="AJ126" s="1"/>
      <c r="AK126" s="1"/>
      <c r="AL126" s="1"/>
      <c r="AM126" s="1"/>
      <c r="AN126" s="1"/>
      <c r="AO126" s="1"/>
      <c r="AP126" s="1"/>
      <c r="AQ126" s="1"/>
      <c r="AR126" s="1"/>
      <c r="AS126" s="1"/>
      <c r="AT126" s="1"/>
    </row>
    <row r="127" spans="1:46" ht="299.25" x14ac:dyDescent="0.2">
      <c r="A127" s="1" t="s">
        <v>1069</v>
      </c>
      <c r="B127" s="1" t="s">
        <v>1134</v>
      </c>
      <c r="E127" s="2" t="s">
        <v>1135</v>
      </c>
      <c r="F127" s="2" t="s">
        <v>1136</v>
      </c>
      <c r="G127" s="2" t="s">
        <v>1137</v>
      </c>
      <c r="H127" s="2"/>
      <c r="I127" s="2"/>
      <c r="J127" s="2"/>
      <c r="K127" s="3"/>
      <c r="L127" s="2"/>
      <c r="M127" s="3"/>
      <c r="N127" s="2"/>
      <c r="O127" s="2"/>
      <c r="P127" s="2"/>
      <c r="Q127" s="2"/>
      <c r="R127" s="2"/>
      <c r="S127" s="2"/>
      <c r="T127" s="2" t="s">
        <v>671</v>
      </c>
      <c r="U127" s="2"/>
      <c r="V127" s="2"/>
      <c r="W127" s="2"/>
      <c r="X127" s="2"/>
      <c r="Y127" s="2"/>
      <c r="AJ127" s="1"/>
      <c r="AK127" s="1"/>
      <c r="AL127" s="1"/>
      <c r="AM127" s="1"/>
      <c r="AN127" s="1"/>
      <c r="AO127" s="1"/>
      <c r="AP127" s="1"/>
      <c r="AQ127" s="1"/>
      <c r="AR127" s="1"/>
      <c r="AS127" s="1"/>
      <c r="AT127" s="1"/>
    </row>
    <row r="128" spans="1:46" x14ac:dyDescent="0.2">
      <c r="B128" s="1" t="s">
        <v>1138</v>
      </c>
      <c r="E128" s="2" t="s">
        <v>1139</v>
      </c>
      <c r="F128" s="2" t="s">
        <v>479</v>
      </c>
      <c r="G128" s="2" t="s">
        <v>1140</v>
      </c>
      <c r="H128" s="2"/>
      <c r="I128" s="2"/>
      <c r="J128" s="2"/>
      <c r="K128" s="3"/>
      <c r="L128" s="2"/>
      <c r="M128" s="3"/>
      <c r="N128" s="2"/>
      <c r="O128" s="2"/>
      <c r="P128" s="2"/>
      <c r="Q128" s="2"/>
      <c r="R128" s="2"/>
      <c r="S128" s="2"/>
      <c r="T128" s="2"/>
      <c r="U128" s="2"/>
      <c r="V128" s="2"/>
      <c r="W128" s="2"/>
      <c r="X128" s="2"/>
      <c r="Y128" s="2"/>
      <c r="AE128" s="1" t="s">
        <v>647</v>
      </c>
      <c r="AJ128" s="1"/>
      <c r="AK128" s="1"/>
      <c r="AL128" s="1"/>
      <c r="AM128" s="1"/>
      <c r="AN128" s="1"/>
      <c r="AO128" s="1"/>
      <c r="AP128" s="1"/>
      <c r="AQ128" s="1"/>
      <c r="AR128" s="1"/>
      <c r="AS128" s="1"/>
      <c r="AT128" s="1"/>
    </row>
    <row r="129" spans="1:46" ht="42.75" x14ac:dyDescent="0.2">
      <c r="A129" s="1" t="s">
        <v>1069</v>
      </c>
      <c r="B129" s="1" t="s">
        <v>1141</v>
      </c>
      <c r="E129" s="2" t="s">
        <v>1142</v>
      </c>
      <c r="F129" s="2" t="s">
        <v>1143</v>
      </c>
      <c r="G129" s="2" t="s">
        <v>1144</v>
      </c>
      <c r="H129" s="2"/>
      <c r="I129" s="2"/>
      <c r="J129" s="2"/>
      <c r="K129" s="3"/>
      <c r="L129" s="2"/>
      <c r="M129" s="3"/>
      <c r="N129" s="2"/>
      <c r="O129" s="2"/>
      <c r="P129" s="2"/>
      <c r="Q129" s="2"/>
      <c r="R129" s="2"/>
      <c r="S129" s="2"/>
      <c r="T129" s="2" t="s">
        <v>671</v>
      </c>
      <c r="U129" s="2" t="s">
        <v>671</v>
      </c>
      <c r="V129" s="2"/>
      <c r="W129" s="2"/>
      <c r="X129" s="2"/>
      <c r="Y129" s="2"/>
      <c r="AJ129" s="1"/>
      <c r="AK129" s="1"/>
      <c r="AL129" s="1"/>
      <c r="AM129" s="1"/>
      <c r="AN129" s="1"/>
      <c r="AO129" s="1"/>
      <c r="AP129" s="1"/>
      <c r="AQ129" s="1"/>
      <c r="AR129" s="1"/>
      <c r="AS129" s="1"/>
      <c r="AT129" s="1"/>
    </row>
    <row r="130" spans="1:46" ht="28.5" x14ac:dyDescent="0.2">
      <c r="A130" s="1" t="s">
        <v>1069</v>
      </c>
      <c r="B130" s="1" t="s">
        <v>1145</v>
      </c>
      <c r="E130" s="2" t="s">
        <v>1146</v>
      </c>
      <c r="F130" s="2" t="s">
        <v>1147</v>
      </c>
      <c r="G130" s="2" t="s">
        <v>1148</v>
      </c>
      <c r="H130" s="2"/>
      <c r="I130" s="2"/>
      <c r="J130" s="2"/>
      <c r="K130" s="3"/>
      <c r="L130" s="2"/>
      <c r="M130" s="3"/>
      <c r="N130" s="2"/>
      <c r="O130" s="2"/>
      <c r="P130" s="2"/>
      <c r="Q130" s="2"/>
      <c r="R130" s="2"/>
      <c r="S130" s="2"/>
      <c r="T130" s="2"/>
      <c r="U130" s="2" t="s">
        <v>671</v>
      </c>
      <c r="V130" s="2"/>
      <c r="W130" s="2"/>
      <c r="X130" s="2"/>
      <c r="Y130" s="2"/>
      <c r="AJ130" s="1"/>
      <c r="AK130" s="1"/>
      <c r="AL130" s="1"/>
      <c r="AM130" s="1"/>
      <c r="AN130" s="1"/>
      <c r="AO130" s="1"/>
      <c r="AP130" s="1"/>
      <c r="AQ130" s="1"/>
      <c r="AR130" s="1"/>
      <c r="AS130" s="1"/>
      <c r="AT130" s="1"/>
    </row>
    <row r="131" spans="1:46" ht="99.75" x14ac:dyDescent="0.2">
      <c r="A131" s="1" t="s">
        <v>1069</v>
      </c>
      <c r="B131" s="1" t="s">
        <v>1149</v>
      </c>
      <c r="E131" s="2" t="s">
        <v>1150</v>
      </c>
      <c r="F131" s="2" t="s">
        <v>1151</v>
      </c>
      <c r="G131" s="2" t="s">
        <v>1152</v>
      </c>
      <c r="H131" s="2"/>
      <c r="I131" s="2"/>
      <c r="J131" s="2"/>
      <c r="K131" s="3"/>
      <c r="L131" s="2"/>
      <c r="M131" s="3"/>
      <c r="N131" s="2"/>
      <c r="O131" s="2"/>
      <c r="P131" s="2"/>
      <c r="Q131" s="2"/>
      <c r="R131" s="2"/>
      <c r="S131" s="2"/>
      <c r="T131" s="2"/>
      <c r="U131" s="2"/>
      <c r="V131" s="2"/>
      <c r="W131" s="2"/>
      <c r="X131" s="2"/>
      <c r="Y131" s="2"/>
      <c r="AJ131" s="1"/>
      <c r="AK131" s="1"/>
      <c r="AL131" s="1"/>
      <c r="AM131" s="1"/>
      <c r="AN131" s="1"/>
      <c r="AO131" s="1"/>
      <c r="AP131" s="1"/>
      <c r="AQ131" s="1"/>
      <c r="AR131" s="1"/>
      <c r="AS131" s="1"/>
      <c r="AT131" s="1"/>
    </row>
    <row r="132" spans="1:46" ht="114" x14ac:dyDescent="0.2">
      <c r="A132" s="1" t="s">
        <v>1069</v>
      </c>
      <c r="B132" s="1" t="s">
        <v>1153</v>
      </c>
      <c r="E132" s="2" t="s">
        <v>1154</v>
      </c>
      <c r="F132" s="2" t="s">
        <v>1155</v>
      </c>
      <c r="G132" s="2" t="s">
        <v>1156</v>
      </c>
      <c r="H132" s="2"/>
      <c r="I132" s="2"/>
      <c r="J132" s="2"/>
      <c r="K132" s="3"/>
      <c r="L132" s="2"/>
      <c r="M132" s="3"/>
      <c r="N132" s="2"/>
      <c r="O132" s="2"/>
      <c r="P132" s="2"/>
      <c r="Q132" s="2"/>
      <c r="R132" s="2"/>
      <c r="S132" s="2"/>
      <c r="T132" s="2"/>
      <c r="U132" s="2"/>
      <c r="V132" s="2"/>
      <c r="W132" s="2"/>
      <c r="X132" s="2"/>
      <c r="Y132" s="2"/>
      <c r="AJ132" s="1"/>
      <c r="AK132" s="1"/>
      <c r="AL132" s="1"/>
      <c r="AM132" s="1"/>
      <c r="AN132" s="1"/>
      <c r="AO132" s="1"/>
      <c r="AP132" s="1"/>
      <c r="AQ132" s="1"/>
      <c r="AR132" s="1"/>
      <c r="AS132" s="1"/>
      <c r="AT132" s="1"/>
    </row>
    <row r="133" spans="1:46" ht="28.5" x14ac:dyDescent="0.2">
      <c r="A133" s="1" t="s">
        <v>1069</v>
      </c>
      <c r="B133" s="1" t="s">
        <v>1157</v>
      </c>
      <c r="E133" s="2" t="s">
        <v>1158</v>
      </c>
      <c r="F133" s="2" t="s">
        <v>1159</v>
      </c>
      <c r="G133" s="2" t="s">
        <v>1160</v>
      </c>
      <c r="H133" s="2"/>
      <c r="I133" s="2"/>
      <c r="J133" s="2"/>
      <c r="K133" s="3"/>
      <c r="L133" s="2"/>
      <c r="M133" s="3"/>
      <c r="N133" s="2"/>
      <c r="O133" s="2"/>
      <c r="P133" s="2"/>
      <c r="Q133" s="2"/>
      <c r="R133" s="2"/>
      <c r="S133" s="2"/>
      <c r="T133" s="2"/>
      <c r="U133" s="2" t="s">
        <v>671</v>
      </c>
      <c r="V133" s="2"/>
      <c r="W133" s="2"/>
      <c r="X133" s="2"/>
      <c r="Y133" s="2"/>
      <c r="AJ133" s="1"/>
      <c r="AK133" s="1"/>
      <c r="AL133" s="1"/>
      <c r="AM133" s="1"/>
      <c r="AN133" s="1"/>
      <c r="AO133" s="1"/>
      <c r="AP133" s="1"/>
      <c r="AQ133" s="1"/>
      <c r="AR133" s="1"/>
      <c r="AS133" s="1"/>
      <c r="AT133" s="1"/>
    </row>
    <row r="134" spans="1:46" ht="28.5" x14ac:dyDescent="0.2">
      <c r="A134" s="1" t="s">
        <v>1161</v>
      </c>
      <c r="B134" s="1" t="s">
        <v>1162</v>
      </c>
      <c r="E134" s="2" t="s">
        <v>1163</v>
      </c>
      <c r="F134" s="2" t="s">
        <v>1164</v>
      </c>
      <c r="G134" s="2" t="s">
        <v>1165</v>
      </c>
      <c r="H134" s="2"/>
      <c r="I134" s="2"/>
      <c r="J134" s="2"/>
      <c r="K134" s="3"/>
      <c r="L134" s="2"/>
      <c r="M134" s="3"/>
      <c r="N134" s="2"/>
      <c r="O134" s="2"/>
      <c r="P134" s="2"/>
      <c r="Q134" s="2"/>
      <c r="R134" s="2"/>
      <c r="S134" s="2"/>
      <c r="T134" s="2"/>
      <c r="U134" s="2"/>
      <c r="V134" s="2"/>
      <c r="W134" s="2"/>
      <c r="X134" s="2"/>
      <c r="Y134" s="2"/>
      <c r="AJ134" s="1"/>
      <c r="AK134" s="1"/>
      <c r="AL134" s="1"/>
      <c r="AM134" s="1"/>
      <c r="AN134" s="1"/>
      <c r="AO134" s="1"/>
      <c r="AP134" s="1"/>
      <c r="AQ134" s="1"/>
      <c r="AR134" s="1"/>
      <c r="AS134" s="1"/>
      <c r="AT134" s="1"/>
    </row>
    <row r="135" spans="1:46" ht="299.25" x14ac:dyDescent="0.2">
      <c r="A135" s="1" t="s">
        <v>1069</v>
      </c>
      <c r="B135" s="1" t="s">
        <v>1134</v>
      </c>
      <c r="E135" s="2" t="s">
        <v>1166</v>
      </c>
      <c r="F135" s="2" t="s">
        <v>291</v>
      </c>
      <c r="G135" s="2" t="s">
        <v>1167</v>
      </c>
      <c r="H135" s="2"/>
      <c r="I135" s="2"/>
      <c r="J135" s="2"/>
      <c r="K135" s="3"/>
      <c r="L135" s="2"/>
      <c r="M135" s="3"/>
      <c r="N135" s="2"/>
      <c r="O135" s="2"/>
      <c r="P135" s="2"/>
      <c r="Q135" s="2"/>
      <c r="R135" s="2"/>
      <c r="S135" s="2"/>
      <c r="T135" s="2"/>
      <c r="U135" s="2"/>
      <c r="V135" s="2"/>
      <c r="W135" s="2"/>
      <c r="X135" s="2"/>
      <c r="Y135" s="2"/>
      <c r="AJ135" s="1"/>
      <c r="AK135" s="1"/>
      <c r="AL135" s="1"/>
      <c r="AM135" s="1"/>
      <c r="AN135" s="1"/>
      <c r="AO135" s="1"/>
      <c r="AP135" s="1"/>
      <c r="AQ135" s="1"/>
      <c r="AR135" s="1"/>
      <c r="AS135" s="1"/>
      <c r="AT135" s="1"/>
    </row>
    <row r="136" spans="1:46" ht="42.75" x14ac:dyDescent="0.2">
      <c r="A136" s="1" t="s">
        <v>1069</v>
      </c>
      <c r="B136" s="1" t="s">
        <v>1141</v>
      </c>
      <c r="E136" s="2" t="s">
        <v>1168</v>
      </c>
      <c r="F136" s="2" t="s">
        <v>443</v>
      </c>
      <c r="G136" s="2" t="s">
        <v>1169</v>
      </c>
      <c r="H136" s="2"/>
      <c r="I136" s="2"/>
      <c r="J136" s="2"/>
      <c r="K136" s="3"/>
      <c r="L136" s="2"/>
      <c r="M136" s="3"/>
      <c r="N136" s="2"/>
      <c r="O136" s="2"/>
      <c r="P136" s="2"/>
      <c r="Q136" s="2"/>
      <c r="R136" s="2"/>
      <c r="S136" s="2"/>
      <c r="T136" s="2"/>
      <c r="U136" s="2"/>
      <c r="V136" s="2"/>
      <c r="W136" s="2"/>
      <c r="X136" s="2"/>
      <c r="Y136" s="2"/>
      <c r="AJ136" s="1"/>
      <c r="AK136" s="1"/>
      <c r="AL136" s="1"/>
      <c r="AM136" s="1"/>
      <c r="AN136" s="1"/>
      <c r="AO136" s="1"/>
      <c r="AP136" s="1"/>
      <c r="AQ136" s="1"/>
      <c r="AR136" s="1"/>
      <c r="AS136" s="1"/>
      <c r="AT136" s="1"/>
    </row>
    <row r="137" spans="1:46" ht="28.5" x14ac:dyDescent="0.2">
      <c r="A137" s="1" t="s">
        <v>1069</v>
      </c>
      <c r="B137" s="1" t="s">
        <v>1145</v>
      </c>
      <c r="E137" s="2" t="s">
        <v>1170</v>
      </c>
      <c r="F137" s="2" t="s">
        <v>452</v>
      </c>
      <c r="G137" s="2" t="s">
        <v>1171</v>
      </c>
      <c r="H137" s="2"/>
      <c r="I137" s="2"/>
      <c r="J137" s="2"/>
      <c r="K137" s="3"/>
      <c r="L137" s="2"/>
      <c r="M137" s="3"/>
      <c r="N137" s="2"/>
      <c r="O137" s="2"/>
      <c r="P137" s="2"/>
      <c r="Q137" s="2"/>
      <c r="R137" s="2"/>
      <c r="S137" s="2"/>
      <c r="T137" s="2"/>
      <c r="U137" s="2"/>
      <c r="V137" s="2"/>
      <c r="W137" s="2"/>
      <c r="X137" s="2"/>
      <c r="Y137" s="2"/>
      <c r="AJ137" s="1"/>
      <c r="AK137" s="1"/>
      <c r="AL137" s="1"/>
      <c r="AM137" s="1"/>
      <c r="AN137" s="1"/>
      <c r="AO137" s="1"/>
      <c r="AP137" s="1"/>
      <c r="AQ137" s="1"/>
      <c r="AR137" s="1"/>
      <c r="AS137" s="1"/>
      <c r="AT137" s="1"/>
    </row>
    <row r="138" spans="1:46" ht="99.75" x14ac:dyDescent="0.2">
      <c r="A138" s="1" t="s">
        <v>1069</v>
      </c>
      <c r="B138" s="1" t="s">
        <v>1149</v>
      </c>
      <c r="E138" s="2" t="s">
        <v>1172</v>
      </c>
      <c r="F138" s="2" t="s">
        <v>530</v>
      </c>
      <c r="G138" s="2" t="s">
        <v>1173</v>
      </c>
      <c r="H138" s="2"/>
      <c r="I138" s="2"/>
      <c r="J138" s="2"/>
      <c r="K138" s="3"/>
      <c r="L138" s="2"/>
      <c r="M138" s="3"/>
      <c r="N138" s="2"/>
      <c r="O138" s="2"/>
      <c r="P138" s="2"/>
      <c r="Q138" s="2"/>
      <c r="R138" s="2"/>
      <c r="S138" s="2"/>
      <c r="T138" s="2"/>
      <c r="U138" s="2"/>
      <c r="V138" s="2"/>
      <c r="W138" s="2"/>
      <c r="X138" s="2"/>
      <c r="Y138" s="2"/>
      <c r="AJ138" s="1"/>
      <c r="AK138" s="1"/>
      <c r="AL138" s="1"/>
      <c r="AM138" s="1"/>
      <c r="AN138" s="1"/>
      <c r="AO138" s="1"/>
      <c r="AP138" s="1"/>
      <c r="AQ138" s="1"/>
      <c r="AR138" s="1"/>
      <c r="AS138" s="1"/>
      <c r="AT138" s="1"/>
    </row>
    <row r="139" spans="1:46" ht="114" x14ac:dyDescent="0.2">
      <c r="A139" s="1" t="s">
        <v>1069</v>
      </c>
      <c r="B139" s="1" t="s">
        <v>1153</v>
      </c>
      <c r="E139" s="2" t="s">
        <v>1174</v>
      </c>
      <c r="F139" s="2" t="s">
        <v>513</v>
      </c>
      <c r="G139" s="2" t="s">
        <v>1175</v>
      </c>
      <c r="H139" s="2"/>
      <c r="I139" s="2"/>
      <c r="J139" s="2"/>
      <c r="K139" s="3"/>
      <c r="L139" s="2"/>
      <c r="M139" s="3"/>
      <c r="N139" s="2"/>
      <c r="O139" s="2"/>
      <c r="P139" s="2"/>
      <c r="Q139" s="2"/>
      <c r="R139" s="2"/>
      <c r="S139" s="2"/>
      <c r="T139" s="2"/>
      <c r="U139" s="2"/>
      <c r="V139" s="2"/>
      <c r="W139" s="2"/>
      <c r="X139" s="2"/>
      <c r="Y139" s="2"/>
      <c r="AJ139" s="1"/>
      <c r="AK139" s="1"/>
      <c r="AL139" s="1"/>
      <c r="AM139" s="1"/>
      <c r="AN139" s="1"/>
      <c r="AO139" s="1"/>
      <c r="AP139" s="1"/>
      <c r="AQ139" s="1"/>
      <c r="AR139" s="1"/>
      <c r="AS139" s="1"/>
      <c r="AT139" s="1"/>
    </row>
    <row r="140" spans="1:46" ht="28.5" x14ac:dyDescent="0.2">
      <c r="A140" s="1" t="s">
        <v>1069</v>
      </c>
      <c r="B140" s="1" t="s">
        <v>1157</v>
      </c>
      <c r="E140" s="2" t="s">
        <v>1176</v>
      </c>
      <c r="F140" s="2" t="s">
        <v>283</v>
      </c>
      <c r="G140" s="2" t="s">
        <v>1177</v>
      </c>
      <c r="H140" s="2"/>
      <c r="I140" s="2"/>
      <c r="J140" s="2"/>
      <c r="K140" s="3"/>
      <c r="L140" s="2"/>
      <c r="M140" s="3"/>
      <c r="N140" s="2"/>
      <c r="O140" s="2"/>
      <c r="P140" s="2"/>
      <c r="Q140" s="2"/>
      <c r="R140" s="2"/>
      <c r="S140" s="2"/>
      <c r="T140" s="2"/>
      <c r="U140" s="2"/>
      <c r="V140" s="2"/>
      <c r="W140" s="2"/>
      <c r="X140" s="2"/>
      <c r="Y140" s="2"/>
      <c r="AJ140" s="1"/>
      <c r="AK140" s="1"/>
      <c r="AL140" s="1"/>
      <c r="AM140" s="1"/>
      <c r="AN140" s="1"/>
      <c r="AO140" s="1"/>
      <c r="AP140" s="1"/>
      <c r="AQ140" s="1"/>
      <c r="AR140" s="1"/>
      <c r="AS140" s="1"/>
      <c r="AT140" s="1"/>
    </row>
    <row r="141" spans="1:46" ht="28.5" x14ac:dyDescent="0.2">
      <c r="A141" s="1" t="s">
        <v>1161</v>
      </c>
      <c r="B141" s="1" t="s">
        <v>1162</v>
      </c>
      <c r="E141" s="2" t="s">
        <v>1178</v>
      </c>
      <c r="F141" s="2" t="s">
        <v>524</v>
      </c>
      <c r="G141" s="2" t="s">
        <v>1179</v>
      </c>
      <c r="H141" s="2"/>
      <c r="I141" s="2"/>
      <c r="J141" s="2"/>
      <c r="K141" s="3"/>
      <c r="L141" s="2"/>
      <c r="M141" s="3"/>
      <c r="N141" s="2"/>
      <c r="O141" s="2"/>
      <c r="P141" s="2"/>
      <c r="Q141" s="2"/>
      <c r="R141" s="2"/>
      <c r="S141" s="2"/>
      <c r="T141" s="2"/>
      <c r="U141" s="2"/>
      <c r="V141" s="2"/>
      <c r="W141" s="2"/>
      <c r="X141" s="2"/>
      <c r="Y141" s="2"/>
      <c r="AJ141" s="1"/>
      <c r="AK141" s="1"/>
      <c r="AL141" s="1"/>
      <c r="AM141" s="1"/>
      <c r="AN141" s="1"/>
      <c r="AO141" s="1"/>
      <c r="AP141" s="1"/>
      <c r="AQ141" s="1"/>
      <c r="AR141" s="1"/>
      <c r="AS141" s="1"/>
      <c r="AT141" s="1"/>
    </row>
    <row r="142" spans="1:46" ht="299.25" x14ac:dyDescent="0.2">
      <c r="A142" s="1" t="s">
        <v>1069</v>
      </c>
      <c r="B142" s="1" t="s">
        <v>1134</v>
      </c>
      <c r="E142" s="2" t="s">
        <v>1180</v>
      </c>
      <c r="F142" s="2" t="s">
        <v>293</v>
      </c>
      <c r="G142" s="2" t="s">
        <v>1181</v>
      </c>
      <c r="H142" s="2"/>
      <c r="I142" s="2"/>
      <c r="J142" s="2"/>
      <c r="K142" s="3"/>
      <c r="L142" s="2"/>
      <c r="M142" s="3"/>
      <c r="N142" s="2"/>
      <c r="O142" s="2"/>
      <c r="P142" s="2"/>
      <c r="Q142" s="2"/>
      <c r="R142" s="2"/>
      <c r="S142" s="2"/>
      <c r="T142" s="2"/>
      <c r="U142" s="2"/>
      <c r="V142" s="2"/>
      <c r="W142" s="2"/>
      <c r="X142" s="2"/>
      <c r="Y142" s="2"/>
      <c r="AJ142" s="1"/>
      <c r="AK142" s="1"/>
      <c r="AL142" s="1"/>
      <c r="AM142" s="1"/>
      <c r="AN142" s="1"/>
      <c r="AO142" s="1"/>
      <c r="AP142" s="1"/>
      <c r="AQ142" s="1"/>
      <c r="AR142" s="1"/>
      <c r="AS142" s="1"/>
      <c r="AT142" s="1"/>
    </row>
    <row r="143" spans="1:46" ht="42.75" x14ac:dyDescent="0.2">
      <c r="A143" s="1" t="s">
        <v>1069</v>
      </c>
      <c r="B143" s="1" t="s">
        <v>1141</v>
      </c>
      <c r="E143" s="2" t="s">
        <v>1182</v>
      </c>
      <c r="F143" s="2" t="s">
        <v>444</v>
      </c>
      <c r="G143" s="2" t="s">
        <v>1183</v>
      </c>
      <c r="H143" s="2"/>
      <c r="I143" s="2"/>
      <c r="J143" s="2"/>
      <c r="K143" s="3"/>
      <c r="L143" s="2"/>
      <c r="M143" s="3"/>
      <c r="N143" s="2"/>
      <c r="O143" s="2"/>
      <c r="P143" s="2"/>
      <c r="Q143" s="2"/>
      <c r="R143" s="2"/>
      <c r="S143" s="2"/>
      <c r="T143" s="2"/>
      <c r="U143" s="2"/>
      <c r="V143" s="2"/>
      <c r="W143" s="2"/>
      <c r="X143" s="2"/>
      <c r="Y143" s="2"/>
      <c r="AJ143" s="1"/>
      <c r="AK143" s="1"/>
      <c r="AL143" s="1"/>
      <c r="AM143" s="1"/>
      <c r="AN143" s="1"/>
      <c r="AO143" s="1"/>
      <c r="AP143" s="1"/>
      <c r="AQ143" s="1"/>
      <c r="AR143" s="1"/>
      <c r="AS143" s="1"/>
      <c r="AT143" s="1"/>
    </row>
    <row r="144" spans="1:46" ht="28.5" x14ac:dyDescent="0.2">
      <c r="A144" s="1" t="s">
        <v>1069</v>
      </c>
      <c r="B144" s="1" t="s">
        <v>1145</v>
      </c>
      <c r="E144" s="2" t="s">
        <v>1184</v>
      </c>
      <c r="F144" s="2" t="s">
        <v>453</v>
      </c>
      <c r="G144" s="2" t="s">
        <v>1185</v>
      </c>
      <c r="H144" s="2"/>
      <c r="I144" s="2"/>
      <c r="J144" s="2"/>
      <c r="K144" s="3"/>
      <c r="L144" s="2"/>
      <c r="M144" s="3"/>
      <c r="N144" s="2"/>
      <c r="O144" s="2"/>
      <c r="P144" s="2"/>
      <c r="Q144" s="2"/>
      <c r="R144" s="2"/>
      <c r="S144" s="2"/>
      <c r="T144" s="2"/>
      <c r="U144" s="2"/>
      <c r="V144" s="2"/>
      <c r="W144" s="2"/>
      <c r="X144" s="2"/>
      <c r="Y144" s="2"/>
      <c r="AJ144" s="1"/>
      <c r="AK144" s="1"/>
      <c r="AL144" s="1"/>
      <c r="AM144" s="1"/>
      <c r="AN144" s="1"/>
      <c r="AO144" s="1"/>
      <c r="AP144" s="1"/>
      <c r="AQ144" s="1"/>
      <c r="AR144" s="1"/>
      <c r="AS144" s="1"/>
      <c r="AT144" s="1"/>
    </row>
    <row r="145" spans="1:46" ht="99.75" x14ac:dyDescent="0.2">
      <c r="A145" s="1" t="s">
        <v>1069</v>
      </c>
      <c r="B145" s="1" t="s">
        <v>1149</v>
      </c>
      <c r="E145" s="2" t="s">
        <v>1186</v>
      </c>
      <c r="F145" s="2" t="s">
        <v>531</v>
      </c>
      <c r="G145" s="2" t="s">
        <v>1187</v>
      </c>
      <c r="H145" s="2"/>
      <c r="I145" s="2"/>
      <c r="J145" s="2"/>
      <c r="K145" s="3"/>
      <c r="L145" s="2"/>
      <c r="M145" s="3"/>
      <c r="N145" s="2"/>
      <c r="O145" s="2"/>
      <c r="P145" s="2"/>
      <c r="Q145" s="2"/>
      <c r="R145" s="2"/>
      <c r="S145" s="2"/>
      <c r="T145" s="2"/>
      <c r="U145" s="2"/>
      <c r="V145" s="2"/>
      <c r="W145" s="2"/>
      <c r="X145" s="2"/>
      <c r="Y145" s="2"/>
      <c r="AJ145" s="1"/>
      <c r="AK145" s="1"/>
      <c r="AL145" s="1"/>
      <c r="AM145" s="1"/>
      <c r="AN145" s="1"/>
      <c r="AO145" s="1"/>
      <c r="AP145" s="1"/>
      <c r="AQ145" s="1"/>
      <c r="AR145" s="1"/>
      <c r="AS145" s="1"/>
      <c r="AT145" s="1"/>
    </row>
    <row r="146" spans="1:46" ht="114" x14ac:dyDescent="0.2">
      <c r="A146" s="1" t="s">
        <v>1069</v>
      </c>
      <c r="B146" s="1" t="s">
        <v>1153</v>
      </c>
      <c r="E146" s="2" t="s">
        <v>1188</v>
      </c>
      <c r="F146" s="2" t="s">
        <v>514</v>
      </c>
      <c r="G146" s="2" t="s">
        <v>1189</v>
      </c>
      <c r="H146" s="2"/>
      <c r="I146" s="2"/>
      <c r="J146" s="2"/>
      <c r="K146" s="3"/>
      <c r="L146" s="2"/>
      <c r="M146" s="3"/>
      <c r="N146" s="2"/>
      <c r="O146" s="2"/>
      <c r="P146" s="2"/>
      <c r="Q146" s="2"/>
      <c r="R146" s="2"/>
      <c r="S146" s="2"/>
      <c r="T146" s="2"/>
      <c r="U146" s="2"/>
      <c r="V146" s="2"/>
      <c r="W146" s="2"/>
      <c r="X146" s="2"/>
      <c r="Y146" s="2"/>
      <c r="AJ146" s="1"/>
      <c r="AK146" s="1"/>
      <c r="AL146" s="1"/>
      <c r="AM146" s="1"/>
      <c r="AN146" s="1"/>
      <c r="AO146" s="1"/>
      <c r="AP146" s="1"/>
      <c r="AQ146" s="1"/>
      <c r="AR146" s="1"/>
      <c r="AS146" s="1"/>
      <c r="AT146" s="1"/>
    </row>
    <row r="147" spans="1:46" ht="28.5" x14ac:dyDescent="0.2">
      <c r="A147" s="1" t="s">
        <v>1069</v>
      </c>
      <c r="B147" s="1" t="s">
        <v>1157</v>
      </c>
      <c r="E147" s="2" t="s">
        <v>1190</v>
      </c>
      <c r="F147" s="2" t="s">
        <v>284</v>
      </c>
      <c r="G147" s="2" t="s">
        <v>1191</v>
      </c>
      <c r="H147" s="2"/>
      <c r="I147" s="2"/>
      <c r="J147" s="2"/>
      <c r="K147" s="3"/>
      <c r="L147" s="2"/>
      <c r="M147" s="3"/>
      <c r="N147" s="2"/>
      <c r="O147" s="2"/>
      <c r="P147" s="2"/>
      <c r="Q147" s="2"/>
      <c r="R147" s="2"/>
      <c r="S147" s="2"/>
      <c r="T147" s="2"/>
      <c r="U147" s="2"/>
      <c r="V147" s="2"/>
      <c r="W147" s="2"/>
      <c r="X147" s="2"/>
      <c r="Y147" s="2"/>
      <c r="AJ147" s="1"/>
      <c r="AK147" s="1"/>
      <c r="AL147" s="1"/>
      <c r="AM147" s="1"/>
      <c r="AN147" s="1"/>
      <c r="AO147" s="1"/>
      <c r="AP147" s="1"/>
      <c r="AQ147" s="1"/>
      <c r="AR147" s="1"/>
      <c r="AS147" s="1"/>
      <c r="AT147" s="1"/>
    </row>
    <row r="148" spans="1:46" ht="28.5" x14ac:dyDescent="0.2">
      <c r="A148" s="1" t="s">
        <v>1161</v>
      </c>
      <c r="B148" s="1" t="s">
        <v>1162</v>
      </c>
      <c r="E148" s="2" t="s">
        <v>1192</v>
      </c>
      <c r="F148" s="2" t="s">
        <v>525</v>
      </c>
      <c r="G148" s="2" t="s">
        <v>1193</v>
      </c>
      <c r="H148" s="2"/>
      <c r="I148" s="2"/>
      <c r="J148" s="2"/>
      <c r="K148" s="3"/>
      <c r="L148" s="2"/>
      <c r="M148" s="3"/>
      <c r="N148" s="2"/>
      <c r="O148" s="2"/>
      <c r="P148" s="2"/>
      <c r="Q148" s="2"/>
      <c r="R148" s="2"/>
      <c r="S148" s="2"/>
      <c r="T148" s="2"/>
      <c r="U148" s="2"/>
      <c r="V148" s="2"/>
      <c r="W148" s="2"/>
      <c r="X148" s="2"/>
      <c r="Y148" s="2"/>
      <c r="AJ148" s="1"/>
      <c r="AK148" s="1"/>
      <c r="AL148" s="1"/>
      <c r="AM148" s="1"/>
      <c r="AN148" s="1"/>
      <c r="AO148" s="1"/>
      <c r="AP148" s="1"/>
      <c r="AQ148" s="1"/>
      <c r="AR148" s="1"/>
      <c r="AS148" s="1"/>
      <c r="AT148" s="1"/>
    </row>
    <row r="149" spans="1:46" ht="299.25" x14ac:dyDescent="0.2">
      <c r="A149" s="1" t="s">
        <v>1069</v>
      </c>
      <c r="B149" s="1" t="s">
        <v>1134</v>
      </c>
      <c r="E149" s="2" t="s">
        <v>1194</v>
      </c>
      <c r="F149" s="2" t="s">
        <v>294</v>
      </c>
      <c r="G149" s="2" t="s">
        <v>1195</v>
      </c>
      <c r="H149" s="2"/>
      <c r="I149" s="2"/>
      <c r="J149" s="2"/>
      <c r="K149" s="3"/>
      <c r="L149" s="2"/>
      <c r="M149" s="3"/>
      <c r="N149" s="2"/>
      <c r="O149" s="2"/>
      <c r="P149" s="2"/>
      <c r="Q149" s="2"/>
      <c r="R149" s="2"/>
      <c r="S149" s="2"/>
      <c r="T149" s="2"/>
      <c r="U149" s="2"/>
      <c r="V149" s="2"/>
      <c r="W149" s="2"/>
      <c r="X149" s="2"/>
      <c r="Y149" s="2"/>
      <c r="AJ149" s="1"/>
      <c r="AK149" s="1"/>
      <c r="AL149" s="1"/>
      <c r="AM149" s="1"/>
      <c r="AN149" s="1"/>
      <c r="AO149" s="1"/>
      <c r="AP149" s="1"/>
      <c r="AQ149" s="1"/>
      <c r="AR149" s="1"/>
      <c r="AS149" s="1"/>
      <c r="AT149" s="1"/>
    </row>
    <row r="150" spans="1:46" ht="42.75" x14ac:dyDescent="0.2">
      <c r="A150" s="1" t="s">
        <v>1069</v>
      </c>
      <c r="B150" s="1" t="s">
        <v>1141</v>
      </c>
      <c r="E150" s="2" t="s">
        <v>1196</v>
      </c>
      <c r="F150" s="2" t="s">
        <v>445</v>
      </c>
      <c r="G150" s="2" t="s">
        <v>1197</v>
      </c>
      <c r="H150" s="2"/>
      <c r="I150" s="2"/>
      <c r="J150" s="2"/>
      <c r="K150" s="3"/>
      <c r="L150" s="2"/>
      <c r="M150" s="3"/>
      <c r="N150" s="2"/>
      <c r="O150" s="2"/>
      <c r="P150" s="2"/>
      <c r="Q150" s="2"/>
      <c r="R150" s="2"/>
      <c r="S150" s="2"/>
      <c r="T150" s="2"/>
      <c r="U150" s="2"/>
      <c r="V150" s="2"/>
      <c r="W150" s="2"/>
      <c r="X150" s="2"/>
      <c r="Y150" s="2"/>
      <c r="AJ150" s="1"/>
      <c r="AK150" s="1"/>
      <c r="AL150" s="1"/>
      <c r="AM150" s="1"/>
      <c r="AN150" s="1"/>
      <c r="AO150" s="1"/>
      <c r="AP150" s="1"/>
      <c r="AQ150" s="1"/>
      <c r="AR150" s="1"/>
      <c r="AS150" s="1"/>
      <c r="AT150" s="1"/>
    </row>
    <row r="151" spans="1:46" ht="28.5" x14ac:dyDescent="0.2">
      <c r="A151" s="1" t="s">
        <v>1069</v>
      </c>
      <c r="B151" s="1" t="s">
        <v>1145</v>
      </c>
      <c r="E151" s="2" t="s">
        <v>1198</v>
      </c>
      <c r="F151" s="2" t="s">
        <v>454</v>
      </c>
      <c r="G151" s="2" t="s">
        <v>1199</v>
      </c>
      <c r="H151" s="2"/>
      <c r="I151" s="2"/>
      <c r="J151" s="2"/>
      <c r="K151" s="3"/>
      <c r="L151" s="2"/>
      <c r="M151" s="3"/>
      <c r="N151" s="2"/>
      <c r="O151" s="2"/>
      <c r="P151" s="2"/>
      <c r="Q151" s="2"/>
      <c r="R151" s="2"/>
      <c r="S151" s="2"/>
      <c r="T151" s="2"/>
      <c r="U151" s="2"/>
      <c r="V151" s="2"/>
      <c r="W151" s="2"/>
      <c r="X151" s="2"/>
      <c r="Y151" s="2"/>
      <c r="AJ151" s="1"/>
      <c r="AK151" s="1"/>
      <c r="AL151" s="1"/>
      <c r="AM151" s="1"/>
      <c r="AN151" s="1"/>
      <c r="AO151" s="1"/>
      <c r="AP151" s="1"/>
      <c r="AQ151" s="1"/>
      <c r="AR151" s="1"/>
      <c r="AS151" s="1"/>
      <c r="AT151" s="1"/>
    </row>
    <row r="152" spans="1:46" ht="99.75" x14ac:dyDescent="0.2">
      <c r="A152" s="1" t="s">
        <v>1069</v>
      </c>
      <c r="B152" s="1" t="s">
        <v>1149</v>
      </c>
      <c r="E152" s="2" t="s">
        <v>1200</v>
      </c>
      <c r="F152" s="2" t="s">
        <v>532</v>
      </c>
      <c r="G152" s="2" t="s">
        <v>1201</v>
      </c>
      <c r="H152" s="2"/>
      <c r="I152" s="2"/>
      <c r="J152" s="2"/>
      <c r="K152" s="3"/>
      <c r="L152" s="2"/>
      <c r="M152" s="3"/>
      <c r="N152" s="2"/>
      <c r="O152" s="2"/>
      <c r="P152" s="2"/>
      <c r="Q152" s="2"/>
      <c r="R152" s="2"/>
      <c r="S152" s="2"/>
      <c r="T152" s="2"/>
      <c r="U152" s="2"/>
      <c r="V152" s="2"/>
      <c r="W152" s="2"/>
      <c r="X152" s="2"/>
      <c r="Y152" s="2"/>
      <c r="AJ152" s="1"/>
      <c r="AK152" s="1"/>
      <c r="AL152" s="1"/>
      <c r="AM152" s="1"/>
      <c r="AN152" s="1"/>
      <c r="AO152" s="1"/>
      <c r="AP152" s="1"/>
      <c r="AQ152" s="1"/>
      <c r="AR152" s="1"/>
      <c r="AS152" s="1"/>
      <c r="AT152" s="1"/>
    </row>
    <row r="153" spans="1:46" ht="114" x14ac:dyDescent="0.2">
      <c r="A153" s="1" t="s">
        <v>1069</v>
      </c>
      <c r="B153" s="1" t="s">
        <v>1153</v>
      </c>
      <c r="E153" s="2" t="s">
        <v>1202</v>
      </c>
      <c r="F153" s="2" t="s">
        <v>515</v>
      </c>
      <c r="G153" s="2" t="s">
        <v>1203</v>
      </c>
      <c r="H153" s="2"/>
      <c r="I153" s="2"/>
      <c r="J153" s="2"/>
      <c r="K153" s="3"/>
      <c r="L153" s="2"/>
      <c r="M153" s="3"/>
      <c r="N153" s="2"/>
      <c r="O153" s="2"/>
      <c r="P153" s="2"/>
      <c r="Q153" s="2"/>
      <c r="R153" s="2"/>
      <c r="S153" s="2"/>
      <c r="T153" s="2"/>
      <c r="U153" s="2"/>
      <c r="V153" s="2"/>
      <c r="W153" s="2"/>
      <c r="X153" s="2"/>
      <c r="Y153" s="2"/>
      <c r="AJ153" s="1"/>
      <c r="AK153" s="1"/>
      <c r="AL153" s="1"/>
      <c r="AM153" s="1"/>
      <c r="AN153" s="1"/>
      <c r="AO153" s="1"/>
      <c r="AP153" s="1"/>
      <c r="AQ153" s="1"/>
      <c r="AR153" s="1"/>
      <c r="AS153" s="1"/>
      <c r="AT153" s="1"/>
    </row>
    <row r="154" spans="1:46" ht="28.5" x14ac:dyDescent="0.2">
      <c r="A154" s="1" t="s">
        <v>1069</v>
      </c>
      <c r="B154" s="1" t="s">
        <v>1157</v>
      </c>
      <c r="E154" s="2" t="s">
        <v>1204</v>
      </c>
      <c r="F154" s="2" t="s">
        <v>285</v>
      </c>
      <c r="G154" s="2" t="s">
        <v>1205</v>
      </c>
      <c r="H154" s="2"/>
      <c r="I154" s="2"/>
      <c r="J154" s="2"/>
      <c r="K154" s="3"/>
      <c r="L154" s="2"/>
      <c r="M154" s="3"/>
      <c r="N154" s="2"/>
      <c r="O154" s="2"/>
      <c r="P154" s="2"/>
      <c r="Q154" s="2"/>
      <c r="R154" s="2"/>
      <c r="S154" s="2"/>
      <c r="T154" s="2"/>
      <c r="U154" s="2"/>
      <c r="V154" s="2"/>
      <c r="W154" s="2"/>
      <c r="X154" s="2"/>
      <c r="Y154" s="2"/>
      <c r="AJ154" s="1"/>
      <c r="AK154" s="1"/>
      <c r="AL154" s="1"/>
      <c r="AM154" s="1"/>
      <c r="AN154" s="1"/>
      <c r="AO154" s="1"/>
      <c r="AP154" s="1"/>
      <c r="AQ154" s="1"/>
      <c r="AR154" s="1"/>
      <c r="AS154" s="1"/>
      <c r="AT154" s="1"/>
    </row>
    <row r="155" spans="1:46" ht="28.5" x14ac:dyDescent="0.2">
      <c r="A155" s="1" t="s">
        <v>1161</v>
      </c>
      <c r="B155" s="1" t="s">
        <v>1162</v>
      </c>
      <c r="E155" s="2" t="s">
        <v>1206</v>
      </c>
      <c r="F155" s="2" t="s">
        <v>526</v>
      </c>
      <c r="G155" s="2" t="s">
        <v>1207</v>
      </c>
      <c r="H155" s="2"/>
      <c r="I155" s="2"/>
      <c r="J155" s="2"/>
      <c r="K155" s="3"/>
      <c r="L155" s="2"/>
      <c r="M155" s="3"/>
      <c r="N155" s="2"/>
      <c r="O155" s="2"/>
      <c r="P155" s="2"/>
      <c r="Q155" s="2"/>
      <c r="R155" s="2"/>
      <c r="S155" s="2"/>
      <c r="T155" s="2"/>
      <c r="U155" s="2"/>
      <c r="V155" s="2"/>
      <c r="W155" s="2"/>
      <c r="X155" s="2"/>
      <c r="Y155" s="2"/>
      <c r="AJ155" s="1"/>
      <c r="AK155" s="1"/>
      <c r="AL155" s="1"/>
      <c r="AM155" s="1"/>
      <c r="AN155" s="1"/>
      <c r="AO155" s="1"/>
      <c r="AP155" s="1"/>
      <c r="AQ155" s="1"/>
      <c r="AR155" s="1"/>
      <c r="AS155" s="1"/>
      <c r="AT155" s="1"/>
    </row>
    <row r="156" spans="1:46" ht="299.25" x14ac:dyDescent="0.2">
      <c r="A156" s="1" t="s">
        <v>1069</v>
      </c>
      <c r="B156" s="1" t="s">
        <v>1134</v>
      </c>
      <c r="E156" s="2" t="s">
        <v>1208</v>
      </c>
      <c r="F156" s="2" t="s">
        <v>295</v>
      </c>
      <c r="G156" s="2" t="s">
        <v>1209</v>
      </c>
      <c r="H156" s="2"/>
      <c r="I156" s="2"/>
      <c r="J156" s="2"/>
      <c r="K156" s="3"/>
      <c r="L156" s="2"/>
      <c r="M156" s="3"/>
      <c r="N156" s="2"/>
      <c r="O156" s="2"/>
      <c r="P156" s="2"/>
      <c r="Q156" s="2"/>
      <c r="R156" s="2"/>
      <c r="S156" s="2"/>
      <c r="T156" s="2"/>
      <c r="U156" s="2"/>
      <c r="V156" s="2"/>
      <c r="W156" s="2"/>
      <c r="X156" s="2"/>
      <c r="Y156" s="2"/>
      <c r="AJ156" s="1"/>
      <c r="AK156" s="1"/>
      <c r="AL156" s="1"/>
      <c r="AM156" s="1"/>
      <c r="AN156" s="1"/>
      <c r="AO156" s="1"/>
      <c r="AP156" s="1"/>
      <c r="AQ156" s="1"/>
      <c r="AR156" s="1"/>
      <c r="AS156" s="1"/>
      <c r="AT156" s="1"/>
    </row>
    <row r="157" spans="1:46" ht="42.75" x14ac:dyDescent="0.2">
      <c r="A157" s="1" t="s">
        <v>1069</v>
      </c>
      <c r="B157" s="1" t="s">
        <v>1141</v>
      </c>
      <c r="E157" s="2" t="s">
        <v>1210</v>
      </c>
      <c r="F157" s="2" t="s">
        <v>446</v>
      </c>
      <c r="G157" s="2" t="s">
        <v>1211</v>
      </c>
      <c r="H157" s="2"/>
      <c r="I157" s="2"/>
      <c r="J157" s="2"/>
      <c r="K157" s="3"/>
      <c r="L157" s="2"/>
      <c r="M157" s="3"/>
      <c r="N157" s="2"/>
      <c r="O157" s="2"/>
      <c r="P157" s="2"/>
      <c r="Q157" s="2"/>
      <c r="R157" s="2"/>
      <c r="S157" s="2"/>
      <c r="T157" s="2"/>
      <c r="U157" s="2"/>
      <c r="V157" s="2"/>
      <c r="W157" s="2"/>
      <c r="X157" s="2"/>
      <c r="Y157" s="2"/>
      <c r="AJ157" s="1"/>
      <c r="AK157" s="1"/>
      <c r="AL157" s="1"/>
      <c r="AM157" s="1"/>
      <c r="AN157" s="1"/>
      <c r="AO157" s="1"/>
      <c r="AP157" s="1"/>
      <c r="AQ157" s="1"/>
      <c r="AR157" s="1"/>
      <c r="AS157" s="1"/>
      <c r="AT157" s="1"/>
    </row>
    <row r="158" spans="1:46" ht="28.5" x14ac:dyDescent="0.2">
      <c r="A158" s="1" t="s">
        <v>1069</v>
      </c>
      <c r="B158" s="1" t="s">
        <v>1145</v>
      </c>
      <c r="E158" s="2" t="s">
        <v>1212</v>
      </c>
      <c r="F158" s="2" t="s">
        <v>455</v>
      </c>
      <c r="G158" s="2" t="s">
        <v>1213</v>
      </c>
      <c r="H158" s="2"/>
      <c r="I158" s="2"/>
      <c r="J158" s="2"/>
      <c r="K158" s="3"/>
      <c r="L158" s="2"/>
      <c r="M158" s="3"/>
      <c r="N158" s="2"/>
      <c r="O158" s="2"/>
      <c r="P158" s="2"/>
      <c r="Q158" s="2"/>
      <c r="R158" s="2"/>
      <c r="S158" s="2"/>
      <c r="T158" s="2"/>
      <c r="U158" s="2"/>
      <c r="V158" s="2"/>
      <c r="W158" s="2"/>
      <c r="X158" s="2"/>
      <c r="Y158" s="2"/>
      <c r="AJ158" s="1"/>
      <c r="AK158" s="1"/>
      <c r="AL158" s="1"/>
      <c r="AM158" s="1"/>
      <c r="AN158" s="1"/>
      <c r="AO158" s="1"/>
      <c r="AP158" s="1"/>
      <c r="AQ158" s="1"/>
      <c r="AR158" s="1"/>
      <c r="AS158" s="1"/>
      <c r="AT158" s="1"/>
    </row>
    <row r="159" spans="1:46" ht="99.75" x14ac:dyDescent="0.2">
      <c r="A159" s="1" t="s">
        <v>1069</v>
      </c>
      <c r="B159" s="1" t="s">
        <v>1149</v>
      </c>
      <c r="E159" s="2" t="s">
        <v>1214</v>
      </c>
      <c r="F159" s="2" t="s">
        <v>533</v>
      </c>
      <c r="G159" s="2" t="s">
        <v>1215</v>
      </c>
      <c r="H159" s="2"/>
      <c r="I159" s="2"/>
      <c r="J159" s="2"/>
      <c r="K159" s="3"/>
      <c r="L159" s="2"/>
      <c r="M159" s="3"/>
      <c r="N159" s="2"/>
      <c r="O159" s="2"/>
      <c r="P159" s="2"/>
      <c r="Q159" s="2"/>
      <c r="R159" s="2"/>
      <c r="S159" s="2"/>
      <c r="T159" s="2"/>
      <c r="U159" s="2"/>
      <c r="V159" s="2"/>
      <c r="W159" s="2"/>
      <c r="X159" s="2"/>
      <c r="Y159" s="2"/>
      <c r="AJ159" s="1"/>
      <c r="AK159" s="1"/>
      <c r="AL159" s="1"/>
      <c r="AM159" s="1"/>
      <c r="AN159" s="1"/>
      <c r="AO159" s="1"/>
      <c r="AP159" s="1"/>
      <c r="AQ159" s="1"/>
      <c r="AR159" s="1"/>
      <c r="AS159" s="1"/>
      <c r="AT159" s="1"/>
    </row>
    <row r="160" spans="1:46" ht="114" x14ac:dyDescent="0.2">
      <c r="A160" s="1" t="s">
        <v>1069</v>
      </c>
      <c r="B160" s="1" t="s">
        <v>1153</v>
      </c>
      <c r="E160" s="2" t="s">
        <v>1216</v>
      </c>
      <c r="F160" s="2" t="s">
        <v>516</v>
      </c>
      <c r="G160" s="2" t="s">
        <v>1217</v>
      </c>
      <c r="H160" s="2"/>
      <c r="I160" s="2"/>
      <c r="J160" s="2"/>
      <c r="K160" s="3"/>
      <c r="L160" s="2"/>
      <c r="M160" s="3"/>
      <c r="N160" s="2"/>
      <c r="O160" s="2"/>
      <c r="P160" s="2"/>
      <c r="Q160" s="2"/>
      <c r="R160" s="2"/>
      <c r="S160" s="2"/>
      <c r="T160" s="2"/>
      <c r="U160" s="2"/>
      <c r="V160" s="2"/>
      <c r="W160" s="2"/>
      <c r="X160" s="2"/>
      <c r="Y160" s="2"/>
      <c r="AJ160" s="1"/>
      <c r="AK160" s="1"/>
      <c r="AL160" s="1"/>
      <c r="AM160" s="1"/>
      <c r="AN160" s="1"/>
      <c r="AO160" s="1"/>
      <c r="AP160" s="1"/>
      <c r="AQ160" s="1"/>
      <c r="AR160" s="1"/>
      <c r="AS160" s="1"/>
      <c r="AT160" s="1"/>
    </row>
    <row r="161" spans="1:46" ht="28.5" x14ac:dyDescent="0.2">
      <c r="A161" s="1" t="s">
        <v>1069</v>
      </c>
      <c r="B161" s="1" t="s">
        <v>1157</v>
      </c>
      <c r="E161" s="2" t="s">
        <v>1218</v>
      </c>
      <c r="F161" s="2" t="s">
        <v>286</v>
      </c>
      <c r="G161" s="2" t="s">
        <v>1219</v>
      </c>
      <c r="H161" s="2"/>
      <c r="I161" s="2"/>
      <c r="J161" s="2"/>
      <c r="K161" s="3"/>
      <c r="L161" s="2"/>
      <c r="M161" s="3"/>
      <c r="N161" s="2"/>
      <c r="O161" s="2"/>
      <c r="P161" s="2"/>
      <c r="Q161" s="2"/>
      <c r="R161" s="2"/>
      <c r="S161" s="2"/>
      <c r="T161" s="2"/>
      <c r="U161" s="2"/>
      <c r="V161" s="2"/>
      <c r="W161" s="2"/>
      <c r="X161" s="2"/>
      <c r="Y161" s="2"/>
      <c r="AJ161" s="1"/>
      <c r="AK161" s="1"/>
      <c r="AL161" s="1"/>
      <c r="AM161" s="1"/>
      <c r="AN161" s="1"/>
      <c r="AO161" s="1"/>
      <c r="AP161" s="1"/>
      <c r="AQ161" s="1"/>
      <c r="AR161" s="1"/>
      <c r="AS161" s="1"/>
      <c r="AT161" s="1"/>
    </row>
    <row r="162" spans="1:46" ht="28.5" x14ac:dyDescent="0.2">
      <c r="A162" s="1" t="s">
        <v>1161</v>
      </c>
      <c r="B162" s="1" t="s">
        <v>1162</v>
      </c>
      <c r="E162" s="2" t="s">
        <v>1220</v>
      </c>
      <c r="F162" s="2" t="s">
        <v>527</v>
      </c>
      <c r="G162" s="2" t="s">
        <v>1221</v>
      </c>
      <c r="H162" s="2"/>
      <c r="I162" s="2"/>
      <c r="J162" s="2"/>
      <c r="K162" s="3"/>
      <c r="L162" s="2"/>
      <c r="M162" s="3"/>
      <c r="N162" s="2"/>
      <c r="O162" s="2"/>
      <c r="P162" s="2"/>
      <c r="Q162" s="2"/>
      <c r="R162" s="2"/>
      <c r="S162" s="2"/>
      <c r="T162" s="2"/>
      <c r="U162" s="2"/>
      <c r="V162" s="2"/>
      <c r="W162" s="2"/>
      <c r="X162" s="2"/>
      <c r="Y162" s="2"/>
      <c r="AJ162" s="1"/>
      <c r="AK162" s="1"/>
      <c r="AL162" s="1"/>
      <c r="AM162" s="1"/>
      <c r="AN162" s="1"/>
      <c r="AO162" s="1"/>
      <c r="AP162" s="1"/>
      <c r="AQ162" s="1"/>
      <c r="AR162" s="1"/>
      <c r="AS162" s="1"/>
      <c r="AT162" s="1"/>
    </row>
    <row r="163" spans="1:46" x14ac:dyDescent="0.2">
      <c r="E163" s="2" t="s">
        <v>1222</v>
      </c>
      <c r="F163" s="2" t="s">
        <v>1223</v>
      </c>
      <c r="G163" s="2" t="s">
        <v>662</v>
      </c>
      <c r="H163" s="2"/>
      <c r="I163" s="2"/>
      <c r="J163" s="2"/>
      <c r="K163" s="3"/>
      <c r="L163" s="2"/>
      <c r="M163" s="3"/>
      <c r="N163" s="2"/>
      <c r="O163" s="2"/>
      <c r="P163" s="2"/>
      <c r="Q163" s="2"/>
      <c r="R163" s="2"/>
      <c r="S163" s="2"/>
      <c r="T163" s="2"/>
      <c r="U163" s="2"/>
      <c r="V163" s="2"/>
      <c r="W163" s="2"/>
      <c r="X163" s="2"/>
      <c r="Y163" s="2"/>
      <c r="AJ163" s="1"/>
      <c r="AK163" s="1"/>
      <c r="AL163" s="1"/>
      <c r="AM163" s="1"/>
      <c r="AN163" s="1"/>
      <c r="AO163" s="1"/>
      <c r="AP163" s="1"/>
      <c r="AQ163" s="1"/>
      <c r="AR163" s="1"/>
      <c r="AS163" s="1"/>
      <c r="AT163" s="1"/>
    </row>
  </sheetData>
  <phoneticPr fontId="33" type="noConversion"/>
  <pageMargins left="0.70866141732283472" right="0.70866141732283472" top="0.74803149606299213" bottom="0.74803149606299213" header="0.31496062992125984" footer="0.31496062992125984"/>
  <pageSetup paperSize="8" scale="24" fitToHeight="7" orientation="landscape"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D58B-C312-41AB-B7C2-6EAAD13AE336}">
  <sheetPr codeName="Sheet7"/>
  <dimension ref="A1:G102"/>
  <sheetViews>
    <sheetView workbookViewId="0"/>
  </sheetViews>
  <sheetFormatPr defaultRowHeight="16.5" customHeight="1" x14ac:dyDescent="0.2"/>
  <cols>
    <col min="2" max="2" width="42.25" customWidth="1"/>
    <col min="3" max="3" width="4.875" customWidth="1"/>
    <col min="4" max="4" width="30.25" style="23" customWidth="1"/>
    <col min="5" max="5" width="27.5" customWidth="1"/>
    <col min="6" max="6" width="128.875" customWidth="1"/>
  </cols>
  <sheetData>
    <row r="1" spans="1:7" ht="15.75" x14ac:dyDescent="0.25">
      <c r="A1" s="24"/>
      <c r="B1" s="25" t="s">
        <v>1224</v>
      </c>
      <c r="C1" s="24"/>
      <c r="D1" s="26" t="s">
        <v>1225</v>
      </c>
      <c r="E1" s="25" t="s">
        <v>624</v>
      </c>
    </row>
    <row r="2" spans="1:7" ht="15" x14ac:dyDescent="0.2">
      <c r="A2" s="27">
        <v>2440</v>
      </c>
      <c r="B2" s="27" t="s">
        <v>1226</v>
      </c>
      <c r="D2" s="23">
        <v>7</v>
      </c>
      <c r="E2" t="s">
        <v>1227</v>
      </c>
    </row>
    <row r="3" spans="1:7" ht="15" x14ac:dyDescent="0.2">
      <c r="A3" s="27">
        <v>2484</v>
      </c>
      <c r="B3" s="27" t="s">
        <v>853</v>
      </c>
      <c r="D3" s="23" t="s">
        <v>1228</v>
      </c>
      <c r="E3" t="s">
        <v>1229</v>
      </c>
    </row>
    <row r="4" spans="1:7" ht="15" x14ac:dyDescent="0.2">
      <c r="A4" s="27">
        <v>2495</v>
      </c>
      <c r="B4" s="27" t="s">
        <v>1230</v>
      </c>
      <c r="D4" s="23" t="s">
        <v>1231</v>
      </c>
      <c r="E4" t="s">
        <v>1232</v>
      </c>
    </row>
    <row r="5" spans="1:7" ht="15" x14ac:dyDescent="0.2">
      <c r="A5" s="27">
        <v>2390</v>
      </c>
      <c r="B5" s="27" t="s">
        <v>1233</v>
      </c>
    </row>
    <row r="6" spans="1:7" ht="15" x14ac:dyDescent="0.2">
      <c r="A6" s="27">
        <v>2391</v>
      </c>
      <c r="B6" s="27" t="s">
        <v>1234</v>
      </c>
    </row>
    <row r="7" spans="1:7" ht="15.75" x14ac:dyDescent="0.25">
      <c r="A7" s="27">
        <v>2392</v>
      </c>
      <c r="B7" s="27" t="s">
        <v>1235</v>
      </c>
      <c r="D7" s="23">
        <v>10</v>
      </c>
      <c r="E7" t="s">
        <v>1232</v>
      </c>
      <c r="F7" s="25" t="s">
        <v>1236</v>
      </c>
      <c r="G7" s="28"/>
    </row>
    <row r="8" spans="1:7" ht="15" x14ac:dyDescent="0.2">
      <c r="A8" s="27">
        <v>2394</v>
      </c>
      <c r="B8" s="27" t="s">
        <v>1237</v>
      </c>
      <c r="F8" t="s">
        <v>1238</v>
      </c>
    </row>
    <row r="9" spans="1:7" ht="15" x14ac:dyDescent="0.2">
      <c r="A9" s="27">
        <v>2395</v>
      </c>
      <c r="B9" s="27" t="s">
        <v>1239</v>
      </c>
      <c r="F9" t="s">
        <v>1240</v>
      </c>
    </row>
    <row r="10" spans="1:7" ht="15" x14ac:dyDescent="0.2">
      <c r="A10" s="27">
        <v>2396</v>
      </c>
      <c r="B10" s="27" t="s">
        <v>1241</v>
      </c>
      <c r="F10" t="s">
        <v>1242</v>
      </c>
    </row>
    <row r="11" spans="1:7" ht="15" x14ac:dyDescent="0.2">
      <c r="A11" s="27">
        <v>2397</v>
      </c>
      <c r="B11" s="27" t="s">
        <v>1243</v>
      </c>
      <c r="F11" t="s">
        <v>1244</v>
      </c>
    </row>
    <row r="12" spans="1:7" ht="15" x14ac:dyDescent="0.2">
      <c r="A12" s="27">
        <v>2398</v>
      </c>
      <c r="B12" s="27" t="s">
        <v>1245</v>
      </c>
      <c r="F12" t="s">
        <v>1246</v>
      </c>
    </row>
    <row r="13" spans="1:7" ht="15" x14ac:dyDescent="0.2">
      <c r="A13" s="27">
        <v>2399</v>
      </c>
      <c r="B13" s="27" t="s">
        <v>1247</v>
      </c>
      <c r="F13" t="s">
        <v>1248</v>
      </c>
    </row>
    <row r="14" spans="1:7" ht="15" x14ac:dyDescent="0.2">
      <c r="A14" s="27">
        <v>2401</v>
      </c>
      <c r="B14" s="27" t="s">
        <v>1249</v>
      </c>
      <c r="F14" t="s">
        <v>1250</v>
      </c>
    </row>
    <row r="15" spans="1:7" ht="15" x14ac:dyDescent="0.2">
      <c r="A15" s="27">
        <v>2403</v>
      </c>
      <c r="B15" s="27" t="s">
        <v>1251</v>
      </c>
      <c r="F15" t="s">
        <v>1252</v>
      </c>
    </row>
    <row r="16" spans="1:7" ht="15" x14ac:dyDescent="0.2">
      <c r="A16" s="27">
        <v>2404</v>
      </c>
      <c r="B16" s="27" t="s">
        <v>1253</v>
      </c>
      <c r="F16" t="s">
        <v>1254</v>
      </c>
    </row>
    <row r="17" spans="1:6" ht="15" x14ac:dyDescent="0.2">
      <c r="A17" s="27">
        <v>2405</v>
      </c>
      <c r="B17" s="27" t="s">
        <v>1255</v>
      </c>
      <c r="F17" t="s">
        <v>1256</v>
      </c>
    </row>
    <row r="18" spans="1:6" ht="15" x14ac:dyDescent="0.2">
      <c r="A18" s="27">
        <v>2406</v>
      </c>
      <c r="B18" s="27" t="s">
        <v>1257</v>
      </c>
      <c r="F18" t="s">
        <v>1258</v>
      </c>
    </row>
    <row r="19" spans="1:6" ht="15" x14ac:dyDescent="0.2">
      <c r="A19" s="27">
        <v>2407</v>
      </c>
      <c r="B19" s="27" t="s">
        <v>1259</v>
      </c>
      <c r="F19" t="s">
        <v>1260</v>
      </c>
    </row>
    <row r="20" spans="1:6" ht="15" x14ac:dyDescent="0.2">
      <c r="A20" s="27">
        <v>2408</v>
      </c>
      <c r="B20" s="27" t="s">
        <v>1261</v>
      </c>
      <c r="D20" s="23">
        <v>7</v>
      </c>
      <c r="E20" t="s">
        <v>1262</v>
      </c>
      <c r="F20" t="s">
        <v>1263</v>
      </c>
    </row>
    <row r="21" spans="1:6" ht="15" x14ac:dyDescent="0.2">
      <c r="A21" s="27">
        <v>2409</v>
      </c>
      <c r="B21" s="27" t="s">
        <v>1264</v>
      </c>
      <c r="D21" s="23">
        <v>7</v>
      </c>
      <c r="E21" t="s">
        <v>1262</v>
      </c>
    </row>
    <row r="22" spans="1:6" ht="15" x14ac:dyDescent="0.2">
      <c r="A22" s="27">
        <v>2410</v>
      </c>
      <c r="B22" s="27" t="s">
        <v>1265</v>
      </c>
    </row>
    <row r="23" spans="1:6" ht="15" x14ac:dyDescent="0.2">
      <c r="A23" s="27">
        <v>2411</v>
      </c>
      <c r="B23" s="27" t="s">
        <v>1266</v>
      </c>
      <c r="F23" t="s">
        <v>1267</v>
      </c>
    </row>
    <row r="24" spans="1:6" ht="15" x14ac:dyDescent="0.2">
      <c r="A24" s="27">
        <v>2412</v>
      </c>
      <c r="B24" s="27" t="s">
        <v>1268</v>
      </c>
      <c r="F24" t="s">
        <v>1269</v>
      </c>
    </row>
    <row r="25" spans="1:6" ht="15" x14ac:dyDescent="0.2">
      <c r="A25" s="27">
        <v>2413</v>
      </c>
      <c r="B25" s="27" t="s">
        <v>1270</v>
      </c>
      <c r="F25" t="s">
        <v>1271</v>
      </c>
    </row>
    <row r="26" spans="1:6" ht="15" x14ac:dyDescent="0.2">
      <c r="A26" s="27">
        <v>2414</v>
      </c>
      <c r="B26" s="27" t="s">
        <v>1272</v>
      </c>
    </row>
    <row r="27" spans="1:6" ht="15" x14ac:dyDescent="0.2">
      <c r="A27" s="27">
        <v>2415</v>
      </c>
      <c r="B27" s="27" t="s">
        <v>1273</v>
      </c>
    </row>
    <row r="28" spans="1:6" ht="15" x14ac:dyDescent="0.2">
      <c r="A28" s="27">
        <v>2417</v>
      </c>
      <c r="B28" s="27" t="s">
        <v>1274</v>
      </c>
    </row>
    <row r="29" spans="1:6" ht="15" x14ac:dyDescent="0.2">
      <c r="A29" s="27">
        <v>2419</v>
      </c>
      <c r="B29" s="27" t="s">
        <v>1275</v>
      </c>
    </row>
    <row r="30" spans="1:6" ht="15" x14ac:dyDescent="0.2">
      <c r="A30" s="27">
        <v>2420</v>
      </c>
      <c r="B30" s="27" t="s">
        <v>1276</v>
      </c>
      <c r="D30" s="23">
        <v>11</v>
      </c>
    </row>
    <row r="31" spans="1:6" ht="15" x14ac:dyDescent="0.2">
      <c r="A31" s="27">
        <v>2421</v>
      </c>
      <c r="B31" s="27" t="s">
        <v>1277</v>
      </c>
    </row>
    <row r="32" spans="1:6" ht="15" x14ac:dyDescent="0.2">
      <c r="A32" s="27">
        <v>2422</v>
      </c>
      <c r="B32" s="27" t="s">
        <v>1278</v>
      </c>
    </row>
    <row r="33" spans="1:5" ht="15" x14ac:dyDescent="0.2">
      <c r="A33" s="27">
        <v>2423</v>
      </c>
      <c r="B33" s="27" t="s">
        <v>1279</v>
      </c>
    </row>
    <row r="34" spans="1:5" ht="15" x14ac:dyDescent="0.2">
      <c r="A34" s="27">
        <v>2425</v>
      </c>
      <c r="B34" s="27" t="s">
        <v>1280</v>
      </c>
    </row>
    <row r="35" spans="1:5" ht="15" x14ac:dyDescent="0.2">
      <c r="A35" s="27">
        <v>2426</v>
      </c>
      <c r="B35" s="27" t="s">
        <v>1281</v>
      </c>
    </row>
    <row r="36" spans="1:5" ht="15" x14ac:dyDescent="0.2">
      <c r="A36" s="27">
        <v>2427</v>
      </c>
      <c r="B36" s="27" t="s">
        <v>1282</v>
      </c>
    </row>
    <row r="37" spans="1:5" ht="15" x14ac:dyDescent="0.2">
      <c r="A37" s="27">
        <v>2428</v>
      </c>
      <c r="B37" s="27" t="s">
        <v>1283</v>
      </c>
    </row>
    <row r="38" spans="1:5" ht="15" x14ac:dyDescent="0.2">
      <c r="A38" s="27">
        <v>2430</v>
      </c>
      <c r="B38" s="27" t="s">
        <v>1284</v>
      </c>
    </row>
    <row r="39" spans="1:5" ht="15" x14ac:dyDescent="0.2">
      <c r="A39" s="27">
        <v>2429</v>
      </c>
      <c r="B39" s="27" t="s">
        <v>1285</v>
      </c>
    </row>
    <row r="40" spans="1:5" ht="15" x14ac:dyDescent="0.2">
      <c r="A40" s="27">
        <v>2431</v>
      </c>
      <c r="B40" s="27" t="s">
        <v>1286</v>
      </c>
    </row>
    <row r="41" spans="1:5" ht="15" x14ac:dyDescent="0.2">
      <c r="A41" s="27">
        <v>2432</v>
      </c>
      <c r="B41" s="27" t="s">
        <v>1287</v>
      </c>
    </row>
    <row r="42" spans="1:5" ht="15" x14ac:dyDescent="0.2">
      <c r="A42" s="27">
        <v>2433</v>
      </c>
      <c r="B42" s="27" t="s">
        <v>1288</v>
      </c>
    </row>
    <row r="43" spans="1:5" ht="15" x14ac:dyDescent="0.2">
      <c r="A43" s="27">
        <v>2434</v>
      </c>
      <c r="B43" s="27" t="s">
        <v>1289</v>
      </c>
    </row>
    <row r="44" spans="1:5" ht="15" x14ac:dyDescent="0.2">
      <c r="A44" s="27">
        <v>2435</v>
      </c>
      <c r="B44" s="27" t="s">
        <v>1290</v>
      </c>
      <c r="D44" s="23">
        <v>10</v>
      </c>
      <c r="E44" t="s">
        <v>1232</v>
      </c>
    </row>
    <row r="45" spans="1:5" ht="15" x14ac:dyDescent="0.2">
      <c r="A45" s="27">
        <v>2436</v>
      </c>
      <c r="B45" s="27" t="s">
        <v>1291</v>
      </c>
      <c r="D45" s="23">
        <v>10</v>
      </c>
      <c r="E45" t="s">
        <v>1232</v>
      </c>
    </row>
    <row r="46" spans="1:5" ht="15" x14ac:dyDescent="0.2">
      <c r="A46" s="27">
        <v>2438</v>
      </c>
      <c r="B46" s="27" t="s">
        <v>1292</v>
      </c>
    </row>
    <row r="47" spans="1:5" ht="15" x14ac:dyDescent="0.2">
      <c r="A47" s="27">
        <v>2441</v>
      </c>
      <c r="B47" s="27" t="s">
        <v>1293</v>
      </c>
      <c r="D47" s="23">
        <v>7</v>
      </c>
      <c r="E47" t="s">
        <v>1262</v>
      </c>
    </row>
    <row r="48" spans="1:5" ht="15" x14ac:dyDescent="0.2">
      <c r="A48" s="27">
        <v>2442</v>
      </c>
      <c r="B48" s="27" t="s">
        <v>1294</v>
      </c>
    </row>
    <row r="49" spans="1:5" ht="15" x14ac:dyDescent="0.2">
      <c r="A49" s="27">
        <v>2443</v>
      </c>
      <c r="B49" s="27" t="s">
        <v>1295</v>
      </c>
    </row>
    <row r="50" spans="1:5" ht="15" x14ac:dyDescent="0.2">
      <c r="A50" s="27">
        <v>2444</v>
      </c>
      <c r="B50" s="27" t="s">
        <v>1296</v>
      </c>
    </row>
    <row r="51" spans="1:5" ht="15" x14ac:dyDescent="0.2">
      <c r="A51" s="27">
        <v>2445</v>
      </c>
      <c r="B51" s="27" t="s">
        <v>1297</v>
      </c>
    </row>
    <row r="52" spans="1:5" ht="15" x14ac:dyDescent="0.2">
      <c r="A52" s="27">
        <v>34782</v>
      </c>
      <c r="B52" s="27" t="s">
        <v>1298</v>
      </c>
    </row>
    <row r="53" spans="1:5" ht="15" x14ac:dyDescent="0.2">
      <c r="A53" s="27">
        <v>2385</v>
      </c>
      <c r="B53" s="27" t="s">
        <v>1299</v>
      </c>
    </row>
    <row r="54" spans="1:5" ht="15" x14ac:dyDescent="0.2">
      <c r="A54" s="27">
        <v>2386</v>
      </c>
      <c r="B54" s="27" t="s">
        <v>1300</v>
      </c>
    </row>
    <row r="55" spans="1:5" ht="15" x14ac:dyDescent="0.2">
      <c r="A55" s="27">
        <v>29340</v>
      </c>
      <c r="B55" s="27" t="s">
        <v>1301</v>
      </c>
    </row>
    <row r="56" spans="1:5" ht="15" x14ac:dyDescent="0.2">
      <c r="A56" s="27">
        <v>2387</v>
      </c>
      <c r="B56" s="27" t="s">
        <v>1302</v>
      </c>
    </row>
    <row r="57" spans="1:5" ht="15" x14ac:dyDescent="0.2">
      <c r="A57" s="27">
        <v>2388</v>
      </c>
      <c r="B57" s="27" t="s">
        <v>1303</v>
      </c>
    </row>
    <row r="58" spans="1:5" ht="15" x14ac:dyDescent="0.2">
      <c r="A58" s="27">
        <v>2389</v>
      </c>
      <c r="B58" s="27" t="s">
        <v>1304</v>
      </c>
    </row>
    <row r="59" spans="1:5" ht="15" x14ac:dyDescent="0.2">
      <c r="A59" s="27">
        <v>2446</v>
      </c>
      <c r="B59" s="27" t="s">
        <v>1305</v>
      </c>
    </row>
    <row r="60" spans="1:5" ht="15" x14ac:dyDescent="0.2">
      <c r="A60" s="27">
        <v>2447</v>
      </c>
      <c r="B60" s="27" t="s">
        <v>1306</v>
      </c>
    </row>
    <row r="61" spans="1:5" ht="15" x14ac:dyDescent="0.2">
      <c r="A61" s="27">
        <v>2448</v>
      </c>
      <c r="B61" s="27" t="s">
        <v>1307</v>
      </c>
    </row>
    <row r="62" spans="1:5" ht="15" x14ac:dyDescent="0.2">
      <c r="A62" s="27">
        <v>2449</v>
      </c>
      <c r="B62" s="27" t="s">
        <v>1308</v>
      </c>
    </row>
    <row r="63" spans="1:5" ht="15" x14ac:dyDescent="0.2">
      <c r="A63" s="27">
        <v>2450</v>
      </c>
      <c r="B63" s="27" t="s">
        <v>1309</v>
      </c>
    </row>
    <row r="64" spans="1:5" ht="15" x14ac:dyDescent="0.2">
      <c r="A64" s="27">
        <v>2451</v>
      </c>
      <c r="B64" s="27" t="s">
        <v>1310</v>
      </c>
      <c r="D64" s="23">
        <v>7</v>
      </c>
      <c r="E64" t="s">
        <v>1262</v>
      </c>
    </row>
    <row r="65" spans="1:5" ht="15" x14ac:dyDescent="0.2">
      <c r="A65" s="27">
        <v>2452</v>
      </c>
      <c r="B65" s="27" t="s">
        <v>1311</v>
      </c>
    </row>
    <row r="66" spans="1:5" ht="15" x14ac:dyDescent="0.2">
      <c r="A66" s="27">
        <v>2453</v>
      </c>
      <c r="B66" s="27" t="s">
        <v>1312</v>
      </c>
    </row>
    <row r="67" spans="1:5" ht="15" x14ac:dyDescent="0.2">
      <c r="A67" s="27">
        <v>2454</v>
      </c>
      <c r="B67" s="27" t="s">
        <v>1313</v>
      </c>
    </row>
    <row r="68" spans="1:5" ht="15" x14ac:dyDescent="0.2">
      <c r="A68" s="27">
        <v>2455</v>
      </c>
      <c r="B68" s="27" t="s">
        <v>1314</v>
      </c>
      <c r="D68" s="23">
        <v>10</v>
      </c>
      <c r="E68" t="s">
        <v>1232</v>
      </c>
    </row>
    <row r="69" spans="1:5" ht="15" x14ac:dyDescent="0.2">
      <c r="A69" s="27">
        <v>2456</v>
      </c>
      <c r="B69" s="27" t="s">
        <v>1315</v>
      </c>
    </row>
    <row r="70" spans="1:5" ht="15" x14ac:dyDescent="0.2">
      <c r="A70" s="27">
        <v>2457</v>
      </c>
      <c r="B70" s="27" t="s">
        <v>1316</v>
      </c>
      <c r="D70" s="23" t="s">
        <v>1317</v>
      </c>
      <c r="E70" t="s">
        <v>1318</v>
      </c>
    </row>
    <row r="71" spans="1:5" ht="15" x14ac:dyDescent="0.2">
      <c r="A71" s="27">
        <v>2458</v>
      </c>
      <c r="B71" s="27" t="s">
        <v>1319</v>
      </c>
    </row>
    <row r="72" spans="1:5" ht="15" x14ac:dyDescent="0.2">
      <c r="A72" s="27">
        <v>2460</v>
      </c>
      <c r="B72" s="27" t="s">
        <v>1320</v>
      </c>
      <c r="D72" s="23">
        <v>13</v>
      </c>
    </row>
    <row r="73" spans="1:5" ht="15" x14ac:dyDescent="0.2">
      <c r="A73" s="27">
        <v>2461</v>
      </c>
      <c r="B73" s="27" t="s">
        <v>1321</v>
      </c>
    </row>
    <row r="74" spans="1:5" ht="15" x14ac:dyDescent="0.2">
      <c r="A74" s="27">
        <v>2462</v>
      </c>
      <c r="B74" s="27" t="s">
        <v>1322</v>
      </c>
    </row>
    <row r="75" spans="1:5" ht="15" x14ac:dyDescent="0.2">
      <c r="A75" s="27">
        <v>2463</v>
      </c>
      <c r="B75" s="27" t="s">
        <v>1323</v>
      </c>
    </row>
    <row r="76" spans="1:5" ht="15" x14ac:dyDescent="0.2">
      <c r="A76" s="27">
        <v>2464</v>
      </c>
      <c r="B76" s="27" t="s">
        <v>1324</v>
      </c>
    </row>
    <row r="77" spans="1:5" ht="15" x14ac:dyDescent="0.2">
      <c r="A77" s="27">
        <v>2466</v>
      </c>
      <c r="B77" s="27" t="s">
        <v>1325</v>
      </c>
    </row>
    <row r="78" spans="1:5" ht="15" x14ac:dyDescent="0.2">
      <c r="A78" s="27">
        <v>2467</v>
      </c>
      <c r="B78" s="27" t="s">
        <v>1326</v>
      </c>
    </row>
    <row r="79" spans="1:5" ht="15" x14ac:dyDescent="0.2">
      <c r="A79" s="27">
        <v>2468</v>
      </c>
      <c r="B79" s="27" t="s">
        <v>1327</v>
      </c>
    </row>
    <row r="80" spans="1:5" ht="15" x14ac:dyDescent="0.2">
      <c r="A80" s="27">
        <v>2469</v>
      </c>
      <c r="B80" s="27" t="s">
        <v>1328</v>
      </c>
    </row>
    <row r="81" spans="1:4" ht="15" x14ac:dyDescent="0.2">
      <c r="A81" s="27">
        <v>2470</v>
      </c>
      <c r="B81" s="27" t="s">
        <v>1329</v>
      </c>
    </row>
    <row r="82" spans="1:4" ht="15" x14ac:dyDescent="0.2">
      <c r="A82" s="27">
        <v>2471</v>
      </c>
      <c r="B82" s="27" t="s">
        <v>1330</v>
      </c>
    </row>
    <row r="83" spans="1:4" ht="15" x14ac:dyDescent="0.2">
      <c r="A83" s="27">
        <v>2472</v>
      </c>
      <c r="B83" s="27" t="s">
        <v>1331</v>
      </c>
    </row>
    <row r="84" spans="1:4" ht="15" x14ac:dyDescent="0.2">
      <c r="A84" s="27">
        <v>2473</v>
      </c>
      <c r="B84" s="27" t="s">
        <v>1332</v>
      </c>
    </row>
    <row r="85" spans="1:4" ht="15" x14ac:dyDescent="0.2">
      <c r="A85" s="27">
        <v>2474</v>
      </c>
      <c r="B85" s="27" t="s">
        <v>1333</v>
      </c>
    </row>
    <row r="86" spans="1:4" ht="15" x14ac:dyDescent="0.2">
      <c r="A86" s="27">
        <v>2475</v>
      </c>
      <c r="B86" s="27" t="s">
        <v>1334</v>
      </c>
    </row>
    <row r="87" spans="1:4" ht="15" x14ac:dyDescent="0.2">
      <c r="A87" s="27">
        <v>2477</v>
      </c>
      <c r="B87" s="27" t="s">
        <v>1335</v>
      </c>
    </row>
    <row r="88" spans="1:4" ht="15" x14ac:dyDescent="0.2">
      <c r="A88" s="27">
        <v>2480</v>
      </c>
      <c r="B88" s="27" t="s">
        <v>1336</v>
      </c>
    </row>
    <row r="89" spans="1:4" ht="15" x14ac:dyDescent="0.2">
      <c r="A89" s="27">
        <v>2481</v>
      </c>
      <c r="B89" s="27" t="s">
        <v>1337</v>
      </c>
      <c r="D89" s="23">
        <v>11</v>
      </c>
    </row>
    <row r="90" spans="1:4" ht="15" x14ac:dyDescent="0.2">
      <c r="A90" s="27">
        <v>2482</v>
      </c>
      <c r="B90" s="27" t="s">
        <v>1338</v>
      </c>
      <c r="D90" s="23">
        <v>11</v>
      </c>
    </row>
    <row r="91" spans="1:4" ht="15" x14ac:dyDescent="0.2">
      <c r="A91" s="27">
        <v>2483</v>
      </c>
      <c r="B91" s="27" t="s">
        <v>1339</v>
      </c>
      <c r="D91" s="23">
        <v>11</v>
      </c>
    </row>
    <row r="92" spans="1:4" ht="15" x14ac:dyDescent="0.2">
      <c r="A92" s="27">
        <v>2485</v>
      </c>
      <c r="B92" s="27" t="s">
        <v>1340</v>
      </c>
    </row>
    <row r="93" spans="1:4" ht="15" x14ac:dyDescent="0.2">
      <c r="A93" s="27">
        <v>29248</v>
      </c>
      <c r="B93" s="27" t="s">
        <v>1341</v>
      </c>
    </row>
    <row r="94" spans="1:4" ht="15" x14ac:dyDescent="0.2">
      <c r="A94" s="27">
        <v>2486</v>
      </c>
      <c r="B94" s="27" t="s">
        <v>1342</v>
      </c>
    </row>
    <row r="95" spans="1:4" ht="15" x14ac:dyDescent="0.2">
      <c r="A95" s="27">
        <v>2487</v>
      </c>
      <c r="B95" s="27" t="s">
        <v>1343</v>
      </c>
    </row>
    <row r="96" spans="1:4" ht="15" x14ac:dyDescent="0.2">
      <c r="A96" s="27">
        <v>2488</v>
      </c>
      <c r="B96" s="27" t="s">
        <v>1344</v>
      </c>
    </row>
    <row r="97" spans="1:4" ht="15" x14ac:dyDescent="0.2">
      <c r="A97" s="27">
        <v>2489</v>
      </c>
      <c r="B97" s="27" t="s">
        <v>1345</v>
      </c>
    </row>
    <row r="98" spans="1:4" ht="15" x14ac:dyDescent="0.2">
      <c r="A98" s="27">
        <v>2490</v>
      </c>
      <c r="B98" s="27" t="s">
        <v>1346</v>
      </c>
    </row>
    <row r="99" spans="1:4" ht="15" x14ac:dyDescent="0.2">
      <c r="A99" s="27">
        <v>2491</v>
      </c>
      <c r="B99" s="27" t="s">
        <v>1347</v>
      </c>
    </row>
    <row r="100" spans="1:4" ht="15" x14ac:dyDescent="0.2">
      <c r="A100" s="27">
        <v>2492</v>
      </c>
      <c r="B100" s="27" t="s">
        <v>1348</v>
      </c>
      <c r="D100" s="23">
        <v>13</v>
      </c>
    </row>
    <row r="101" spans="1:4" ht="15" x14ac:dyDescent="0.2">
      <c r="A101" s="27">
        <v>2498</v>
      </c>
      <c r="B101" s="27" t="s">
        <v>1349</v>
      </c>
    </row>
    <row r="102" spans="1:4" ht="15" x14ac:dyDescent="0.2">
      <c r="A102" s="27">
        <v>2497</v>
      </c>
      <c r="B102" s="27" t="s">
        <v>1350</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09195-740B-450B-8512-4159A8D9B54D}">
  <sheetPr codeName="Sheet13"/>
  <dimension ref="A1:F220"/>
  <sheetViews>
    <sheetView workbookViewId="0">
      <pane ySplit="9" topLeftCell="A10" activePane="bottomLeft" state="frozen"/>
      <selection pane="bottomLeft" activeCell="H7" sqref="H7"/>
    </sheetView>
  </sheetViews>
  <sheetFormatPr defaultRowHeight="14.25" x14ac:dyDescent="0.2"/>
  <cols>
    <col min="1" max="1" width="19.875" customWidth="1"/>
    <col min="2" max="2" width="52.75" bestFit="1" customWidth="1"/>
    <col min="3" max="3" width="9.625" bestFit="1" customWidth="1"/>
    <col min="4" max="4" width="15.625" bestFit="1" customWidth="1"/>
    <col min="5" max="5" width="22.75" bestFit="1" customWidth="1"/>
    <col min="6" max="6" width="20.375" bestFit="1" customWidth="1"/>
    <col min="7" max="7" width="19.625" bestFit="1" customWidth="1"/>
    <col min="8" max="8" width="6.875" bestFit="1" customWidth="1"/>
    <col min="9" max="9" width="8" bestFit="1" customWidth="1"/>
    <col min="10" max="10" width="8.625" bestFit="1" customWidth="1"/>
    <col min="11" max="11" width="11.875" bestFit="1" customWidth="1"/>
    <col min="12" max="12" width="11.375" bestFit="1" customWidth="1"/>
  </cols>
  <sheetData>
    <row r="1" spans="1:6" x14ac:dyDescent="0.2">
      <c r="A1" t="s">
        <v>259</v>
      </c>
    </row>
    <row r="2" spans="1:6" ht="15" x14ac:dyDescent="0.25">
      <c r="A2" s="75" t="s">
        <v>260</v>
      </c>
    </row>
    <row r="4" spans="1:6" x14ac:dyDescent="0.2">
      <c r="A4" s="77" t="s">
        <v>261</v>
      </c>
      <c r="B4" t="s">
        <v>262</v>
      </c>
    </row>
    <row r="5" spans="1:6" x14ac:dyDescent="0.2">
      <c r="A5" s="77" t="s">
        <v>263</v>
      </c>
      <c r="B5" t="s">
        <v>262</v>
      </c>
    </row>
    <row r="7" spans="1:6" x14ac:dyDescent="0.2">
      <c r="D7" s="77" t="s">
        <v>264</v>
      </c>
    </row>
    <row r="8" spans="1:6" x14ac:dyDescent="0.2">
      <c r="A8" s="77" t="s">
        <v>265</v>
      </c>
      <c r="B8" s="77" t="s">
        <v>266</v>
      </c>
      <c r="C8" s="77" t="s">
        <v>267</v>
      </c>
      <c r="D8" t="s">
        <v>268</v>
      </c>
      <c r="E8" t="s">
        <v>1351</v>
      </c>
      <c r="F8" t="s">
        <v>1352</v>
      </c>
    </row>
    <row r="9" spans="1:6" x14ac:dyDescent="0.2">
      <c r="A9" t="s">
        <v>109</v>
      </c>
      <c r="B9" t="s">
        <v>271</v>
      </c>
      <c r="C9" t="s">
        <v>272</v>
      </c>
      <c r="D9">
        <v>1</v>
      </c>
      <c r="F9">
        <v>1</v>
      </c>
    </row>
    <row r="10" spans="1:6" x14ac:dyDescent="0.2">
      <c r="A10" t="s">
        <v>111</v>
      </c>
      <c r="B10" t="s">
        <v>273</v>
      </c>
      <c r="C10" t="s">
        <v>274</v>
      </c>
      <c r="D10">
        <v>1</v>
      </c>
      <c r="F10">
        <v>1</v>
      </c>
    </row>
    <row r="11" spans="1:6" x14ac:dyDescent="0.2">
      <c r="A11" t="s">
        <v>275</v>
      </c>
      <c r="B11" t="s">
        <v>276</v>
      </c>
      <c r="C11">
        <v>1</v>
      </c>
      <c r="D11">
        <v>1</v>
      </c>
      <c r="F11">
        <v>1</v>
      </c>
    </row>
    <row r="12" spans="1:6" x14ac:dyDescent="0.2">
      <c r="A12" t="s">
        <v>277</v>
      </c>
      <c r="B12" t="s">
        <v>278</v>
      </c>
      <c r="C12" t="s">
        <v>279</v>
      </c>
      <c r="D12">
        <v>1</v>
      </c>
    </row>
    <row r="13" spans="1:6" x14ac:dyDescent="0.2">
      <c r="A13" t="s">
        <v>280</v>
      </c>
      <c r="B13" t="s">
        <v>281</v>
      </c>
      <c r="C13" t="s">
        <v>282</v>
      </c>
      <c r="D13">
        <v>1</v>
      </c>
      <c r="E13">
        <v>1</v>
      </c>
      <c r="F13">
        <v>1</v>
      </c>
    </row>
    <row r="14" spans="1:6" x14ac:dyDescent="0.2">
      <c r="A14" t="s">
        <v>283</v>
      </c>
      <c r="B14" t="s">
        <v>281</v>
      </c>
      <c r="C14" t="s">
        <v>282</v>
      </c>
      <c r="D14">
        <v>1</v>
      </c>
      <c r="E14">
        <v>1</v>
      </c>
      <c r="F14">
        <v>1</v>
      </c>
    </row>
    <row r="15" spans="1:6" x14ac:dyDescent="0.2">
      <c r="A15" t="s">
        <v>284</v>
      </c>
      <c r="B15" t="s">
        <v>281</v>
      </c>
      <c r="C15" t="s">
        <v>282</v>
      </c>
      <c r="D15">
        <v>1</v>
      </c>
      <c r="E15">
        <v>1</v>
      </c>
      <c r="F15">
        <v>1</v>
      </c>
    </row>
    <row r="16" spans="1:6" x14ac:dyDescent="0.2">
      <c r="A16" t="s">
        <v>285</v>
      </c>
      <c r="B16" t="s">
        <v>281</v>
      </c>
      <c r="C16" t="s">
        <v>282</v>
      </c>
      <c r="D16">
        <v>1</v>
      </c>
      <c r="E16">
        <v>1</v>
      </c>
      <c r="F16">
        <v>1</v>
      </c>
    </row>
    <row r="17" spans="1:6" x14ac:dyDescent="0.2">
      <c r="A17" t="s">
        <v>286</v>
      </c>
      <c r="B17" t="s">
        <v>281</v>
      </c>
      <c r="C17" t="s">
        <v>282</v>
      </c>
      <c r="D17">
        <v>1</v>
      </c>
      <c r="E17">
        <v>1</v>
      </c>
      <c r="F17">
        <v>1</v>
      </c>
    </row>
    <row r="18" spans="1:6" x14ac:dyDescent="0.2">
      <c r="A18" t="s">
        <v>287</v>
      </c>
      <c r="B18" t="s">
        <v>281</v>
      </c>
      <c r="C18" t="s">
        <v>282</v>
      </c>
      <c r="D18">
        <v>1</v>
      </c>
      <c r="E18">
        <v>1</v>
      </c>
      <c r="F18">
        <v>1</v>
      </c>
    </row>
    <row r="19" spans="1:6" x14ac:dyDescent="0.2">
      <c r="A19" t="s">
        <v>288</v>
      </c>
      <c r="B19" t="s">
        <v>289</v>
      </c>
      <c r="C19" t="s">
        <v>279</v>
      </c>
      <c r="D19">
        <v>1</v>
      </c>
      <c r="F19">
        <v>1</v>
      </c>
    </row>
    <row r="20" spans="1:6" x14ac:dyDescent="0.2">
      <c r="A20" t="s">
        <v>137</v>
      </c>
      <c r="B20" t="s">
        <v>290</v>
      </c>
      <c r="C20" t="s">
        <v>272</v>
      </c>
      <c r="D20">
        <v>1</v>
      </c>
      <c r="F20">
        <v>1</v>
      </c>
    </row>
    <row r="21" spans="1:6" x14ac:dyDescent="0.2">
      <c r="A21" t="s">
        <v>246</v>
      </c>
      <c r="B21" t="s">
        <v>247</v>
      </c>
      <c r="C21" t="s">
        <v>282</v>
      </c>
      <c r="D21">
        <v>1</v>
      </c>
      <c r="E21">
        <v>1</v>
      </c>
      <c r="F21">
        <v>1</v>
      </c>
    </row>
    <row r="22" spans="1:6" x14ac:dyDescent="0.2">
      <c r="A22" t="s">
        <v>291</v>
      </c>
      <c r="B22" t="s">
        <v>247</v>
      </c>
      <c r="C22" t="s">
        <v>292</v>
      </c>
      <c r="D22">
        <v>1</v>
      </c>
      <c r="F22">
        <v>1</v>
      </c>
    </row>
    <row r="23" spans="1:6" x14ac:dyDescent="0.2">
      <c r="A23" t="s">
        <v>293</v>
      </c>
      <c r="B23" t="s">
        <v>247</v>
      </c>
      <c r="C23" t="s">
        <v>282</v>
      </c>
      <c r="D23">
        <v>1</v>
      </c>
      <c r="F23">
        <v>1</v>
      </c>
    </row>
    <row r="24" spans="1:6" x14ac:dyDescent="0.2">
      <c r="A24" t="s">
        <v>294</v>
      </c>
      <c r="B24" t="s">
        <v>247</v>
      </c>
      <c r="C24">
        <v>0</v>
      </c>
      <c r="D24">
        <v>1</v>
      </c>
      <c r="F24">
        <v>1</v>
      </c>
    </row>
    <row r="25" spans="1:6" x14ac:dyDescent="0.2">
      <c r="A25" t="s">
        <v>295</v>
      </c>
      <c r="B25" t="s">
        <v>247</v>
      </c>
      <c r="C25" t="s">
        <v>292</v>
      </c>
      <c r="D25">
        <v>1</v>
      </c>
      <c r="F25">
        <v>1</v>
      </c>
    </row>
    <row r="26" spans="1:6" x14ac:dyDescent="0.2">
      <c r="A26" t="s">
        <v>296</v>
      </c>
      <c r="B26" t="s">
        <v>247</v>
      </c>
      <c r="C26" t="s">
        <v>292</v>
      </c>
      <c r="D26">
        <v>1</v>
      </c>
      <c r="F26">
        <v>1</v>
      </c>
    </row>
    <row r="27" spans="1:6" x14ac:dyDescent="0.2">
      <c r="A27" t="s">
        <v>297</v>
      </c>
      <c r="B27" t="s">
        <v>298</v>
      </c>
      <c r="C27">
        <v>1</v>
      </c>
      <c r="D27">
        <v>1</v>
      </c>
      <c r="F27">
        <v>1</v>
      </c>
    </row>
    <row r="28" spans="1:6" x14ac:dyDescent="0.2">
      <c r="A28" t="s">
        <v>117</v>
      </c>
      <c r="B28" t="s">
        <v>299</v>
      </c>
      <c r="C28" t="s">
        <v>272</v>
      </c>
      <c r="D28">
        <v>1</v>
      </c>
      <c r="F28">
        <v>1</v>
      </c>
    </row>
    <row r="29" spans="1:6" x14ac:dyDescent="0.2">
      <c r="A29" t="s">
        <v>300</v>
      </c>
      <c r="B29" t="s">
        <v>301</v>
      </c>
      <c r="C29" t="s">
        <v>282</v>
      </c>
      <c r="D29">
        <v>1</v>
      </c>
      <c r="E29">
        <v>1</v>
      </c>
      <c r="F29">
        <v>1</v>
      </c>
    </row>
    <row r="30" spans="1:6" x14ac:dyDescent="0.2">
      <c r="A30" t="s">
        <v>144</v>
      </c>
      <c r="B30" t="s">
        <v>302</v>
      </c>
      <c r="C30">
        <v>1</v>
      </c>
      <c r="D30">
        <v>1</v>
      </c>
      <c r="F30">
        <v>1</v>
      </c>
    </row>
    <row r="31" spans="1:6" x14ac:dyDescent="0.2">
      <c r="A31" t="s">
        <v>303</v>
      </c>
      <c r="B31" t="s">
        <v>304</v>
      </c>
      <c r="C31" t="s">
        <v>279</v>
      </c>
      <c r="D31">
        <v>1</v>
      </c>
    </row>
    <row r="32" spans="1:6" x14ac:dyDescent="0.2">
      <c r="A32" t="s">
        <v>305</v>
      </c>
      <c r="B32" t="s">
        <v>306</v>
      </c>
      <c r="C32" t="s">
        <v>279</v>
      </c>
      <c r="D32">
        <v>1</v>
      </c>
    </row>
    <row r="33" spans="1:6" x14ac:dyDescent="0.2">
      <c r="A33" t="s">
        <v>148</v>
      </c>
      <c r="B33" t="s">
        <v>307</v>
      </c>
      <c r="C33">
        <v>1</v>
      </c>
      <c r="D33">
        <v>1</v>
      </c>
      <c r="F33">
        <v>1</v>
      </c>
    </row>
    <row r="34" spans="1:6" x14ac:dyDescent="0.2">
      <c r="A34" t="s">
        <v>308</v>
      </c>
      <c r="B34" t="s">
        <v>309</v>
      </c>
      <c r="C34" t="s">
        <v>279</v>
      </c>
      <c r="D34">
        <v>1</v>
      </c>
    </row>
    <row r="35" spans="1:6" x14ac:dyDescent="0.2">
      <c r="A35" t="s">
        <v>310</v>
      </c>
      <c r="B35" t="s">
        <v>311</v>
      </c>
      <c r="C35" t="s">
        <v>279</v>
      </c>
      <c r="D35">
        <v>1</v>
      </c>
    </row>
    <row r="36" spans="1:6" x14ac:dyDescent="0.2">
      <c r="A36" t="s">
        <v>312</v>
      </c>
      <c r="B36" t="s">
        <v>313</v>
      </c>
      <c r="C36" t="s">
        <v>274</v>
      </c>
      <c r="D36">
        <v>1</v>
      </c>
      <c r="F36">
        <v>1</v>
      </c>
    </row>
    <row r="37" spans="1:6" x14ac:dyDescent="0.2">
      <c r="A37" t="s">
        <v>105</v>
      </c>
      <c r="B37" t="s">
        <v>314</v>
      </c>
      <c r="C37" t="s">
        <v>282</v>
      </c>
      <c r="D37">
        <v>1</v>
      </c>
      <c r="F37">
        <v>1</v>
      </c>
    </row>
    <row r="38" spans="1:6" x14ac:dyDescent="0.2">
      <c r="A38" t="s">
        <v>154</v>
      </c>
      <c r="B38" t="s">
        <v>315</v>
      </c>
      <c r="C38" t="s">
        <v>282</v>
      </c>
      <c r="D38">
        <v>1</v>
      </c>
      <c r="E38">
        <v>1</v>
      </c>
      <c r="F38">
        <v>1</v>
      </c>
    </row>
    <row r="39" spans="1:6" x14ac:dyDescent="0.2">
      <c r="A39" t="s">
        <v>158</v>
      </c>
      <c r="B39" t="s">
        <v>316</v>
      </c>
      <c r="C39">
        <v>1</v>
      </c>
      <c r="D39">
        <v>1</v>
      </c>
      <c r="F39">
        <v>1</v>
      </c>
    </row>
    <row r="40" spans="1:6" x14ac:dyDescent="0.2">
      <c r="A40" t="s">
        <v>119</v>
      </c>
      <c r="B40" t="s">
        <v>317</v>
      </c>
      <c r="C40" t="s">
        <v>272</v>
      </c>
      <c r="D40">
        <v>1</v>
      </c>
      <c r="F40">
        <v>1</v>
      </c>
    </row>
    <row r="41" spans="1:6" x14ac:dyDescent="0.2">
      <c r="A41" t="s">
        <v>107</v>
      </c>
      <c r="B41" t="s">
        <v>318</v>
      </c>
      <c r="C41" t="s">
        <v>282</v>
      </c>
      <c r="D41">
        <v>1</v>
      </c>
      <c r="E41">
        <v>1</v>
      </c>
      <c r="F41">
        <v>1</v>
      </c>
    </row>
    <row r="42" spans="1:6" x14ac:dyDescent="0.2">
      <c r="A42" t="s">
        <v>113</v>
      </c>
      <c r="B42" t="s">
        <v>319</v>
      </c>
      <c r="C42" t="s">
        <v>272</v>
      </c>
      <c r="D42">
        <v>1</v>
      </c>
      <c r="F42">
        <v>1</v>
      </c>
    </row>
    <row r="43" spans="1:6" x14ac:dyDescent="0.2">
      <c r="A43" t="s">
        <v>121</v>
      </c>
      <c r="B43" t="s">
        <v>320</v>
      </c>
      <c r="C43">
        <v>1</v>
      </c>
      <c r="D43">
        <v>1</v>
      </c>
      <c r="F43">
        <v>1</v>
      </c>
    </row>
    <row r="44" spans="1:6" x14ac:dyDescent="0.2">
      <c r="A44" t="s">
        <v>321</v>
      </c>
      <c r="B44" t="s">
        <v>322</v>
      </c>
      <c r="C44" t="s">
        <v>282</v>
      </c>
      <c r="D44">
        <v>1</v>
      </c>
      <c r="E44">
        <v>1</v>
      </c>
      <c r="F44">
        <v>1</v>
      </c>
    </row>
    <row r="45" spans="1:6" x14ac:dyDescent="0.2">
      <c r="A45" t="s">
        <v>323</v>
      </c>
      <c r="B45" t="s">
        <v>324</v>
      </c>
      <c r="C45" t="s">
        <v>282</v>
      </c>
      <c r="D45">
        <v>1</v>
      </c>
      <c r="E45">
        <v>1</v>
      </c>
      <c r="F45">
        <v>1</v>
      </c>
    </row>
    <row r="46" spans="1:6" x14ac:dyDescent="0.2">
      <c r="A46" t="s">
        <v>325</v>
      </c>
      <c r="B46" t="s">
        <v>326</v>
      </c>
      <c r="C46">
        <v>3</v>
      </c>
      <c r="D46">
        <v>1</v>
      </c>
    </row>
    <row r="47" spans="1:6" x14ac:dyDescent="0.2">
      <c r="A47" t="s">
        <v>115</v>
      </c>
      <c r="B47" t="s">
        <v>327</v>
      </c>
      <c r="C47" t="s">
        <v>272</v>
      </c>
      <c r="D47">
        <v>1</v>
      </c>
      <c r="F47">
        <v>1</v>
      </c>
    </row>
    <row r="48" spans="1:6" x14ac:dyDescent="0.2">
      <c r="A48" t="s">
        <v>328</v>
      </c>
      <c r="B48" t="s">
        <v>329</v>
      </c>
      <c r="C48" t="s">
        <v>279</v>
      </c>
      <c r="D48">
        <v>1</v>
      </c>
      <c r="F48">
        <v>1</v>
      </c>
    </row>
    <row r="49" spans="1:6" x14ac:dyDescent="0.2">
      <c r="A49" t="s">
        <v>330</v>
      </c>
      <c r="B49" t="s">
        <v>331</v>
      </c>
      <c r="C49">
        <v>1</v>
      </c>
      <c r="D49">
        <v>1</v>
      </c>
      <c r="F49">
        <v>1</v>
      </c>
    </row>
    <row r="50" spans="1:6" x14ac:dyDescent="0.2">
      <c r="A50" t="s">
        <v>332</v>
      </c>
      <c r="B50" t="s">
        <v>333</v>
      </c>
      <c r="C50" t="s">
        <v>334</v>
      </c>
      <c r="D50">
        <v>1</v>
      </c>
      <c r="F50">
        <v>1</v>
      </c>
    </row>
    <row r="51" spans="1:6" x14ac:dyDescent="0.2">
      <c r="A51" t="s">
        <v>335</v>
      </c>
      <c r="B51" t="s">
        <v>336</v>
      </c>
      <c r="C51" t="s">
        <v>279</v>
      </c>
      <c r="D51">
        <v>1</v>
      </c>
    </row>
    <row r="52" spans="1:6" x14ac:dyDescent="0.2">
      <c r="A52" t="s">
        <v>337</v>
      </c>
      <c r="B52" t="s">
        <v>338</v>
      </c>
      <c r="C52" t="s">
        <v>279</v>
      </c>
      <c r="D52">
        <v>1</v>
      </c>
    </row>
    <row r="53" spans="1:6" x14ac:dyDescent="0.2">
      <c r="A53" t="s">
        <v>339</v>
      </c>
      <c r="B53" t="s">
        <v>340</v>
      </c>
      <c r="C53" t="s">
        <v>279</v>
      </c>
      <c r="D53">
        <v>1</v>
      </c>
      <c r="F53">
        <v>1</v>
      </c>
    </row>
    <row r="54" spans="1:6" x14ac:dyDescent="0.2">
      <c r="A54" t="s">
        <v>341</v>
      </c>
      <c r="B54" t="s">
        <v>342</v>
      </c>
      <c r="C54" t="s">
        <v>334</v>
      </c>
      <c r="D54">
        <v>1</v>
      </c>
    </row>
    <row r="55" spans="1:6" x14ac:dyDescent="0.2">
      <c r="A55" t="s">
        <v>343</v>
      </c>
      <c r="B55" t="s">
        <v>344</v>
      </c>
      <c r="C55" t="s">
        <v>334</v>
      </c>
      <c r="D55">
        <v>1</v>
      </c>
    </row>
    <row r="56" spans="1:6" x14ac:dyDescent="0.2">
      <c r="A56" t="s">
        <v>345</v>
      </c>
      <c r="B56" t="s">
        <v>346</v>
      </c>
      <c r="C56" t="s">
        <v>279</v>
      </c>
      <c r="D56">
        <v>1</v>
      </c>
    </row>
    <row r="57" spans="1:6" x14ac:dyDescent="0.2">
      <c r="A57" t="s">
        <v>347</v>
      </c>
      <c r="B57" t="s">
        <v>348</v>
      </c>
      <c r="C57" t="s">
        <v>279</v>
      </c>
      <c r="D57">
        <v>1</v>
      </c>
      <c r="F57">
        <v>1</v>
      </c>
    </row>
    <row r="58" spans="1:6" x14ac:dyDescent="0.2">
      <c r="A58" t="s">
        <v>349</v>
      </c>
      <c r="B58" t="s">
        <v>350</v>
      </c>
      <c r="C58" t="s">
        <v>279</v>
      </c>
      <c r="D58">
        <v>1</v>
      </c>
    </row>
    <row r="59" spans="1:6" x14ac:dyDescent="0.2">
      <c r="A59" t="s">
        <v>351</v>
      </c>
      <c r="B59" t="s">
        <v>352</v>
      </c>
      <c r="C59" t="s">
        <v>279</v>
      </c>
      <c r="D59">
        <v>1</v>
      </c>
    </row>
    <row r="60" spans="1:6" x14ac:dyDescent="0.2">
      <c r="A60" t="s">
        <v>353</v>
      </c>
      <c r="B60" t="s">
        <v>354</v>
      </c>
      <c r="C60" t="s">
        <v>279</v>
      </c>
      <c r="D60">
        <v>1</v>
      </c>
    </row>
    <row r="61" spans="1:6" x14ac:dyDescent="0.2">
      <c r="A61" t="s">
        <v>355</v>
      </c>
      <c r="B61" t="s">
        <v>356</v>
      </c>
      <c r="C61" t="s">
        <v>279</v>
      </c>
      <c r="D61">
        <v>1</v>
      </c>
    </row>
    <row r="62" spans="1:6" x14ac:dyDescent="0.2">
      <c r="A62" t="s">
        <v>357</v>
      </c>
      <c r="B62" t="s">
        <v>358</v>
      </c>
      <c r="C62" t="s">
        <v>279</v>
      </c>
      <c r="D62">
        <v>1</v>
      </c>
      <c r="F62">
        <v>1</v>
      </c>
    </row>
    <row r="63" spans="1:6" x14ac:dyDescent="0.2">
      <c r="A63" t="s">
        <v>359</v>
      </c>
      <c r="B63" t="s">
        <v>360</v>
      </c>
      <c r="C63">
        <v>1</v>
      </c>
      <c r="D63">
        <v>1</v>
      </c>
      <c r="F63">
        <v>1</v>
      </c>
    </row>
    <row r="64" spans="1:6" x14ac:dyDescent="0.2">
      <c r="A64" t="s">
        <v>361</v>
      </c>
      <c r="B64" t="s">
        <v>362</v>
      </c>
      <c r="C64">
        <v>1</v>
      </c>
      <c r="D64">
        <v>1</v>
      </c>
      <c r="F64">
        <v>1</v>
      </c>
    </row>
    <row r="65" spans="1:6" x14ac:dyDescent="0.2">
      <c r="A65" t="s">
        <v>224</v>
      </c>
      <c r="B65" t="s">
        <v>363</v>
      </c>
      <c r="C65">
        <v>3</v>
      </c>
      <c r="D65">
        <v>1</v>
      </c>
      <c r="F65">
        <v>1</v>
      </c>
    </row>
    <row r="66" spans="1:6" x14ac:dyDescent="0.2">
      <c r="A66" t="s">
        <v>226</v>
      </c>
      <c r="B66" t="s">
        <v>364</v>
      </c>
      <c r="C66">
        <v>3</v>
      </c>
      <c r="D66">
        <v>1</v>
      </c>
      <c r="F66">
        <v>1</v>
      </c>
    </row>
    <row r="67" spans="1:6" x14ac:dyDescent="0.2">
      <c r="A67" t="s">
        <v>365</v>
      </c>
      <c r="B67" t="s">
        <v>366</v>
      </c>
      <c r="C67">
        <v>3</v>
      </c>
      <c r="D67">
        <v>1</v>
      </c>
      <c r="F67">
        <v>1</v>
      </c>
    </row>
    <row r="68" spans="1:6" x14ac:dyDescent="0.2">
      <c r="A68" t="s">
        <v>367</v>
      </c>
      <c r="B68" t="s">
        <v>368</v>
      </c>
      <c r="C68" t="s">
        <v>279</v>
      </c>
      <c r="D68">
        <v>1</v>
      </c>
      <c r="F68">
        <v>1</v>
      </c>
    </row>
    <row r="69" spans="1:6" x14ac:dyDescent="0.2">
      <c r="A69" t="s">
        <v>369</v>
      </c>
      <c r="B69" t="s">
        <v>370</v>
      </c>
      <c r="C69">
        <v>3</v>
      </c>
      <c r="D69">
        <v>1</v>
      </c>
    </row>
    <row r="70" spans="1:6" x14ac:dyDescent="0.2">
      <c r="A70" t="s">
        <v>237</v>
      </c>
      <c r="B70" t="s">
        <v>371</v>
      </c>
      <c r="C70" t="s">
        <v>292</v>
      </c>
      <c r="D70">
        <v>1</v>
      </c>
      <c r="F70">
        <v>1</v>
      </c>
    </row>
    <row r="71" spans="1:6" x14ac:dyDescent="0.2">
      <c r="A71" t="s">
        <v>240</v>
      </c>
      <c r="B71" t="s">
        <v>372</v>
      </c>
      <c r="C71" t="s">
        <v>282</v>
      </c>
      <c r="D71">
        <v>1</v>
      </c>
    </row>
    <row r="72" spans="1:6" x14ac:dyDescent="0.2">
      <c r="A72" t="s">
        <v>373</v>
      </c>
      <c r="B72" t="s">
        <v>374</v>
      </c>
      <c r="C72" t="s">
        <v>274</v>
      </c>
      <c r="D72">
        <v>1</v>
      </c>
      <c r="F72">
        <v>1</v>
      </c>
    </row>
    <row r="73" spans="1:6" x14ac:dyDescent="0.2">
      <c r="A73" t="s">
        <v>170</v>
      </c>
      <c r="B73" t="s">
        <v>228</v>
      </c>
      <c r="C73" t="s">
        <v>272</v>
      </c>
      <c r="D73">
        <v>1</v>
      </c>
      <c r="F73">
        <v>1</v>
      </c>
    </row>
    <row r="74" spans="1:6" x14ac:dyDescent="0.2">
      <c r="A74" t="s">
        <v>375</v>
      </c>
      <c r="B74" t="s">
        <v>376</v>
      </c>
      <c r="C74" t="s">
        <v>272</v>
      </c>
      <c r="D74">
        <v>1</v>
      </c>
      <c r="F74">
        <v>1</v>
      </c>
    </row>
    <row r="75" spans="1:6" x14ac:dyDescent="0.2">
      <c r="A75" t="s">
        <v>173</v>
      </c>
      <c r="B75" t="s">
        <v>377</v>
      </c>
      <c r="C75" t="s">
        <v>282</v>
      </c>
      <c r="D75">
        <v>1</v>
      </c>
      <c r="F75">
        <v>1</v>
      </c>
    </row>
    <row r="76" spans="1:6" x14ac:dyDescent="0.2">
      <c r="A76" t="s">
        <v>231</v>
      </c>
      <c r="B76" t="s">
        <v>378</v>
      </c>
      <c r="C76">
        <v>3</v>
      </c>
      <c r="D76">
        <v>1</v>
      </c>
      <c r="F76">
        <v>1</v>
      </c>
    </row>
    <row r="77" spans="1:6" x14ac:dyDescent="0.2">
      <c r="A77" t="s">
        <v>379</v>
      </c>
      <c r="B77" t="s">
        <v>380</v>
      </c>
      <c r="C77" t="s">
        <v>279</v>
      </c>
      <c r="D77">
        <v>1</v>
      </c>
    </row>
    <row r="78" spans="1:6" x14ac:dyDescent="0.2">
      <c r="A78" t="s">
        <v>234</v>
      </c>
      <c r="B78" t="s">
        <v>381</v>
      </c>
      <c r="C78" t="s">
        <v>279</v>
      </c>
      <c r="D78">
        <v>1</v>
      </c>
    </row>
    <row r="79" spans="1:6" x14ac:dyDescent="0.2">
      <c r="A79" t="s">
        <v>382</v>
      </c>
      <c r="B79" t="s">
        <v>383</v>
      </c>
      <c r="C79" t="s">
        <v>282</v>
      </c>
      <c r="D79">
        <v>1</v>
      </c>
      <c r="F79">
        <v>1</v>
      </c>
    </row>
    <row r="80" spans="1:6" x14ac:dyDescent="0.2">
      <c r="A80" t="s">
        <v>384</v>
      </c>
      <c r="B80" t="s">
        <v>385</v>
      </c>
      <c r="C80">
        <v>3</v>
      </c>
      <c r="D80">
        <v>1</v>
      </c>
    </row>
    <row r="81" spans="1:6" x14ac:dyDescent="0.2">
      <c r="A81" t="s">
        <v>386</v>
      </c>
      <c r="B81" t="s">
        <v>387</v>
      </c>
      <c r="C81" t="s">
        <v>279</v>
      </c>
      <c r="D81">
        <v>1</v>
      </c>
    </row>
    <row r="82" spans="1:6" x14ac:dyDescent="0.2">
      <c r="A82" t="s">
        <v>388</v>
      </c>
      <c r="B82" t="s">
        <v>389</v>
      </c>
      <c r="C82" t="s">
        <v>282</v>
      </c>
      <c r="D82">
        <v>1</v>
      </c>
      <c r="E82">
        <v>1</v>
      </c>
      <c r="F82">
        <v>1</v>
      </c>
    </row>
    <row r="83" spans="1:6" x14ac:dyDescent="0.2">
      <c r="A83" t="s">
        <v>390</v>
      </c>
      <c r="B83" t="s">
        <v>391</v>
      </c>
      <c r="C83" t="s">
        <v>279</v>
      </c>
      <c r="D83">
        <v>1</v>
      </c>
      <c r="F83">
        <v>1</v>
      </c>
    </row>
    <row r="84" spans="1:6" x14ac:dyDescent="0.2">
      <c r="A84" t="s">
        <v>392</v>
      </c>
      <c r="B84" t="s">
        <v>393</v>
      </c>
      <c r="C84" t="s">
        <v>279</v>
      </c>
      <c r="D84">
        <v>1</v>
      </c>
      <c r="F84">
        <v>1</v>
      </c>
    </row>
    <row r="85" spans="1:6" x14ac:dyDescent="0.2">
      <c r="A85" t="s">
        <v>394</v>
      </c>
      <c r="B85" t="s">
        <v>395</v>
      </c>
      <c r="C85">
        <v>1</v>
      </c>
      <c r="D85">
        <v>1</v>
      </c>
      <c r="F85">
        <v>1</v>
      </c>
    </row>
    <row r="86" spans="1:6" x14ac:dyDescent="0.2">
      <c r="A86" t="s">
        <v>396</v>
      </c>
      <c r="B86" t="s">
        <v>397</v>
      </c>
      <c r="C86" t="s">
        <v>279</v>
      </c>
      <c r="D86">
        <v>1</v>
      </c>
      <c r="F86">
        <v>1</v>
      </c>
    </row>
    <row r="87" spans="1:6" x14ac:dyDescent="0.2">
      <c r="A87" t="s">
        <v>398</v>
      </c>
      <c r="B87" t="s">
        <v>399</v>
      </c>
      <c r="C87">
        <v>1</v>
      </c>
      <c r="D87">
        <v>1</v>
      </c>
      <c r="F87">
        <v>1</v>
      </c>
    </row>
    <row r="88" spans="1:6" x14ac:dyDescent="0.2">
      <c r="A88" t="s">
        <v>400</v>
      </c>
      <c r="B88" t="s">
        <v>391</v>
      </c>
      <c r="C88" t="s">
        <v>279</v>
      </c>
      <c r="D88">
        <v>1</v>
      </c>
      <c r="F88">
        <v>1</v>
      </c>
    </row>
    <row r="89" spans="1:6" x14ac:dyDescent="0.2">
      <c r="A89" t="s">
        <v>401</v>
      </c>
      <c r="B89" t="s">
        <v>393</v>
      </c>
      <c r="C89" t="s">
        <v>279</v>
      </c>
      <c r="D89">
        <v>1</v>
      </c>
      <c r="F89">
        <v>1</v>
      </c>
    </row>
    <row r="90" spans="1:6" x14ac:dyDescent="0.2">
      <c r="A90" t="s">
        <v>402</v>
      </c>
      <c r="B90" t="s">
        <v>395</v>
      </c>
      <c r="C90">
        <v>1</v>
      </c>
      <c r="D90">
        <v>1</v>
      </c>
      <c r="F90">
        <v>1</v>
      </c>
    </row>
    <row r="91" spans="1:6" x14ac:dyDescent="0.2">
      <c r="A91" t="s">
        <v>403</v>
      </c>
      <c r="B91" t="s">
        <v>397</v>
      </c>
      <c r="C91" t="s">
        <v>279</v>
      </c>
      <c r="D91">
        <v>1</v>
      </c>
      <c r="F91">
        <v>1</v>
      </c>
    </row>
    <row r="92" spans="1:6" x14ac:dyDescent="0.2">
      <c r="A92" t="s">
        <v>404</v>
      </c>
      <c r="B92" t="s">
        <v>399</v>
      </c>
      <c r="C92">
        <v>1</v>
      </c>
      <c r="D92">
        <v>1</v>
      </c>
      <c r="F92">
        <v>1</v>
      </c>
    </row>
    <row r="93" spans="1:6" x14ac:dyDescent="0.2">
      <c r="A93" t="s">
        <v>405</v>
      </c>
      <c r="B93" t="s">
        <v>391</v>
      </c>
      <c r="C93" t="s">
        <v>279</v>
      </c>
      <c r="D93">
        <v>1</v>
      </c>
      <c r="F93">
        <v>1</v>
      </c>
    </row>
    <row r="94" spans="1:6" x14ac:dyDescent="0.2">
      <c r="A94" t="s">
        <v>406</v>
      </c>
      <c r="B94" t="s">
        <v>393</v>
      </c>
      <c r="C94" t="s">
        <v>279</v>
      </c>
      <c r="D94">
        <v>1</v>
      </c>
      <c r="F94">
        <v>1</v>
      </c>
    </row>
    <row r="95" spans="1:6" x14ac:dyDescent="0.2">
      <c r="A95" t="s">
        <v>407</v>
      </c>
      <c r="B95" t="s">
        <v>395</v>
      </c>
      <c r="C95">
        <v>1</v>
      </c>
      <c r="D95">
        <v>1</v>
      </c>
      <c r="F95">
        <v>1</v>
      </c>
    </row>
    <row r="96" spans="1:6" x14ac:dyDescent="0.2">
      <c r="A96" t="s">
        <v>408</v>
      </c>
      <c r="B96" t="s">
        <v>397</v>
      </c>
      <c r="C96" t="s">
        <v>279</v>
      </c>
      <c r="D96">
        <v>1</v>
      </c>
      <c r="F96">
        <v>1</v>
      </c>
    </row>
    <row r="97" spans="1:6" x14ac:dyDescent="0.2">
      <c r="A97" t="s">
        <v>409</v>
      </c>
      <c r="B97" t="s">
        <v>399</v>
      </c>
      <c r="C97">
        <v>1</v>
      </c>
      <c r="D97">
        <v>1</v>
      </c>
      <c r="F97">
        <v>1</v>
      </c>
    </row>
    <row r="98" spans="1:6" x14ac:dyDescent="0.2">
      <c r="A98" t="s">
        <v>410</v>
      </c>
      <c r="B98" t="s">
        <v>391</v>
      </c>
      <c r="C98" t="s">
        <v>279</v>
      </c>
      <c r="D98">
        <v>1</v>
      </c>
      <c r="F98">
        <v>1</v>
      </c>
    </row>
    <row r="99" spans="1:6" x14ac:dyDescent="0.2">
      <c r="A99" t="s">
        <v>411</v>
      </c>
      <c r="B99" t="s">
        <v>393</v>
      </c>
      <c r="C99" t="s">
        <v>279</v>
      </c>
      <c r="D99">
        <v>1</v>
      </c>
      <c r="F99">
        <v>1</v>
      </c>
    </row>
    <row r="100" spans="1:6" x14ac:dyDescent="0.2">
      <c r="A100" t="s">
        <v>412</v>
      </c>
      <c r="B100" t="s">
        <v>395</v>
      </c>
      <c r="C100">
        <v>1</v>
      </c>
      <c r="D100">
        <v>1</v>
      </c>
      <c r="F100">
        <v>1</v>
      </c>
    </row>
    <row r="101" spans="1:6" x14ac:dyDescent="0.2">
      <c r="A101" t="s">
        <v>413</v>
      </c>
      <c r="B101" t="s">
        <v>397</v>
      </c>
      <c r="C101" t="s">
        <v>279</v>
      </c>
      <c r="D101">
        <v>1</v>
      </c>
      <c r="F101">
        <v>1</v>
      </c>
    </row>
    <row r="102" spans="1:6" x14ac:dyDescent="0.2">
      <c r="A102" t="s">
        <v>414</v>
      </c>
      <c r="B102" t="s">
        <v>399</v>
      </c>
      <c r="C102">
        <v>1</v>
      </c>
      <c r="D102">
        <v>1</v>
      </c>
      <c r="F102">
        <v>1</v>
      </c>
    </row>
    <row r="103" spans="1:6" x14ac:dyDescent="0.2">
      <c r="A103" t="s">
        <v>415</v>
      </c>
      <c r="B103" t="s">
        <v>391</v>
      </c>
      <c r="C103" t="s">
        <v>279</v>
      </c>
      <c r="D103">
        <v>1</v>
      </c>
      <c r="F103">
        <v>1</v>
      </c>
    </row>
    <row r="104" spans="1:6" x14ac:dyDescent="0.2">
      <c r="A104" t="s">
        <v>416</v>
      </c>
      <c r="B104" t="s">
        <v>393</v>
      </c>
      <c r="C104" t="s">
        <v>279</v>
      </c>
      <c r="D104">
        <v>1</v>
      </c>
      <c r="F104">
        <v>1</v>
      </c>
    </row>
    <row r="105" spans="1:6" x14ac:dyDescent="0.2">
      <c r="A105" t="s">
        <v>417</v>
      </c>
      <c r="B105" t="s">
        <v>395</v>
      </c>
      <c r="C105">
        <v>1</v>
      </c>
      <c r="D105">
        <v>1</v>
      </c>
      <c r="F105">
        <v>1</v>
      </c>
    </row>
    <row r="106" spans="1:6" x14ac:dyDescent="0.2">
      <c r="A106" t="s">
        <v>418</v>
      </c>
      <c r="B106" t="s">
        <v>397</v>
      </c>
      <c r="C106" t="s">
        <v>279</v>
      </c>
      <c r="D106">
        <v>1</v>
      </c>
      <c r="F106">
        <v>1</v>
      </c>
    </row>
    <row r="107" spans="1:6" x14ac:dyDescent="0.2">
      <c r="A107" t="s">
        <v>419</v>
      </c>
      <c r="B107" t="s">
        <v>399</v>
      </c>
      <c r="C107">
        <v>1</v>
      </c>
      <c r="D107">
        <v>1</v>
      </c>
      <c r="F107">
        <v>1</v>
      </c>
    </row>
    <row r="108" spans="1:6" x14ac:dyDescent="0.2">
      <c r="A108" t="s">
        <v>420</v>
      </c>
      <c r="B108" t="s">
        <v>421</v>
      </c>
      <c r="C108" t="s">
        <v>292</v>
      </c>
      <c r="D108">
        <v>1</v>
      </c>
      <c r="F108">
        <v>1</v>
      </c>
    </row>
    <row r="109" spans="1:6" x14ac:dyDescent="0.2">
      <c r="A109" t="s">
        <v>243</v>
      </c>
      <c r="B109" t="s">
        <v>422</v>
      </c>
      <c r="C109" t="s">
        <v>274</v>
      </c>
      <c r="D109">
        <v>1</v>
      </c>
    </row>
    <row r="110" spans="1:6" x14ac:dyDescent="0.2">
      <c r="A110" t="s">
        <v>423</v>
      </c>
      <c r="B110" t="s">
        <v>424</v>
      </c>
      <c r="C110" t="s">
        <v>274</v>
      </c>
      <c r="D110">
        <v>1</v>
      </c>
      <c r="F110">
        <v>1</v>
      </c>
    </row>
    <row r="111" spans="1:6" x14ac:dyDescent="0.2">
      <c r="A111" t="s">
        <v>425</v>
      </c>
      <c r="B111" t="s">
        <v>426</v>
      </c>
      <c r="C111">
        <v>1</v>
      </c>
      <c r="D111">
        <v>1</v>
      </c>
      <c r="F111">
        <v>1</v>
      </c>
    </row>
    <row r="112" spans="1:6" x14ac:dyDescent="0.2">
      <c r="A112" t="s">
        <v>427</v>
      </c>
      <c r="B112" t="s">
        <v>428</v>
      </c>
      <c r="C112" t="s">
        <v>279</v>
      </c>
      <c r="D112">
        <v>1</v>
      </c>
      <c r="F112">
        <v>1</v>
      </c>
    </row>
    <row r="113" spans="1:6" x14ac:dyDescent="0.2">
      <c r="A113" t="s">
        <v>429</v>
      </c>
      <c r="B113" t="s">
        <v>430</v>
      </c>
      <c r="C113" t="s">
        <v>279</v>
      </c>
      <c r="D113">
        <v>1</v>
      </c>
    </row>
    <row r="114" spans="1:6" x14ac:dyDescent="0.2">
      <c r="A114" t="s">
        <v>431</v>
      </c>
      <c r="B114" t="s">
        <v>432</v>
      </c>
      <c r="C114" t="s">
        <v>279</v>
      </c>
      <c r="D114">
        <v>1</v>
      </c>
    </row>
    <row r="115" spans="1:6" x14ac:dyDescent="0.2">
      <c r="A115" t="s">
        <v>433</v>
      </c>
      <c r="B115" t="s">
        <v>434</v>
      </c>
      <c r="C115" t="s">
        <v>272</v>
      </c>
      <c r="D115">
        <v>1</v>
      </c>
      <c r="F115">
        <v>1</v>
      </c>
    </row>
    <row r="116" spans="1:6" x14ac:dyDescent="0.2">
      <c r="A116" t="s">
        <v>435</v>
      </c>
      <c r="B116" t="s">
        <v>436</v>
      </c>
      <c r="C116" t="s">
        <v>272</v>
      </c>
      <c r="D116">
        <v>1</v>
      </c>
      <c r="F116">
        <v>1</v>
      </c>
    </row>
    <row r="117" spans="1:6" x14ac:dyDescent="0.2">
      <c r="A117" t="s">
        <v>437</v>
      </c>
      <c r="B117" t="s">
        <v>438</v>
      </c>
      <c r="D117">
        <v>1</v>
      </c>
    </row>
    <row r="118" spans="1:6" x14ac:dyDescent="0.2">
      <c r="A118" t="s">
        <v>439</v>
      </c>
      <c r="B118" t="s">
        <v>440</v>
      </c>
      <c r="C118" t="s">
        <v>279</v>
      </c>
      <c r="D118">
        <v>1</v>
      </c>
      <c r="F118">
        <v>1</v>
      </c>
    </row>
    <row r="119" spans="1:6" x14ac:dyDescent="0.2">
      <c r="A119" t="s">
        <v>441</v>
      </c>
      <c r="B119" t="s">
        <v>442</v>
      </c>
      <c r="C119" t="s">
        <v>279</v>
      </c>
      <c r="D119">
        <v>1</v>
      </c>
      <c r="F119">
        <v>1</v>
      </c>
    </row>
    <row r="120" spans="1:6" x14ac:dyDescent="0.2">
      <c r="A120" t="s">
        <v>175</v>
      </c>
      <c r="B120" t="s">
        <v>245</v>
      </c>
      <c r="C120" t="s">
        <v>282</v>
      </c>
      <c r="D120">
        <v>1</v>
      </c>
      <c r="E120">
        <v>1</v>
      </c>
      <c r="F120">
        <v>1</v>
      </c>
    </row>
    <row r="121" spans="1:6" x14ac:dyDescent="0.2">
      <c r="A121" t="s">
        <v>443</v>
      </c>
      <c r="B121" t="s">
        <v>245</v>
      </c>
      <c r="C121" t="s">
        <v>292</v>
      </c>
      <c r="D121">
        <v>1</v>
      </c>
      <c r="F121">
        <v>1</v>
      </c>
    </row>
    <row r="122" spans="1:6" x14ac:dyDescent="0.2">
      <c r="A122" t="s">
        <v>444</v>
      </c>
      <c r="B122" t="s">
        <v>245</v>
      </c>
      <c r="C122" t="s">
        <v>292</v>
      </c>
      <c r="D122">
        <v>1</v>
      </c>
      <c r="F122">
        <v>1</v>
      </c>
    </row>
    <row r="123" spans="1:6" x14ac:dyDescent="0.2">
      <c r="A123" t="s">
        <v>445</v>
      </c>
      <c r="B123" t="s">
        <v>245</v>
      </c>
      <c r="C123" t="s">
        <v>292</v>
      </c>
      <c r="D123">
        <v>1</v>
      </c>
      <c r="F123">
        <v>1</v>
      </c>
    </row>
    <row r="124" spans="1:6" x14ac:dyDescent="0.2">
      <c r="A124" t="s">
        <v>446</v>
      </c>
      <c r="B124" t="s">
        <v>245</v>
      </c>
      <c r="C124">
        <v>3</v>
      </c>
      <c r="D124">
        <v>1</v>
      </c>
      <c r="F124">
        <v>1</v>
      </c>
    </row>
    <row r="125" spans="1:6" x14ac:dyDescent="0.2">
      <c r="A125" t="s">
        <v>447</v>
      </c>
      <c r="B125" t="s">
        <v>245</v>
      </c>
      <c r="C125" t="s">
        <v>292</v>
      </c>
      <c r="D125">
        <v>1</v>
      </c>
      <c r="F125">
        <v>1</v>
      </c>
    </row>
    <row r="126" spans="1:6" x14ac:dyDescent="0.2">
      <c r="A126" t="s">
        <v>448</v>
      </c>
      <c r="B126" t="s">
        <v>449</v>
      </c>
      <c r="C126" t="s">
        <v>282</v>
      </c>
      <c r="D126">
        <v>1</v>
      </c>
      <c r="F126">
        <v>1</v>
      </c>
    </row>
    <row r="127" spans="1:6" x14ac:dyDescent="0.2">
      <c r="A127" t="s">
        <v>123</v>
      </c>
      <c r="B127" t="s">
        <v>450</v>
      </c>
      <c r="C127">
        <v>3</v>
      </c>
      <c r="D127">
        <v>1</v>
      </c>
      <c r="F127">
        <v>1</v>
      </c>
    </row>
    <row r="128" spans="1:6" x14ac:dyDescent="0.2">
      <c r="A128" t="s">
        <v>177</v>
      </c>
      <c r="B128" t="s">
        <v>451</v>
      </c>
      <c r="C128" t="s">
        <v>282</v>
      </c>
      <c r="D128">
        <v>1</v>
      </c>
      <c r="E128">
        <v>1</v>
      </c>
      <c r="F128">
        <v>1</v>
      </c>
    </row>
    <row r="129" spans="1:6" x14ac:dyDescent="0.2">
      <c r="A129" t="s">
        <v>452</v>
      </c>
      <c r="B129" t="s">
        <v>451</v>
      </c>
      <c r="C129" t="s">
        <v>282</v>
      </c>
      <c r="D129">
        <v>1</v>
      </c>
      <c r="E129">
        <v>1</v>
      </c>
      <c r="F129">
        <v>1</v>
      </c>
    </row>
    <row r="130" spans="1:6" x14ac:dyDescent="0.2">
      <c r="A130" t="s">
        <v>453</v>
      </c>
      <c r="B130" t="s">
        <v>451</v>
      </c>
      <c r="C130" t="s">
        <v>282</v>
      </c>
      <c r="D130">
        <v>1</v>
      </c>
      <c r="E130">
        <v>1</v>
      </c>
      <c r="F130">
        <v>1</v>
      </c>
    </row>
    <row r="131" spans="1:6" x14ac:dyDescent="0.2">
      <c r="A131" t="s">
        <v>454</v>
      </c>
      <c r="B131" t="s">
        <v>451</v>
      </c>
      <c r="C131" t="s">
        <v>282</v>
      </c>
      <c r="D131">
        <v>1</v>
      </c>
      <c r="E131">
        <v>1</v>
      </c>
      <c r="F131">
        <v>1</v>
      </c>
    </row>
    <row r="132" spans="1:6" x14ac:dyDescent="0.2">
      <c r="A132" t="s">
        <v>455</v>
      </c>
      <c r="B132" t="s">
        <v>451</v>
      </c>
      <c r="C132" t="s">
        <v>282</v>
      </c>
      <c r="D132">
        <v>1</v>
      </c>
      <c r="E132">
        <v>1</v>
      </c>
      <c r="F132">
        <v>1</v>
      </c>
    </row>
    <row r="133" spans="1:6" x14ac:dyDescent="0.2">
      <c r="A133" t="s">
        <v>456</v>
      </c>
      <c r="B133" t="s">
        <v>451</v>
      </c>
      <c r="C133" t="s">
        <v>282</v>
      </c>
      <c r="D133">
        <v>1</v>
      </c>
      <c r="E133">
        <v>1</v>
      </c>
      <c r="F133">
        <v>1</v>
      </c>
    </row>
    <row r="134" spans="1:6" x14ac:dyDescent="0.2">
      <c r="A134" t="s">
        <v>457</v>
      </c>
      <c r="B134" t="s">
        <v>458</v>
      </c>
      <c r="C134" t="s">
        <v>279</v>
      </c>
      <c r="D134">
        <v>1</v>
      </c>
    </row>
    <row r="135" spans="1:6" x14ac:dyDescent="0.2">
      <c r="A135" t="s">
        <v>459</v>
      </c>
      <c r="B135" t="s">
        <v>460</v>
      </c>
      <c r="C135" t="s">
        <v>279</v>
      </c>
      <c r="D135">
        <v>1</v>
      </c>
    </row>
    <row r="136" spans="1:6" x14ac:dyDescent="0.2">
      <c r="A136" t="s">
        <v>461</v>
      </c>
      <c r="B136" t="s">
        <v>462</v>
      </c>
      <c r="C136">
        <v>1</v>
      </c>
      <c r="D136">
        <v>1</v>
      </c>
      <c r="F136">
        <v>1</v>
      </c>
    </row>
    <row r="137" spans="1:6" x14ac:dyDescent="0.2">
      <c r="A137" t="s">
        <v>463</v>
      </c>
      <c r="B137" t="s">
        <v>464</v>
      </c>
      <c r="C137" t="s">
        <v>279</v>
      </c>
      <c r="D137">
        <v>1</v>
      </c>
    </row>
    <row r="138" spans="1:6" x14ac:dyDescent="0.2">
      <c r="A138" t="s">
        <v>465</v>
      </c>
      <c r="B138" t="s">
        <v>466</v>
      </c>
      <c r="C138" t="s">
        <v>279</v>
      </c>
      <c r="D138">
        <v>1</v>
      </c>
      <c r="F138">
        <v>1</v>
      </c>
    </row>
    <row r="139" spans="1:6" x14ac:dyDescent="0.2">
      <c r="A139" t="s">
        <v>467</v>
      </c>
      <c r="B139" t="s">
        <v>468</v>
      </c>
      <c r="C139" t="s">
        <v>279</v>
      </c>
      <c r="D139">
        <v>1</v>
      </c>
      <c r="F139">
        <v>1</v>
      </c>
    </row>
    <row r="140" spans="1:6" x14ac:dyDescent="0.2">
      <c r="A140" t="s">
        <v>469</v>
      </c>
      <c r="B140" t="s">
        <v>470</v>
      </c>
      <c r="C140" t="s">
        <v>279</v>
      </c>
      <c r="D140">
        <v>1</v>
      </c>
    </row>
    <row r="141" spans="1:6" x14ac:dyDescent="0.2">
      <c r="A141" t="s">
        <v>471</v>
      </c>
      <c r="B141" t="s">
        <v>472</v>
      </c>
      <c r="C141" t="s">
        <v>282</v>
      </c>
      <c r="D141">
        <v>1</v>
      </c>
      <c r="E141">
        <v>1</v>
      </c>
      <c r="F141">
        <v>1</v>
      </c>
    </row>
    <row r="142" spans="1:6" x14ac:dyDescent="0.2">
      <c r="A142" t="s">
        <v>473</v>
      </c>
      <c r="B142" t="s">
        <v>474</v>
      </c>
      <c r="C142" t="s">
        <v>279</v>
      </c>
      <c r="D142">
        <v>1</v>
      </c>
      <c r="F142">
        <v>1</v>
      </c>
    </row>
    <row r="143" spans="1:6" x14ac:dyDescent="0.2">
      <c r="A143" t="s">
        <v>475</v>
      </c>
      <c r="B143" t="s">
        <v>476</v>
      </c>
      <c r="C143" t="s">
        <v>334</v>
      </c>
      <c r="D143">
        <v>1</v>
      </c>
    </row>
    <row r="144" spans="1:6" x14ac:dyDescent="0.2">
      <c r="A144" t="s">
        <v>477</v>
      </c>
      <c r="B144" t="s">
        <v>478</v>
      </c>
      <c r="C144" t="s">
        <v>334</v>
      </c>
      <c r="D144">
        <v>1</v>
      </c>
    </row>
    <row r="145" spans="1:6" x14ac:dyDescent="0.2">
      <c r="A145" t="s">
        <v>479</v>
      </c>
      <c r="B145" t="s">
        <v>480</v>
      </c>
      <c r="C145" t="s">
        <v>282</v>
      </c>
      <c r="D145">
        <v>1</v>
      </c>
      <c r="E145">
        <v>1</v>
      </c>
      <c r="F145">
        <v>1</v>
      </c>
    </row>
    <row r="146" spans="1:6" x14ac:dyDescent="0.2">
      <c r="A146" t="s">
        <v>481</v>
      </c>
      <c r="B146" t="s">
        <v>480</v>
      </c>
      <c r="C146" t="s">
        <v>292</v>
      </c>
      <c r="D146">
        <v>1</v>
      </c>
      <c r="F146">
        <v>1</v>
      </c>
    </row>
    <row r="147" spans="1:6" x14ac:dyDescent="0.2">
      <c r="A147" t="s">
        <v>482</v>
      </c>
      <c r="B147" t="s">
        <v>480</v>
      </c>
      <c r="C147">
        <v>3</v>
      </c>
      <c r="D147">
        <v>1</v>
      </c>
      <c r="F147">
        <v>1</v>
      </c>
    </row>
    <row r="148" spans="1:6" x14ac:dyDescent="0.2">
      <c r="A148" t="s">
        <v>483</v>
      </c>
      <c r="B148" t="s">
        <v>480</v>
      </c>
      <c r="C148" t="s">
        <v>292</v>
      </c>
      <c r="D148">
        <v>1</v>
      </c>
      <c r="F148">
        <v>1</v>
      </c>
    </row>
    <row r="149" spans="1:6" x14ac:dyDescent="0.2">
      <c r="A149" t="s">
        <v>484</v>
      </c>
      <c r="B149" t="s">
        <v>480</v>
      </c>
      <c r="C149" t="s">
        <v>282</v>
      </c>
      <c r="D149">
        <v>1</v>
      </c>
      <c r="F149">
        <v>1</v>
      </c>
    </row>
    <row r="150" spans="1:6" x14ac:dyDescent="0.2">
      <c r="A150" t="s">
        <v>485</v>
      </c>
      <c r="B150" t="s">
        <v>480</v>
      </c>
      <c r="C150">
        <v>0</v>
      </c>
      <c r="D150">
        <v>1</v>
      </c>
      <c r="F150">
        <v>1</v>
      </c>
    </row>
    <row r="151" spans="1:6" x14ac:dyDescent="0.2">
      <c r="A151" t="s">
        <v>486</v>
      </c>
      <c r="B151" t="s">
        <v>487</v>
      </c>
      <c r="C151" t="s">
        <v>279</v>
      </c>
      <c r="D151">
        <v>1</v>
      </c>
    </row>
    <row r="152" spans="1:6" x14ac:dyDescent="0.2">
      <c r="A152" t="s">
        <v>488</v>
      </c>
      <c r="B152" t="s">
        <v>488</v>
      </c>
      <c r="C152">
        <v>1</v>
      </c>
      <c r="D152">
        <v>1</v>
      </c>
      <c r="F152">
        <v>1</v>
      </c>
    </row>
    <row r="153" spans="1:6" x14ac:dyDescent="0.2">
      <c r="A153" t="s">
        <v>489</v>
      </c>
      <c r="B153" t="s">
        <v>490</v>
      </c>
      <c r="C153" t="s">
        <v>282</v>
      </c>
      <c r="D153">
        <v>1</v>
      </c>
      <c r="F153">
        <v>1</v>
      </c>
    </row>
    <row r="154" spans="1:6" x14ac:dyDescent="0.2">
      <c r="A154" t="s">
        <v>491</v>
      </c>
      <c r="B154" t="s">
        <v>492</v>
      </c>
      <c r="C154" t="s">
        <v>279</v>
      </c>
      <c r="D154">
        <v>1</v>
      </c>
    </row>
    <row r="155" spans="1:6" x14ac:dyDescent="0.2">
      <c r="A155" t="s">
        <v>493</v>
      </c>
      <c r="B155" t="s">
        <v>494</v>
      </c>
      <c r="C155" t="s">
        <v>279</v>
      </c>
      <c r="D155">
        <v>1</v>
      </c>
    </row>
    <row r="156" spans="1:6" x14ac:dyDescent="0.2">
      <c r="A156" t="s">
        <v>495</v>
      </c>
      <c r="B156" t="s">
        <v>496</v>
      </c>
      <c r="C156" t="s">
        <v>279</v>
      </c>
      <c r="D156">
        <v>1</v>
      </c>
    </row>
    <row r="157" spans="1:6" x14ac:dyDescent="0.2">
      <c r="A157" t="s">
        <v>497</v>
      </c>
      <c r="B157" t="s">
        <v>498</v>
      </c>
      <c r="C157" t="s">
        <v>282</v>
      </c>
      <c r="D157">
        <v>1</v>
      </c>
      <c r="F157">
        <v>1</v>
      </c>
    </row>
    <row r="158" spans="1:6" x14ac:dyDescent="0.2">
      <c r="A158" t="s">
        <v>499</v>
      </c>
      <c r="B158" t="s">
        <v>500</v>
      </c>
      <c r="C158">
        <v>5</v>
      </c>
      <c r="D158">
        <v>1</v>
      </c>
    </row>
    <row r="159" spans="1:6" x14ac:dyDescent="0.2">
      <c r="A159" t="s">
        <v>249</v>
      </c>
      <c r="B159" t="s">
        <v>501</v>
      </c>
      <c r="C159" t="s">
        <v>274</v>
      </c>
      <c r="D159">
        <v>1</v>
      </c>
      <c r="F159">
        <v>1</v>
      </c>
    </row>
    <row r="160" spans="1:6" x14ac:dyDescent="0.2">
      <c r="A160" t="s">
        <v>502</v>
      </c>
      <c r="B160" t="s">
        <v>503</v>
      </c>
      <c r="C160" t="s">
        <v>279</v>
      </c>
      <c r="D160">
        <v>1</v>
      </c>
      <c r="F160">
        <v>1</v>
      </c>
    </row>
    <row r="161" spans="1:6" x14ac:dyDescent="0.2">
      <c r="A161" t="s">
        <v>504</v>
      </c>
      <c r="B161" t="s">
        <v>505</v>
      </c>
      <c r="C161" t="s">
        <v>279</v>
      </c>
      <c r="D161">
        <v>1</v>
      </c>
    </row>
    <row r="162" spans="1:6" x14ac:dyDescent="0.2">
      <c r="A162" t="s">
        <v>179</v>
      </c>
      <c r="B162" t="s">
        <v>506</v>
      </c>
      <c r="C162">
        <v>1</v>
      </c>
      <c r="D162">
        <v>1</v>
      </c>
      <c r="F162">
        <v>1</v>
      </c>
    </row>
    <row r="163" spans="1:6" x14ac:dyDescent="0.2">
      <c r="A163" t="s">
        <v>180</v>
      </c>
      <c r="B163" t="s">
        <v>507</v>
      </c>
      <c r="C163">
        <v>1</v>
      </c>
      <c r="D163">
        <v>1</v>
      </c>
      <c r="F163">
        <v>1</v>
      </c>
    </row>
    <row r="164" spans="1:6" x14ac:dyDescent="0.2">
      <c r="A164" t="s">
        <v>508</v>
      </c>
      <c r="B164" t="s">
        <v>509</v>
      </c>
      <c r="C164" t="s">
        <v>279</v>
      </c>
      <c r="D164">
        <v>1</v>
      </c>
    </row>
    <row r="165" spans="1:6" x14ac:dyDescent="0.2">
      <c r="A165" t="s">
        <v>510</v>
      </c>
      <c r="B165" t="s">
        <v>511</v>
      </c>
      <c r="C165">
        <v>1</v>
      </c>
      <c r="D165">
        <v>1</v>
      </c>
      <c r="F165">
        <v>1</v>
      </c>
    </row>
    <row r="166" spans="1:6" x14ac:dyDescent="0.2">
      <c r="A166" t="s">
        <v>256</v>
      </c>
      <c r="B166" t="s">
        <v>512</v>
      </c>
      <c r="C166">
        <v>3</v>
      </c>
      <c r="D166">
        <v>1</v>
      </c>
      <c r="F166">
        <v>1</v>
      </c>
    </row>
    <row r="167" spans="1:6" x14ac:dyDescent="0.2">
      <c r="A167" t="s">
        <v>513</v>
      </c>
      <c r="B167" t="s">
        <v>512</v>
      </c>
      <c r="C167">
        <v>3</v>
      </c>
      <c r="D167">
        <v>1</v>
      </c>
    </row>
    <row r="168" spans="1:6" x14ac:dyDescent="0.2">
      <c r="A168" t="s">
        <v>514</v>
      </c>
      <c r="B168" t="s">
        <v>512</v>
      </c>
      <c r="C168">
        <v>3</v>
      </c>
      <c r="D168">
        <v>1</v>
      </c>
    </row>
    <row r="169" spans="1:6" x14ac:dyDescent="0.2">
      <c r="A169" t="s">
        <v>515</v>
      </c>
      <c r="B169" t="s">
        <v>512</v>
      </c>
      <c r="C169">
        <v>3</v>
      </c>
      <c r="D169">
        <v>1</v>
      </c>
    </row>
    <row r="170" spans="1:6" x14ac:dyDescent="0.2">
      <c r="A170" t="s">
        <v>516</v>
      </c>
      <c r="B170" t="s">
        <v>512</v>
      </c>
      <c r="C170">
        <v>3</v>
      </c>
      <c r="D170">
        <v>1</v>
      </c>
    </row>
    <row r="171" spans="1:6" x14ac:dyDescent="0.2">
      <c r="A171" t="s">
        <v>517</v>
      </c>
      <c r="B171" t="s">
        <v>512</v>
      </c>
      <c r="C171">
        <v>3</v>
      </c>
      <c r="D171">
        <v>1</v>
      </c>
      <c r="F171">
        <v>1</v>
      </c>
    </row>
    <row r="172" spans="1:6" x14ac:dyDescent="0.2">
      <c r="A172" t="s">
        <v>181</v>
      </c>
      <c r="B172" t="s">
        <v>518</v>
      </c>
      <c r="C172">
        <v>1</v>
      </c>
      <c r="D172">
        <v>1</v>
      </c>
      <c r="F172">
        <v>1</v>
      </c>
    </row>
    <row r="173" spans="1:6" x14ac:dyDescent="0.2">
      <c r="A173" t="s">
        <v>223</v>
      </c>
      <c r="B173" t="s">
        <v>519</v>
      </c>
      <c r="C173">
        <v>1</v>
      </c>
      <c r="D173">
        <v>1</v>
      </c>
      <c r="F173">
        <v>1</v>
      </c>
    </row>
    <row r="174" spans="1:6" x14ac:dyDescent="0.2">
      <c r="A174" t="s">
        <v>520</v>
      </c>
      <c r="B174" t="s">
        <v>521</v>
      </c>
      <c r="C174">
        <v>3</v>
      </c>
      <c r="D174">
        <v>1</v>
      </c>
    </row>
    <row r="175" spans="1:6" x14ac:dyDescent="0.2">
      <c r="A175" t="s">
        <v>522</v>
      </c>
      <c r="B175" t="s">
        <v>523</v>
      </c>
      <c r="C175" t="s">
        <v>279</v>
      </c>
      <c r="D175">
        <v>1</v>
      </c>
    </row>
    <row r="176" spans="1:6" x14ac:dyDescent="0.2">
      <c r="A176" t="s">
        <v>524</v>
      </c>
      <c r="B176" t="s">
        <v>523</v>
      </c>
      <c r="C176" t="s">
        <v>279</v>
      </c>
      <c r="D176">
        <v>1</v>
      </c>
    </row>
    <row r="177" spans="1:6" x14ac:dyDescent="0.2">
      <c r="A177" t="s">
        <v>525</v>
      </c>
      <c r="B177" t="s">
        <v>523</v>
      </c>
      <c r="C177" t="s">
        <v>279</v>
      </c>
      <c r="D177">
        <v>1</v>
      </c>
    </row>
    <row r="178" spans="1:6" x14ac:dyDescent="0.2">
      <c r="A178" t="s">
        <v>526</v>
      </c>
      <c r="B178" t="s">
        <v>523</v>
      </c>
      <c r="C178" t="s">
        <v>279</v>
      </c>
      <c r="D178">
        <v>1</v>
      </c>
    </row>
    <row r="179" spans="1:6" x14ac:dyDescent="0.2">
      <c r="A179" t="s">
        <v>527</v>
      </c>
      <c r="B179" t="s">
        <v>523</v>
      </c>
      <c r="C179" t="s">
        <v>279</v>
      </c>
      <c r="D179">
        <v>1</v>
      </c>
    </row>
    <row r="180" spans="1:6" x14ac:dyDescent="0.2">
      <c r="A180" t="s">
        <v>528</v>
      </c>
      <c r="B180" t="s">
        <v>523</v>
      </c>
      <c r="C180" t="s">
        <v>279</v>
      </c>
      <c r="D180">
        <v>1</v>
      </c>
    </row>
    <row r="181" spans="1:6" x14ac:dyDescent="0.2">
      <c r="A181" t="s">
        <v>258</v>
      </c>
      <c r="B181" t="s">
        <v>529</v>
      </c>
      <c r="C181">
        <v>3</v>
      </c>
      <c r="D181">
        <v>1</v>
      </c>
      <c r="F181">
        <v>1</v>
      </c>
    </row>
    <row r="182" spans="1:6" x14ac:dyDescent="0.2">
      <c r="A182" t="s">
        <v>530</v>
      </c>
      <c r="B182" t="s">
        <v>529</v>
      </c>
      <c r="C182">
        <v>3</v>
      </c>
      <c r="D182">
        <v>1</v>
      </c>
    </row>
    <row r="183" spans="1:6" x14ac:dyDescent="0.2">
      <c r="A183" t="s">
        <v>531</v>
      </c>
      <c r="B183" t="s">
        <v>529</v>
      </c>
      <c r="C183">
        <v>3</v>
      </c>
      <c r="D183">
        <v>1</v>
      </c>
    </row>
    <row r="184" spans="1:6" x14ac:dyDescent="0.2">
      <c r="A184" t="s">
        <v>532</v>
      </c>
      <c r="B184" t="s">
        <v>529</v>
      </c>
      <c r="C184">
        <v>3</v>
      </c>
      <c r="D184">
        <v>1</v>
      </c>
    </row>
    <row r="185" spans="1:6" x14ac:dyDescent="0.2">
      <c r="A185" t="s">
        <v>533</v>
      </c>
      <c r="B185" t="s">
        <v>529</v>
      </c>
      <c r="C185">
        <v>3</v>
      </c>
      <c r="D185">
        <v>1</v>
      </c>
    </row>
    <row r="186" spans="1:6" x14ac:dyDescent="0.2">
      <c r="A186" t="s">
        <v>534</v>
      </c>
      <c r="B186" t="s">
        <v>529</v>
      </c>
      <c r="C186">
        <v>3</v>
      </c>
      <c r="D186">
        <v>1</v>
      </c>
      <c r="F186">
        <v>1</v>
      </c>
    </row>
    <row r="187" spans="1:6" x14ac:dyDescent="0.2">
      <c r="A187" t="s">
        <v>1353</v>
      </c>
      <c r="B187" t="s">
        <v>1354</v>
      </c>
      <c r="C187" t="s">
        <v>279</v>
      </c>
      <c r="D187">
        <v>1</v>
      </c>
    </row>
    <row r="188" spans="1:6" x14ac:dyDescent="0.2">
      <c r="A188" t="s">
        <v>535</v>
      </c>
      <c r="B188" t="s">
        <v>536</v>
      </c>
      <c r="C188" t="s">
        <v>279</v>
      </c>
      <c r="D188">
        <v>1</v>
      </c>
    </row>
    <row r="189" spans="1:6" x14ac:dyDescent="0.2">
      <c r="A189" t="s">
        <v>537</v>
      </c>
      <c r="B189" t="s">
        <v>538</v>
      </c>
      <c r="C189" t="s">
        <v>279</v>
      </c>
      <c r="D189">
        <v>1</v>
      </c>
      <c r="F189">
        <v>1</v>
      </c>
    </row>
    <row r="190" spans="1:6" x14ac:dyDescent="0.2">
      <c r="A190" t="s">
        <v>1355</v>
      </c>
      <c r="B190" t="s">
        <v>1356</v>
      </c>
      <c r="C190" t="s">
        <v>292</v>
      </c>
      <c r="D190">
        <v>1</v>
      </c>
    </row>
    <row r="191" spans="1:6" x14ac:dyDescent="0.2">
      <c r="A191" t="s">
        <v>1357</v>
      </c>
      <c r="B191" t="s">
        <v>1358</v>
      </c>
      <c r="C191" t="s">
        <v>292</v>
      </c>
      <c r="D191">
        <v>1</v>
      </c>
    </row>
    <row r="192" spans="1:6" x14ac:dyDescent="0.2">
      <c r="A192" t="s">
        <v>1359</v>
      </c>
      <c r="B192" t="s">
        <v>279</v>
      </c>
      <c r="C192" t="s">
        <v>282</v>
      </c>
      <c r="D192">
        <v>1</v>
      </c>
    </row>
    <row r="193" spans="1:6" x14ac:dyDescent="0.2">
      <c r="A193" t="s">
        <v>1360</v>
      </c>
      <c r="B193" t="s">
        <v>1361</v>
      </c>
      <c r="C193" t="s">
        <v>292</v>
      </c>
      <c r="D193">
        <v>1</v>
      </c>
    </row>
    <row r="194" spans="1:6" x14ac:dyDescent="0.2">
      <c r="A194" t="s">
        <v>1362</v>
      </c>
      <c r="B194" t="s">
        <v>1363</v>
      </c>
      <c r="C194" t="s">
        <v>292</v>
      </c>
      <c r="D194">
        <v>1</v>
      </c>
    </row>
    <row r="195" spans="1:6" x14ac:dyDescent="0.2">
      <c r="A195" t="s">
        <v>1364</v>
      </c>
      <c r="B195" t="s">
        <v>1365</v>
      </c>
      <c r="C195" t="s">
        <v>282</v>
      </c>
      <c r="D195">
        <v>1</v>
      </c>
    </row>
    <row r="196" spans="1:6" x14ac:dyDescent="0.2">
      <c r="A196" t="s">
        <v>1366</v>
      </c>
      <c r="B196" t="s">
        <v>1367</v>
      </c>
      <c r="C196" t="s">
        <v>279</v>
      </c>
      <c r="D196">
        <v>1</v>
      </c>
    </row>
    <row r="197" spans="1:6" x14ac:dyDescent="0.2">
      <c r="A197" t="s">
        <v>1368</v>
      </c>
      <c r="B197" t="s">
        <v>1369</v>
      </c>
      <c r="C197" t="s">
        <v>292</v>
      </c>
      <c r="D197">
        <v>1</v>
      </c>
    </row>
    <row r="198" spans="1:6" x14ac:dyDescent="0.2">
      <c r="A198" t="s">
        <v>1370</v>
      </c>
      <c r="B198" t="s">
        <v>1371</v>
      </c>
      <c r="C198" t="s">
        <v>292</v>
      </c>
      <c r="D198">
        <v>1</v>
      </c>
    </row>
    <row r="199" spans="1:6" x14ac:dyDescent="0.2">
      <c r="A199" t="s">
        <v>1372</v>
      </c>
      <c r="B199" t="s">
        <v>1373</v>
      </c>
      <c r="C199" t="s">
        <v>279</v>
      </c>
      <c r="D199">
        <v>1</v>
      </c>
    </row>
    <row r="200" spans="1:6" x14ac:dyDescent="0.2">
      <c r="A200" t="s">
        <v>1374</v>
      </c>
      <c r="B200" t="s">
        <v>1375</v>
      </c>
      <c r="C200" t="s">
        <v>282</v>
      </c>
      <c r="D200">
        <v>1</v>
      </c>
    </row>
    <row r="201" spans="1:6" x14ac:dyDescent="0.2">
      <c r="A201" t="s">
        <v>1376</v>
      </c>
      <c r="B201" t="s">
        <v>1377</v>
      </c>
      <c r="C201" t="s">
        <v>292</v>
      </c>
      <c r="D201">
        <v>1</v>
      </c>
    </row>
    <row r="202" spans="1:6" x14ac:dyDescent="0.2">
      <c r="A202" t="s">
        <v>1378</v>
      </c>
      <c r="B202" t="s">
        <v>1379</v>
      </c>
      <c r="C202" t="s">
        <v>292</v>
      </c>
      <c r="D202">
        <v>1</v>
      </c>
    </row>
    <row r="203" spans="1:6" x14ac:dyDescent="0.2">
      <c r="A203" t="s">
        <v>539</v>
      </c>
      <c r="B203" t="s">
        <v>540</v>
      </c>
      <c r="C203">
        <v>1</v>
      </c>
      <c r="D203">
        <v>1</v>
      </c>
      <c r="F203">
        <v>1</v>
      </c>
    </row>
    <row r="204" spans="1:6" x14ac:dyDescent="0.2">
      <c r="A204" t="s">
        <v>1380</v>
      </c>
      <c r="B204" t="s">
        <v>1381</v>
      </c>
      <c r="C204" t="s">
        <v>279</v>
      </c>
      <c r="D204">
        <v>1</v>
      </c>
      <c r="F204">
        <v>1</v>
      </c>
    </row>
    <row r="205" spans="1:6" x14ac:dyDescent="0.2">
      <c r="A205" t="s">
        <v>1382</v>
      </c>
      <c r="B205" t="s">
        <v>1383</v>
      </c>
      <c r="C205" t="s">
        <v>279</v>
      </c>
      <c r="D205">
        <v>1</v>
      </c>
    </row>
    <row r="206" spans="1:6" x14ac:dyDescent="0.2">
      <c r="A206" t="s">
        <v>1384</v>
      </c>
      <c r="B206" t="s">
        <v>1383</v>
      </c>
      <c r="C206" t="s">
        <v>279</v>
      </c>
      <c r="D206">
        <v>1</v>
      </c>
    </row>
    <row r="207" spans="1:6" x14ac:dyDescent="0.2">
      <c r="A207" t="s">
        <v>1385</v>
      </c>
      <c r="B207" t="s">
        <v>1383</v>
      </c>
      <c r="C207" t="s">
        <v>279</v>
      </c>
      <c r="D207">
        <v>1</v>
      </c>
    </row>
    <row r="208" spans="1:6" x14ac:dyDescent="0.2">
      <c r="A208" t="s">
        <v>1386</v>
      </c>
      <c r="B208" t="s">
        <v>1383</v>
      </c>
      <c r="C208" t="s">
        <v>279</v>
      </c>
      <c r="D208">
        <v>1</v>
      </c>
    </row>
    <row r="209" spans="1:6" x14ac:dyDescent="0.2">
      <c r="A209" t="s">
        <v>1387</v>
      </c>
      <c r="B209" t="s">
        <v>1383</v>
      </c>
      <c r="C209" t="s">
        <v>279</v>
      </c>
      <c r="D209">
        <v>1</v>
      </c>
    </row>
    <row r="210" spans="1:6" x14ac:dyDescent="0.2">
      <c r="A210" t="s">
        <v>1388</v>
      </c>
      <c r="B210" t="s">
        <v>1383</v>
      </c>
      <c r="C210" t="s">
        <v>279</v>
      </c>
      <c r="D210">
        <v>1</v>
      </c>
    </row>
    <row r="211" spans="1:6" x14ac:dyDescent="0.2">
      <c r="A211" t="s">
        <v>1389</v>
      </c>
      <c r="B211" t="s">
        <v>1383</v>
      </c>
      <c r="C211" t="s">
        <v>279</v>
      </c>
      <c r="D211">
        <v>1</v>
      </c>
    </row>
    <row r="212" spans="1:6" x14ac:dyDescent="0.2">
      <c r="A212" t="s">
        <v>1390</v>
      </c>
      <c r="B212" t="s">
        <v>1383</v>
      </c>
      <c r="C212" t="s">
        <v>279</v>
      </c>
      <c r="D212">
        <v>1</v>
      </c>
    </row>
    <row r="213" spans="1:6" x14ac:dyDescent="0.2">
      <c r="A213" t="s">
        <v>1391</v>
      </c>
      <c r="B213" t="s">
        <v>1383</v>
      </c>
      <c r="C213" t="s">
        <v>279</v>
      </c>
      <c r="D213">
        <v>1</v>
      </c>
    </row>
    <row r="214" spans="1:6" x14ac:dyDescent="0.2">
      <c r="A214" t="s">
        <v>1392</v>
      </c>
      <c r="B214" t="s">
        <v>1393</v>
      </c>
      <c r="C214" t="s">
        <v>279</v>
      </c>
      <c r="D214">
        <v>1</v>
      </c>
    </row>
    <row r="215" spans="1:6" x14ac:dyDescent="0.2">
      <c r="A215" t="s">
        <v>1394</v>
      </c>
      <c r="B215" t="s">
        <v>1395</v>
      </c>
      <c r="C215" t="s">
        <v>279</v>
      </c>
      <c r="D215">
        <v>1</v>
      </c>
    </row>
    <row r="216" spans="1:6" x14ac:dyDescent="0.2">
      <c r="A216" t="s">
        <v>1396</v>
      </c>
      <c r="B216" t="s">
        <v>1397</v>
      </c>
      <c r="C216" t="s">
        <v>279</v>
      </c>
      <c r="D216">
        <v>1</v>
      </c>
    </row>
    <row r="217" spans="1:6" x14ac:dyDescent="0.2">
      <c r="A217" t="s">
        <v>1398</v>
      </c>
      <c r="B217" t="s">
        <v>1399</v>
      </c>
      <c r="C217" t="s">
        <v>279</v>
      </c>
      <c r="D217">
        <v>1</v>
      </c>
    </row>
    <row r="218" spans="1:6" x14ac:dyDescent="0.2">
      <c r="A218" t="s">
        <v>1400</v>
      </c>
      <c r="B218" t="s">
        <v>1401</v>
      </c>
      <c r="C218" t="s">
        <v>279</v>
      </c>
      <c r="D218">
        <v>1</v>
      </c>
    </row>
    <row r="219" spans="1:6" x14ac:dyDescent="0.2">
      <c r="A219" t="s">
        <v>1402</v>
      </c>
      <c r="B219" t="s">
        <v>1403</v>
      </c>
      <c r="C219" t="s">
        <v>279</v>
      </c>
      <c r="D219">
        <v>1</v>
      </c>
    </row>
    <row r="220" spans="1:6" x14ac:dyDescent="0.2">
      <c r="A220" t="s">
        <v>541</v>
      </c>
      <c r="D220">
        <v>211</v>
      </c>
      <c r="E220">
        <v>22</v>
      </c>
      <c r="F220">
        <v>128</v>
      </c>
    </row>
  </sheetData>
  <hyperlinks>
    <hyperlink ref="A2" location="data_elements!A1" display="Dictionary Page Link" xr:uid="{3CE34041-B0F6-456A-BA3B-11E8038A520F}"/>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D92D4B-9A4E-4E4D-8067-3C84638D217A}">
  <sheetPr codeName="Sheet2">
    <pageSetUpPr fitToPage="1"/>
  </sheetPr>
  <dimension ref="A1:AZ212"/>
  <sheetViews>
    <sheetView tabSelected="1" topLeftCell="A115" zoomScale="110" zoomScaleNormal="110" workbookViewId="0">
      <pane xSplit="2" topLeftCell="D1" activePane="topRight" state="frozen"/>
      <selection pane="topRight" activeCell="A6" sqref="A6"/>
    </sheetView>
  </sheetViews>
  <sheetFormatPr defaultColWidth="9" defaultRowHeight="14.25" x14ac:dyDescent="0.2"/>
  <cols>
    <col min="1" max="1" width="25.625" style="38" customWidth="1"/>
    <col min="2" max="2" width="30.25" style="43" customWidth="1"/>
    <col min="3" max="3" width="16" style="38" customWidth="1"/>
    <col min="4" max="4" width="34" style="43" customWidth="1"/>
    <col min="5" max="5" width="54.25" style="43" customWidth="1"/>
    <col min="6" max="6" width="32.5" style="43" customWidth="1"/>
    <col min="7" max="7" width="8.5" style="38" customWidth="1"/>
    <col min="8" max="8" width="34.25" style="43" customWidth="1"/>
    <col min="9" max="9" width="13.375" style="44" customWidth="1"/>
    <col min="10" max="10" width="13.875" style="44" customWidth="1"/>
    <col min="11" max="11" width="19.625" style="38" customWidth="1"/>
    <col min="12" max="12" width="39.125" style="43" customWidth="1"/>
    <col min="13" max="13" width="55.375" style="43" customWidth="1"/>
    <col min="14" max="14" width="21.875" style="38" customWidth="1"/>
    <col min="15" max="15" width="16.75" style="38" customWidth="1"/>
    <col min="16" max="16" width="25.75" style="38" customWidth="1"/>
    <col min="17" max="17" width="25.75" style="43" customWidth="1"/>
    <col min="18" max="18" width="25.75" style="38" customWidth="1"/>
    <col min="19" max="19" width="12.75" style="38" customWidth="1"/>
    <col min="20" max="20" width="8.875" style="38" customWidth="1"/>
    <col min="21" max="21" width="15.75" style="38" customWidth="1"/>
    <col min="22" max="22" width="15.875" style="38" customWidth="1"/>
    <col min="23" max="23" width="9.625" style="38" customWidth="1"/>
    <col min="24" max="24" width="12.125" style="38" customWidth="1"/>
    <col min="25" max="27" width="14.875" style="38" customWidth="1"/>
    <col min="28" max="28" width="25.75" style="38" customWidth="1"/>
    <col min="29" max="29" width="16.625" style="38" customWidth="1"/>
    <col min="30" max="30" width="21.25" style="38" customWidth="1"/>
    <col min="31" max="31" width="10.25" style="38" customWidth="1"/>
    <col min="32" max="32" width="10.5" style="44" customWidth="1"/>
    <col min="33" max="33" width="21.625" style="38" bestFit="1" customWidth="1"/>
    <col min="34" max="34" width="9" style="38" customWidth="1"/>
    <col min="35" max="35" width="20.25" style="38" customWidth="1"/>
    <col min="36" max="36" width="12.5" style="38" customWidth="1"/>
    <col min="37" max="37" width="9" style="38" customWidth="1"/>
    <col min="38" max="38" width="2" style="38" customWidth="1"/>
    <col min="39" max="39" width="19" style="38" customWidth="1"/>
    <col min="40" max="40" width="35.625" style="63" customWidth="1"/>
    <col min="41" max="41" width="50.125" style="106" customWidth="1"/>
    <col min="42" max="42" width="21.125" style="106" customWidth="1"/>
    <col min="43" max="43" width="9" customWidth="1"/>
    <col min="45" max="45" width="9" style="38" customWidth="1"/>
    <col min="46" max="16384" width="9" style="38"/>
  </cols>
  <sheetData>
    <row r="1" spans="1:52" x14ac:dyDescent="0.2">
      <c r="B1" s="72"/>
      <c r="C1" s="39"/>
      <c r="E1" s="71"/>
      <c r="F1" s="72"/>
      <c r="G1" s="39"/>
      <c r="N1" s="40"/>
      <c r="O1" s="39"/>
    </row>
    <row r="2" spans="1:52" ht="44.25" x14ac:dyDescent="0.2">
      <c r="A2" s="96" t="s">
        <v>1404</v>
      </c>
      <c r="E2" s="41"/>
      <c r="F2" s="72"/>
      <c r="G2" s="39"/>
      <c r="N2" s="40"/>
      <c r="O2" s="39"/>
      <c r="P2" s="38">
        <f>COUNTA(P6:P486)</f>
        <v>22</v>
      </c>
    </row>
    <row r="3" spans="1:52" x14ac:dyDescent="0.2">
      <c r="B3" s="72"/>
      <c r="C3" s="39"/>
      <c r="E3" s="71"/>
      <c r="F3" s="72"/>
      <c r="G3" s="39"/>
      <c r="N3" s="40"/>
      <c r="O3" s="39"/>
    </row>
    <row r="4" spans="1:52" ht="27" customHeight="1" x14ac:dyDescent="0.2">
      <c r="B4" s="72"/>
      <c r="C4" s="39"/>
      <c r="E4" s="71"/>
      <c r="F4" s="72"/>
      <c r="G4" s="39"/>
      <c r="N4" s="40"/>
      <c r="O4" s="39"/>
    </row>
    <row r="5" spans="1:52" ht="15" x14ac:dyDescent="0.2">
      <c r="B5" s="72"/>
      <c r="C5" s="39"/>
      <c r="E5" s="71"/>
      <c r="F5" s="72"/>
      <c r="G5" s="39"/>
      <c r="N5" s="40"/>
      <c r="O5" s="39"/>
      <c r="AJ5" s="41" t="s">
        <v>1405</v>
      </c>
    </row>
    <row r="6" spans="1:52" ht="44.25" customHeight="1" x14ac:dyDescent="0.2">
      <c r="A6" s="41" t="s">
        <v>265</v>
      </c>
      <c r="B6" s="48" t="s">
        <v>266</v>
      </c>
      <c r="C6" s="41" t="s">
        <v>1406</v>
      </c>
      <c r="D6" s="48" t="s">
        <v>1407</v>
      </c>
      <c r="E6" s="48" t="s">
        <v>1408</v>
      </c>
      <c r="F6" s="48" t="s">
        <v>1409</v>
      </c>
      <c r="G6" s="41" t="s">
        <v>1410</v>
      </c>
      <c r="H6" s="48" t="s">
        <v>1411</v>
      </c>
      <c r="I6" s="45" t="s">
        <v>1412</v>
      </c>
      <c r="J6" s="45" t="s">
        <v>1413</v>
      </c>
      <c r="K6" s="41" t="s">
        <v>1414</v>
      </c>
      <c r="L6" s="48" t="s">
        <v>1415</v>
      </c>
      <c r="M6" s="48" t="s">
        <v>1416</v>
      </c>
      <c r="N6" s="48" t="s">
        <v>1417</v>
      </c>
      <c r="O6" s="61" t="s">
        <v>263</v>
      </c>
      <c r="P6" s="61" t="s">
        <v>1418</v>
      </c>
      <c r="Q6" s="82" t="s">
        <v>1419</v>
      </c>
      <c r="R6" s="61" t="s">
        <v>549</v>
      </c>
      <c r="S6" s="61" t="s">
        <v>551</v>
      </c>
      <c r="T6" s="61" t="s">
        <v>554</v>
      </c>
      <c r="U6" s="61" t="s">
        <v>167</v>
      </c>
      <c r="V6" s="61" t="s">
        <v>556</v>
      </c>
      <c r="W6" s="61" t="s">
        <v>1420</v>
      </c>
      <c r="X6" s="61" t="s">
        <v>559</v>
      </c>
      <c r="Y6" s="61" t="s">
        <v>1421</v>
      </c>
      <c r="Z6" s="61" t="s">
        <v>142</v>
      </c>
      <c r="AA6" s="61" t="s">
        <v>1422</v>
      </c>
      <c r="AB6" s="61" t="s">
        <v>564</v>
      </c>
      <c r="AC6" s="61" t="s">
        <v>1423</v>
      </c>
      <c r="AD6" s="38" t="s">
        <v>1424</v>
      </c>
      <c r="AE6" s="38" t="s">
        <v>1425</v>
      </c>
      <c r="AF6" s="121" t="s">
        <v>267</v>
      </c>
      <c r="AG6" s="38" t="s">
        <v>1426</v>
      </c>
      <c r="AH6" s="38" t="s">
        <v>1427</v>
      </c>
      <c r="AI6" s="38" t="s">
        <v>1428</v>
      </c>
      <c r="AJ6" s="143" t="s">
        <v>1429</v>
      </c>
      <c r="AK6" s="84" t="s">
        <v>1430</v>
      </c>
      <c r="AL6" s="38" t="s">
        <v>1431</v>
      </c>
      <c r="AM6" s="63" t="s">
        <v>261</v>
      </c>
      <c r="AN6" s="63" t="s">
        <v>1432</v>
      </c>
      <c r="AO6" s="47" t="s">
        <v>1433</v>
      </c>
      <c r="AP6" s="134" t="s">
        <v>1434</v>
      </c>
      <c r="AQ6" s="106"/>
      <c r="AS6"/>
      <c r="AU6"/>
      <c r="AX6" s="47" t="s">
        <v>1435</v>
      </c>
      <c r="AY6" s="63" t="s">
        <v>1436</v>
      </c>
      <c r="AZ6"/>
    </row>
    <row r="7" spans="1:52" ht="57.75" customHeight="1" x14ac:dyDescent="0.2">
      <c r="A7" s="38" t="s">
        <v>109</v>
      </c>
      <c r="B7" s="47" t="s">
        <v>1235</v>
      </c>
      <c r="C7" s="47" t="s">
        <v>1437</v>
      </c>
      <c r="D7" s="43" t="s">
        <v>271</v>
      </c>
      <c r="E7" s="47" t="s">
        <v>1438</v>
      </c>
      <c r="F7" s="43" t="s">
        <v>1439</v>
      </c>
      <c r="G7" s="38" t="s">
        <v>1440</v>
      </c>
      <c r="H7" s="43" t="s">
        <v>1441</v>
      </c>
      <c r="I7" s="44" t="s">
        <v>1442</v>
      </c>
      <c r="J7" s="44" t="s">
        <v>629</v>
      </c>
      <c r="K7" s="43"/>
      <c r="L7" s="43" t="s">
        <v>1443</v>
      </c>
      <c r="M7" s="74" t="s">
        <v>1444</v>
      </c>
      <c r="N7" s="43"/>
      <c r="O7" s="38" t="s">
        <v>1445</v>
      </c>
      <c r="Q7" s="43" t="str">
        <f>_xlfn.TEXTJOIN(", ",TRUE,wacor_data_dictionary[[#This Row],[Cardiobase Angioplasty]:[Development]])</f>
        <v>Cardiobase Angioplasty, HMDC, Redcap</v>
      </c>
      <c r="R7" s="38" t="s">
        <v>549</v>
      </c>
      <c r="T7" s="38" t="s">
        <v>554</v>
      </c>
      <c r="AA7" s="38" t="s">
        <v>580</v>
      </c>
      <c r="AC7" s="43" t="s">
        <v>1446</v>
      </c>
      <c r="AF7" s="44" t="s">
        <v>272</v>
      </c>
      <c r="AH7" s="38" t="s">
        <v>1447</v>
      </c>
      <c r="AI7" s="47" t="s">
        <v>1448</v>
      </c>
      <c r="AJ7" s="63">
        <v>1</v>
      </c>
      <c r="AK7" s="63"/>
      <c r="AL7" s="63"/>
      <c r="AM7" s="63" t="s">
        <v>1449</v>
      </c>
      <c r="AN7" s="47" t="s">
        <v>1450</v>
      </c>
      <c r="AO7" s="47" t="s">
        <v>576</v>
      </c>
      <c r="AP7" s="134"/>
      <c r="AQ7" s="107"/>
      <c r="AS7"/>
      <c r="AU7"/>
      <c r="AX7" s="59" t="s">
        <v>1451</v>
      </c>
      <c r="AY7" s="79" t="s">
        <v>1452</v>
      </c>
      <c r="AZ7"/>
    </row>
    <row r="8" spans="1:52" ht="81.75" customHeight="1" x14ac:dyDescent="0.2">
      <c r="A8" s="38" t="s">
        <v>111</v>
      </c>
      <c r="B8" s="43" t="s">
        <v>273</v>
      </c>
      <c r="C8" s="47" t="s">
        <v>1437</v>
      </c>
      <c r="E8" s="43" t="s">
        <v>1453</v>
      </c>
      <c r="F8" s="43" t="s">
        <v>1454</v>
      </c>
      <c r="G8" s="38" t="s">
        <v>1440</v>
      </c>
      <c r="H8" s="43" t="s">
        <v>1455</v>
      </c>
      <c r="I8" s="44" t="s">
        <v>629</v>
      </c>
      <c r="J8" s="44" t="s">
        <v>642</v>
      </c>
      <c r="K8" s="43"/>
      <c r="L8" s="38"/>
      <c r="M8" s="43" t="s">
        <v>1456</v>
      </c>
      <c r="N8" s="43"/>
      <c r="O8" s="38" t="s">
        <v>1457</v>
      </c>
      <c r="Q8" s="43" t="str">
        <f>_xlfn.TEXTJOIN(", ",TRUE,wacor_data_dictionary[[#This Row],[Cardiobase Angioplasty]:[Development]])</f>
        <v>Cardiobase Angioplasty, HMDC, Redcap</v>
      </c>
      <c r="R8" s="38" t="s">
        <v>549</v>
      </c>
      <c r="T8" s="38" t="s">
        <v>554</v>
      </c>
      <c r="AA8" s="38" t="s">
        <v>580</v>
      </c>
      <c r="AC8" s="43" t="s">
        <v>1446</v>
      </c>
      <c r="AF8" s="44" t="s">
        <v>274</v>
      </c>
      <c r="AJ8" s="63">
        <v>1</v>
      </c>
      <c r="AK8" s="63"/>
      <c r="AL8" s="63"/>
      <c r="AM8" s="63" t="s">
        <v>1449</v>
      </c>
      <c r="AN8" s="47" t="s">
        <v>1458</v>
      </c>
      <c r="AO8" s="47" t="s">
        <v>576</v>
      </c>
      <c r="AP8" s="134"/>
      <c r="AQ8" s="106"/>
      <c r="AS8"/>
      <c r="AU8"/>
      <c r="AX8" s="59" t="s">
        <v>1459</v>
      </c>
      <c r="AY8" s="79" t="s">
        <v>1460</v>
      </c>
      <c r="AZ8"/>
    </row>
    <row r="9" spans="1:52" ht="74.25" customHeight="1" x14ac:dyDescent="0.2">
      <c r="A9" s="63" t="s">
        <v>1380</v>
      </c>
      <c r="B9" s="47" t="s">
        <v>1381</v>
      </c>
      <c r="C9" s="63" t="s">
        <v>1437</v>
      </c>
      <c r="D9" s="47" t="s">
        <v>1461</v>
      </c>
      <c r="E9" s="47" t="s">
        <v>1462</v>
      </c>
      <c r="F9" s="47"/>
      <c r="G9" s="63" t="s">
        <v>1440</v>
      </c>
      <c r="H9" s="47" t="s">
        <v>1463</v>
      </c>
      <c r="I9" s="121">
        <v>0</v>
      </c>
      <c r="J9" s="121">
        <v>1</v>
      </c>
      <c r="K9" s="47"/>
      <c r="L9" s="63"/>
      <c r="M9" s="47"/>
      <c r="N9" s="47"/>
      <c r="O9" s="63" t="s">
        <v>1445</v>
      </c>
      <c r="P9" s="47" t="s">
        <v>1464</v>
      </c>
      <c r="Q9" s="47" t="str">
        <f>_xlfn.TEXTJOIN(", ",TRUE,wacor_data_dictionary[[#This Row],[Cardiobase Angioplasty]:[Development]])</f>
        <v>Cardiobase Angioplasty, Redcap</v>
      </c>
      <c r="R9" s="38" t="s">
        <v>549</v>
      </c>
      <c r="S9" s="63"/>
      <c r="T9" s="63"/>
      <c r="U9" s="63"/>
      <c r="V9" s="63"/>
      <c r="W9" s="63"/>
      <c r="X9" s="63"/>
      <c r="Y9" s="63"/>
      <c r="Z9" s="63"/>
      <c r="AA9" s="38" t="s">
        <v>580</v>
      </c>
      <c r="AB9" s="63"/>
      <c r="AC9" s="47"/>
      <c r="AD9" s="63"/>
      <c r="AE9" s="63"/>
      <c r="AF9" s="121">
        <v>3</v>
      </c>
      <c r="AG9" s="63"/>
      <c r="AH9" s="63"/>
      <c r="AI9" s="63"/>
      <c r="AJ9" s="63">
        <v>1</v>
      </c>
      <c r="AK9" s="63"/>
      <c r="AL9" s="63"/>
      <c r="AM9" s="63" t="str">
        <f>IF(COUNTIF('NCR Indicators'!K:K,"*"&amp;wacor_data_dictionary[[#This Row],[field_id]]&amp;"*")&gt;=1,"Yes","No")</f>
        <v>No</v>
      </c>
      <c r="AN9" s="47" t="s">
        <v>1465</v>
      </c>
      <c r="AO9" s="140" t="s">
        <v>576</v>
      </c>
      <c r="AQ9" s="106"/>
      <c r="AS9"/>
      <c r="AU9"/>
      <c r="AX9" s="59" t="s">
        <v>1466</v>
      </c>
      <c r="AY9" s="79" t="s">
        <v>1467</v>
      </c>
      <c r="AZ9"/>
    </row>
    <row r="10" spans="1:52" s="43" customFormat="1" ht="279" customHeight="1" x14ac:dyDescent="0.2">
      <c r="A10" s="63" t="s">
        <v>1382</v>
      </c>
      <c r="B10" s="47" t="s">
        <v>1383</v>
      </c>
      <c r="C10" s="63" t="s">
        <v>1437</v>
      </c>
      <c r="D10" s="47" t="s">
        <v>1468</v>
      </c>
      <c r="E10" s="47" t="s">
        <v>1469</v>
      </c>
      <c r="F10" s="47"/>
      <c r="G10" s="63" t="s">
        <v>1440</v>
      </c>
      <c r="H10" s="47" t="s">
        <v>1463</v>
      </c>
      <c r="I10" s="121">
        <v>0</v>
      </c>
      <c r="J10" s="121">
        <v>1</v>
      </c>
      <c r="K10" s="47"/>
      <c r="L10" s="63"/>
      <c r="M10" s="47"/>
      <c r="N10" s="47"/>
      <c r="O10" s="131" t="s">
        <v>1470</v>
      </c>
      <c r="P10" s="47" t="s">
        <v>1471</v>
      </c>
      <c r="Q10" s="47" t="str">
        <f>_xlfn.TEXTJOIN(", ",TRUE,wacor_data_dictionary[[#This Row],[Cardiobase Angioplasty]:[Development]])</f>
        <v>Cardiobase Angioplasty, Redcap</v>
      </c>
      <c r="R10" s="63" t="s">
        <v>549</v>
      </c>
      <c r="S10" s="63"/>
      <c r="T10" s="63"/>
      <c r="U10" s="63"/>
      <c r="V10" s="63"/>
      <c r="W10" s="63"/>
      <c r="X10" s="63"/>
      <c r="Y10" s="63"/>
      <c r="Z10" s="63"/>
      <c r="AA10" s="38" t="s">
        <v>580</v>
      </c>
      <c r="AB10" s="63"/>
      <c r="AC10" s="47"/>
      <c r="AD10" s="63"/>
      <c r="AE10" s="63"/>
      <c r="AF10" s="121"/>
      <c r="AG10" s="63"/>
      <c r="AH10" s="63"/>
      <c r="AI10" s="63"/>
      <c r="AJ10" s="63">
        <v>1</v>
      </c>
      <c r="AK10" s="63"/>
      <c r="AL10" s="63"/>
      <c r="AM10" s="63" t="str">
        <f>IF(COUNTIF('NCR Indicators'!K:K,"*"&amp;wacor_data_dictionary[[#This Row],[field_id]]&amp;"*")&gt;=1,"Yes","No")</f>
        <v>No</v>
      </c>
      <c r="AN10" s="47" t="s">
        <v>1472</v>
      </c>
      <c r="AO10" s="140" t="s">
        <v>576</v>
      </c>
      <c r="AP10" s="106"/>
      <c r="AQ10" s="106"/>
      <c r="AX10" s="59" t="s">
        <v>1473</v>
      </c>
      <c r="AY10" s="79" t="s">
        <v>1474</v>
      </c>
    </row>
    <row r="11" spans="1:52" ht="44.25" customHeight="1" x14ac:dyDescent="0.2">
      <c r="A11" s="63" t="s">
        <v>1384</v>
      </c>
      <c r="B11" s="47" t="s">
        <v>1383</v>
      </c>
      <c r="C11" s="63" t="s">
        <v>1437</v>
      </c>
      <c r="D11" s="47" t="s">
        <v>1468</v>
      </c>
      <c r="E11" s="47" t="s">
        <v>1475</v>
      </c>
      <c r="F11" s="47"/>
      <c r="G11" s="63" t="s">
        <v>1440</v>
      </c>
      <c r="H11" s="47" t="s">
        <v>1463</v>
      </c>
      <c r="I11" s="121">
        <v>0</v>
      </c>
      <c r="J11" s="121">
        <v>1</v>
      </c>
      <c r="K11" s="47"/>
      <c r="L11" s="63"/>
      <c r="M11" s="47"/>
      <c r="N11" s="47"/>
      <c r="O11" s="131" t="s">
        <v>1470</v>
      </c>
      <c r="P11" s="47" t="s">
        <v>1476</v>
      </c>
      <c r="Q11" s="47" t="str">
        <f>_xlfn.TEXTJOIN(", ",TRUE,wacor_data_dictionary[[#This Row],[Cardiobase Angioplasty]:[Development]])</f>
        <v>Redcap</v>
      </c>
      <c r="R11" s="63"/>
      <c r="S11" s="63"/>
      <c r="T11" s="63"/>
      <c r="U11" s="63"/>
      <c r="V11" s="63"/>
      <c r="W11" s="63"/>
      <c r="X11" s="63"/>
      <c r="Y11" s="63"/>
      <c r="Z11" s="63"/>
      <c r="AA11" s="38" t="s">
        <v>580</v>
      </c>
      <c r="AB11" s="63"/>
      <c r="AC11" s="47"/>
      <c r="AD11" s="63"/>
      <c r="AE11" s="63"/>
      <c r="AF11" s="121"/>
      <c r="AG11" s="63"/>
      <c r="AH11" s="63"/>
      <c r="AI11" s="63"/>
      <c r="AJ11" s="63">
        <v>1</v>
      </c>
      <c r="AK11" s="63"/>
      <c r="AL11" s="63"/>
      <c r="AM11" s="63" t="str">
        <f>IF(COUNTIF('NCR Indicators'!K:K,"*"&amp;wacor_data_dictionary[[#This Row],[field_id]]&amp;"*")&gt;=1,"Yes","No")</f>
        <v>No</v>
      </c>
      <c r="AN11" s="63" t="s">
        <v>1477</v>
      </c>
      <c r="AO11" s="140" t="s">
        <v>576</v>
      </c>
      <c r="AQ11" s="106"/>
      <c r="AR11" s="59" t="s">
        <v>1478</v>
      </c>
      <c r="AS11" s="79" t="s">
        <v>1479</v>
      </c>
      <c r="AT11"/>
      <c r="AU11"/>
    </row>
    <row r="12" spans="1:52" s="43" customFormat="1" ht="44.25" customHeight="1" x14ac:dyDescent="0.2">
      <c r="A12" s="63" t="s">
        <v>1385</v>
      </c>
      <c r="B12" s="47" t="s">
        <v>1383</v>
      </c>
      <c r="C12" s="63" t="s">
        <v>1437</v>
      </c>
      <c r="D12" s="47" t="s">
        <v>1468</v>
      </c>
      <c r="E12" s="47" t="s">
        <v>1480</v>
      </c>
      <c r="F12" s="47"/>
      <c r="G12" s="63" t="s">
        <v>1440</v>
      </c>
      <c r="H12" s="47" t="s">
        <v>1463</v>
      </c>
      <c r="I12" s="121">
        <v>0</v>
      </c>
      <c r="J12" s="121">
        <v>1</v>
      </c>
      <c r="K12" s="47"/>
      <c r="L12" s="63"/>
      <c r="M12" s="47"/>
      <c r="N12" s="47"/>
      <c r="O12" s="131" t="s">
        <v>1470</v>
      </c>
      <c r="P12" s="47" t="s">
        <v>1481</v>
      </c>
      <c r="Q12" s="47" t="str">
        <f>_xlfn.TEXTJOIN(", ",TRUE,wacor_data_dictionary[[#This Row],[Cardiobase Angioplasty]:[Development]])</f>
        <v>Redcap</v>
      </c>
      <c r="R12" s="63"/>
      <c r="S12" s="63"/>
      <c r="T12" s="63"/>
      <c r="U12" s="63"/>
      <c r="V12" s="63"/>
      <c r="W12" s="63"/>
      <c r="X12" s="63"/>
      <c r="Y12" s="63"/>
      <c r="Z12" s="63"/>
      <c r="AA12" s="38" t="s">
        <v>580</v>
      </c>
      <c r="AB12" s="63"/>
      <c r="AC12" s="47"/>
      <c r="AD12" s="63"/>
      <c r="AE12" s="63"/>
      <c r="AF12" s="121"/>
      <c r="AG12" s="63"/>
      <c r="AH12" s="63"/>
      <c r="AI12" s="63"/>
      <c r="AJ12" s="63">
        <v>1</v>
      </c>
      <c r="AK12" s="63"/>
      <c r="AL12" s="63"/>
      <c r="AM12" s="63" t="str">
        <f>IF(COUNTIF('NCR Indicators'!K:K,"*"&amp;wacor_data_dictionary[[#This Row],[field_id]]&amp;"*")&gt;=1,"Yes","No")</f>
        <v>No</v>
      </c>
      <c r="AN12" s="63" t="s">
        <v>1482</v>
      </c>
      <c r="AO12" s="140" t="s">
        <v>576</v>
      </c>
      <c r="AP12" s="106"/>
      <c r="AQ12" s="110"/>
      <c r="AR12" s="59" t="s">
        <v>1483</v>
      </c>
      <c r="AS12" s="79" t="s">
        <v>1484</v>
      </c>
    </row>
    <row r="13" spans="1:52" ht="44.25" customHeight="1" x14ac:dyDescent="0.2">
      <c r="A13" s="63" t="s">
        <v>1386</v>
      </c>
      <c r="B13" s="47" t="s">
        <v>1383</v>
      </c>
      <c r="C13" s="63" t="s">
        <v>1437</v>
      </c>
      <c r="D13" s="47" t="s">
        <v>1468</v>
      </c>
      <c r="E13" s="47" t="s">
        <v>1485</v>
      </c>
      <c r="F13" s="47"/>
      <c r="G13" s="63" t="s">
        <v>1440</v>
      </c>
      <c r="H13" s="47" t="s">
        <v>1463</v>
      </c>
      <c r="I13" s="121">
        <v>0</v>
      </c>
      <c r="J13" s="121">
        <v>1</v>
      </c>
      <c r="K13" s="47"/>
      <c r="L13" s="63"/>
      <c r="M13" s="47"/>
      <c r="N13" s="47"/>
      <c r="O13" s="131" t="s">
        <v>1470</v>
      </c>
      <c r="P13" s="47" t="s">
        <v>1486</v>
      </c>
      <c r="Q13" s="47" t="str">
        <f>_xlfn.TEXTJOIN(", ",TRUE,wacor_data_dictionary[[#This Row],[Cardiobase Angioplasty]:[Development]])</f>
        <v>Redcap</v>
      </c>
      <c r="R13" s="63"/>
      <c r="S13" s="63"/>
      <c r="T13" s="63"/>
      <c r="U13" s="63"/>
      <c r="V13" s="63"/>
      <c r="W13" s="63"/>
      <c r="X13" s="63"/>
      <c r="Y13" s="63"/>
      <c r="Z13" s="63"/>
      <c r="AA13" s="38" t="s">
        <v>580</v>
      </c>
      <c r="AB13" s="63"/>
      <c r="AC13" s="47"/>
      <c r="AD13" s="63"/>
      <c r="AE13" s="63"/>
      <c r="AF13" s="121"/>
      <c r="AG13" s="63"/>
      <c r="AH13" s="63"/>
      <c r="AI13" s="63"/>
      <c r="AJ13" s="63">
        <v>1</v>
      </c>
      <c r="AK13" s="63"/>
      <c r="AL13" s="63"/>
      <c r="AM13" s="63" t="str">
        <f>IF(COUNTIF('NCR Indicators'!K:K,"*"&amp;wacor_data_dictionary[[#This Row],[field_id]]&amp;"*")&gt;=1,"Yes","No")</f>
        <v>No</v>
      </c>
      <c r="AN13" s="63" t="s">
        <v>1487</v>
      </c>
      <c r="AO13" s="140" t="s">
        <v>576</v>
      </c>
      <c r="AQ13" s="113"/>
      <c r="AR13" s="59" t="s">
        <v>1488</v>
      </c>
      <c r="AS13" s="79" t="s">
        <v>1446</v>
      </c>
      <c r="AT13"/>
      <c r="AU13"/>
    </row>
    <row r="14" spans="1:52" ht="64.5" customHeight="1" x14ac:dyDescent="0.2">
      <c r="A14" s="63" t="s">
        <v>1387</v>
      </c>
      <c r="B14" s="47" t="s">
        <v>1383</v>
      </c>
      <c r="C14" s="63" t="s">
        <v>1437</v>
      </c>
      <c r="D14" s="47" t="s">
        <v>1468</v>
      </c>
      <c r="E14" s="47" t="s">
        <v>1489</v>
      </c>
      <c r="F14" s="47"/>
      <c r="G14" s="63" t="s">
        <v>1440</v>
      </c>
      <c r="H14" s="47" t="s">
        <v>1463</v>
      </c>
      <c r="I14" s="121">
        <v>0</v>
      </c>
      <c r="J14" s="121">
        <v>1</v>
      </c>
      <c r="K14" s="47"/>
      <c r="L14" s="63"/>
      <c r="M14" s="47"/>
      <c r="N14" s="47"/>
      <c r="O14" s="131" t="s">
        <v>1470</v>
      </c>
      <c r="P14" s="47" t="s">
        <v>1490</v>
      </c>
      <c r="Q14" s="47" t="str">
        <f>_xlfn.TEXTJOIN(", ",TRUE,wacor_data_dictionary[[#This Row],[Cardiobase Angioplasty]:[Development]])</f>
        <v>Redcap</v>
      </c>
      <c r="R14" s="63"/>
      <c r="S14" s="63"/>
      <c r="T14" s="63"/>
      <c r="U14" s="63"/>
      <c r="V14" s="63"/>
      <c r="W14" s="63"/>
      <c r="X14" s="63"/>
      <c r="Y14" s="63"/>
      <c r="Z14" s="63"/>
      <c r="AA14" s="38" t="s">
        <v>580</v>
      </c>
      <c r="AB14" s="63"/>
      <c r="AC14" s="47"/>
      <c r="AD14" s="63"/>
      <c r="AE14" s="63"/>
      <c r="AF14" s="121"/>
      <c r="AG14" s="63"/>
      <c r="AH14" s="63"/>
      <c r="AI14" s="63"/>
      <c r="AJ14" s="63">
        <v>1</v>
      </c>
      <c r="AK14" s="63"/>
      <c r="AL14" s="63"/>
      <c r="AM14" s="63" t="str">
        <f>IF(COUNTIF('NCR Indicators'!K:K,"*"&amp;wacor_data_dictionary[[#This Row],[field_id]]&amp;"*")&gt;=1,"Yes","No")</f>
        <v>No</v>
      </c>
      <c r="AN14" s="63" t="s">
        <v>1491</v>
      </c>
      <c r="AO14" s="140" t="s">
        <v>576</v>
      </c>
      <c r="AQ14" s="106"/>
      <c r="AR14" s="80" t="s">
        <v>1492</v>
      </c>
      <c r="AS14" s="79" t="s">
        <v>1493</v>
      </c>
      <c r="AT14"/>
      <c r="AU14"/>
    </row>
    <row r="15" spans="1:52" ht="44.25" customHeight="1" x14ac:dyDescent="0.2">
      <c r="A15" s="63" t="s">
        <v>1388</v>
      </c>
      <c r="B15" s="47" t="s">
        <v>1383</v>
      </c>
      <c r="C15" s="63" t="s">
        <v>1437</v>
      </c>
      <c r="D15" s="47" t="s">
        <v>1468</v>
      </c>
      <c r="E15" s="47" t="s">
        <v>1494</v>
      </c>
      <c r="F15" s="47"/>
      <c r="G15" s="63" t="s">
        <v>1440</v>
      </c>
      <c r="H15" s="47" t="s">
        <v>1463</v>
      </c>
      <c r="I15" s="121">
        <v>0</v>
      </c>
      <c r="J15" s="121">
        <v>1</v>
      </c>
      <c r="K15" s="47"/>
      <c r="L15" s="63"/>
      <c r="M15" s="47"/>
      <c r="N15" s="47"/>
      <c r="O15" s="131" t="s">
        <v>1470</v>
      </c>
      <c r="P15" s="47" t="s">
        <v>1495</v>
      </c>
      <c r="Q15" s="47" t="str">
        <f>_xlfn.TEXTJOIN(", ",TRUE,wacor_data_dictionary[[#This Row],[Cardiobase Angioplasty]:[Development]])</f>
        <v>Redcap</v>
      </c>
      <c r="R15" s="63"/>
      <c r="S15" s="63"/>
      <c r="T15" s="63"/>
      <c r="U15" s="63"/>
      <c r="V15" s="63"/>
      <c r="W15" s="63"/>
      <c r="X15" s="63"/>
      <c r="Y15" s="63"/>
      <c r="Z15" s="63"/>
      <c r="AA15" s="38" t="s">
        <v>580</v>
      </c>
      <c r="AB15" s="63"/>
      <c r="AC15" s="47"/>
      <c r="AD15" s="63"/>
      <c r="AE15" s="63"/>
      <c r="AF15" s="121"/>
      <c r="AG15" s="63"/>
      <c r="AH15" s="63"/>
      <c r="AI15" s="63"/>
      <c r="AJ15" s="63">
        <v>1</v>
      </c>
      <c r="AK15" s="63"/>
      <c r="AL15" s="63"/>
      <c r="AM15" s="63" t="str">
        <f>IF(COUNTIF('NCR Indicators'!K:K,"*"&amp;wacor_data_dictionary[[#This Row],[field_id]]&amp;"*")&gt;=1,"Yes","No")</f>
        <v>No</v>
      </c>
      <c r="AN15" s="63" t="s">
        <v>1496</v>
      </c>
      <c r="AO15" s="140" t="s">
        <v>576</v>
      </c>
      <c r="AQ15" s="106"/>
      <c r="AR15" s="47" t="s">
        <v>1497</v>
      </c>
      <c r="AS15" s="63"/>
      <c r="AT15"/>
      <c r="AU15"/>
    </row>
    <row r="16" spans="1:52" ht="44.25" customHeight="1" x14ac:dyDescent="0.2">
      <c r="A16" s="63" t="s">
        <v>1389</v>
      </c>
      <c r="B16" s="47" t="s">
        <v>1383</v>
      </c>
      <c r="C16" s="63" t="s">
        <v>1437</v>
      </c>
      <c r="D16" s="47" t="s">
        <v>1468</v>
      </c>
      <c r="E16" s="47" t="s">
        <v>1498</v>
      </c>
      <c r="F16" s="47"/>
      <c r="G16" s="63" t="s">
        <v>1440</v>
      </c>
      <c r="H16" s="47" t="s">
        <v>1463</v>
      </c>
      <c r="I16" s="121">
        <v>0</v>
      </c>
      <c r="J16" s="121">
        <v>1</v>
      </c>
      <c r="K16" s="47"/>
      <c r="L16" s="63"/>
      <c r="M16" s="47"/>
      <c r="N16" s="47"/>
      <c r="O16" s="131" t="s">
        <v>1470</v>
      </c>
      <c r="P16" s="47" t="s">
        <v>1499</v>
      </c>
      <c r="Q16" s="47" t="str">
        <f>_xlfn.TEXTJOIN(", ",TRUE,wacor_data_dictionary[[#This Row],[Cardiobase Angioplasty]:[Development]])</f>
        <v>Redcap</v>
      </c>
      <c r="R16" s="63"/>
      <c r="S16" s="63"/>
      <c r="T16" s="63"/>
      <c r="U16" s="63"/>
      <c r="V16" s="63"/>
      <c r="W16" s="63"/>
      <c r="X16" s="63"/>
      <c r="Y16" s="63"/>
      <c r="Z16" s="63"/>
      <c r="AA16" s="38" t="s">
        <v>580</v>
      </c>
      <c r="AB16" s="63"/>
      <c r="AC16" s="47"/>
      <c r="AD16" s="63"/>
      <c r="AE16" s="63"/>
      <c r="AF16" s="121"/>
      <c r="AG16" s="63"/>
      <c r="AH16" s="63"/>
      <c r="AI16" s="63"/>
      <c r="AJ16" s="63">
        <v>1</v>
      </c>
      <c r="AK16" s="63"/>
      <c r="AL16" s="63"/>
      <c r="AM16" s="63" t="str">
        <f>IF(COUNTIF('NCR Indicators'!K:K,"*"&amp;wacor_data_dictionary[[#This Row],[field_id]]&amp;"*")&gt;=1,"Yes","No")</f>
        <v>No</v>
      </c>
      <c r="AN16" s="63" t="s">
        <v>1500</v>
      </c>
      <c r="AO16" s="140" t="s">
        <v>576</v>
      </c>
      <c r="AQ16" s="106"/>
      <c r="AR16" s="63"/>
      <c r="AS16" s="63"/>
      <c r="AT16"/>
      <c r="AU16"/>
    </row>
    <row r="17" spans="1:47" ht="44.25" customHeight="1" x14ac:dyDescent="0.2">
      <c r="A17" s="63" t="s">
        <v>1390</v>
      </c>
      <c r="B17" s="47" t="s">
        <v>1383</v>
      </c>
      <c r="C17" s="63" t="s">
        <v>1437</v>
      </c>
      <c r="D17" s="47" t="s">
        <v>1468</v>
      </c>
      <c r="E17" s="47" t="s">
        <v>1501</v>
      </c>
      <c r="F17" s="47"/>
      <c r="G17" s="63" t="s">
        <v>1440</v>
      </c>
      <c r="H17" s="47" t="s">
        <v>1463</v>
      </c>
      <c r="I17" s="121">
        <v>0</v>
      </c>
      <c r="J17" s="121">
        <v>1</v>
      </c>
      <c r="K17" s="47"/>
      <c r="L17" s="63"/>
      <c r="M17" s="47"/>
      <c r="N17" s="47"/>
      <c r="O17" s="131" t="s">
        <v>1470</v>
      </c>
      <c r="P17" s="47" t="s">
        <v>1502</v>
      </c>
      <c r="Q17" s="47" t="str">
        <f>_xlfn.TEXTJOIN(", ",TRUE,wacor_data_dictionary[[#This Row],[Cardiobase Angioplasty]:[Development]])</f>
        <v>Redcap</v>
      </c>
      <c r="R17" s="63"/>
      <c r="S17" s="63"/>
      <c r="T17" s="63"/>
      <c r="U17" s="63"/>
      <c r="V17" s="63"/>
      <c r="W17" s="63"/>
      <c r="X17" s="63"/>
      <c r="Y17" s="63"/>
      <c r="Z17" s="63"/>
      <c r="AA17" s="38" t="s">
        <v>580</v>
      </c>
      <c r="AB17" s="63"/>
      <c r="AC17" s="47"/>
      <c r="AD17" s="63"/>
      <c r="AE17" s="63"/>
      <c r="AF17" s="121"/>
      <c r="AG17" s="63"/>
      <c r="AH17" s="63"/>
      <c r="AI17" s="63"/>
      <c r="AJ17" s="63">
        <v>1</v>
      </c>
      <c r="AK17" s="63"/>
      <c r="AL17" s="63"/>
      <c r="AM17" s="63" t="str">
        <f>IF(COUNTIF('NCR Indicators'!K:K,"*"&amp;wacor_data_dictionary[[#This Row],[field_id]]&amp;"*")&gt;=1,"Yes","No")</f>
        <v>No</v>
      </c>
      <c r="AN17" s="63" t="s">
        <v>1503</v>
      </c>
      <c r="AO17" s="140" t="s">
        <v>576</v>
      </c>
      <c r="AQ17" s="106"/>
      <c r="AR17" s="63"/>
      <c r="AS17" s="63"/>
      <c r="AT17"/>
      <c r="AU17"/>
    </row>
    <row r="18" spans="1:47" ht="44.25" customHeight="1" x14ac:dyDescent="0.2">
      <c r="A18" s="63" t="s">
        <v>1391</v>
      </c>
      <c r="B18" s="47" t="s">
        <v>1383</v>
      </c>
      <c r="C18" s="63" t="s">
        <v>1437</v>
      </c>
      <c r="D18" s="47" t="s">
        <v>1468</v>
      </c>
      <c r="E18" s="47" t="s">
        <v>1504</v>
      </c>
      <c r="F18" s="47"/>
      <c r="G18" s="63" t="s">
        <v>1440</v>
      </c>
      <c r="H18" s="47" t="s">
        <v>1463</v>
      </c>
      <c r="I18" s="121">
        <v>0</v>
      </c>
      <c r="J18" s="121">
        <v>1</v>
      </c>
      <c r="K18" s="47"/>
      <c r="L18" s="63"/>
      <c r="M18" s="47"/>
      <c r="N18" s="47"/>
      <c r="O18" s="131" t="s">
        <v>1470</v>
      </c>
      <c r="P18" s="47" t="s">
        <v>1505</v>
      </c>
      <c r="Q18" s="47" t="str">
        <f>_xlfn.TEXTJOIN(", ",TRUE,wacor_data_dictionary[[#This Row],[Cardiobase Angioplasty]:[Development]])</f>
        <v>Redcap</v>
      </c>
      <c r="R18" s="63"/>
      <c r="S18" s="63"/>
      <c r="T18" s="63"/>
      <c r="U18" s="63"/>
      <c r="V18" s="63"/>
      <c r="W18" s="63"/>
      <c r="X18" s="63"/>
      <c r="Y18" s="63"/>
      <c r="Z18" s="63"/>
      <c r="AA18" s="38" t="s">
        <v>580</v>
      </c>
      <c r="AB18" s="63"/>
      <c r="AC18" s="47"/>
      <c r="AD18" s="63"/>
      <c r="AE18" s="63"/>
      <c r="AF18" s="121"/>
      <c r="AG18" s="63"/>
      <c r="AH18" s="63"/>
      <c r="AI18" s="63"/>
      <c r="AJ18" s="63">
        <v>1</v>
      </c>
      <c r="AK18" s="63"/>
      <c r="AL18" s="63"/>
      <c r="AM18" s="63" t="str">
        <f>IF(COUNTIF('NCR Indicators'!K:K,"*"&amp;wacor_data_dictionary[[#This Row],[field_id]]&amp;"*")&gt;=1,"Yes","No")</f>
        <v>No</v>
      </c>
      <c r="AN18" s="63" t="s">
        <v>1506</v>
      </c>
      <c r="AO18" s="140" t="s">
        <v>576</v>
      </c>
      <c r="AQ18" s="106"/>
      <c r="AR18" s="63"/>
      <c r="AS18" s="63"/>
      <c r="AT18"/>
      <c r="AU18"/>
    </row>
    <row r="19" spans="1:47" ht="44.25" customHeight="1" x14ac:dyDescent="0.2">
      <c r="A19" s="43" t="s">
        <v>275</v>
      </c>
      <c r="B19" s="43" t="s">
        <v>276</v>
      </c>
      <c r="C19" s="47" t="s">
        <v>1437</v>
      </c>
      <c r="D19" s="43" t="s">
        <v>1507</v>
      </c>
      <c r="E19" s="47" t="s">
        <v>1508</v>
      </c>
      <c r="F19" s="43" t="s">
        <v>1509</v>
      </c>
      <c r="G19" s="43" t="s">
        <v>1510</v>
      </c>
      <c r="H19" s="43" t="s">
        <v>1511</v>
      </c>
      <c r="I19" s="46" t="s">
        <v>715</v>
      </c>
      <c r="J19" s="46" t="s">
        <v>1066</v>
      </c>
      <c r="K19" s="43"/>
      <c r="L19" s="47" t="s">
        <v>1512</v>
      </c>
      <c r="M19" s="47" t="s">
        <v>1513</v>
      </c>
      <c r="N19" s="43"/>
      <c r="O19" s="43" t="s">
        <v>1514</v>
      </c>
      <c r="P19" s="43"/>
      <c r="Q19" s="43" t="str">
        <f>_xlfn.TEXTJOIN(", ",TRUE,wacor_data_dictionary[[#This Row],[Cardiobase Angioplasty]:[Development]])</f>
        <v>Cardiobase Angioplasty, Cardiobase RiskScore, HMDC, Redcap</v>
      </c>
      <c r="R19" s="43" t="s">
        <v>549</v>
      </c>
      <c r="S19" s="43" t="s">
        <v>551</v>
      </c>
      <c r="T19" s="43" t="s">
        <v>554</v>
      </c>
      <c r="U19" s="43"/>
      <c r="V19" s="43"/>
      <c r="W19" s="43"/>
      <c r="X19" s="43"/>
      <c r="Y19" s="43"/>
      <c r="Z19" s="43"/>
      <c r="AA19" s="38" t="s">
        <v>580</v>
      </c>
      <c r="AB19" s="43"/>
      <c r="AC19" s="43" t="s">
        <v>1446</v>
      </c>
      <c r="AD19" s="49">
        <v>303794</v>
      </c>
      <c r="AE19" s="43"/>
      <c r="AF19" s="46">
        <v>1</v>
      </c>
      <c r="AG19" s="40">
        <v>44764</v>
      </c>
      <c r="AH19" s="43"/>
      <c r="AI19" s="43"/>
      <c r="AJ19" s="63">
        <v>1</v>
      </c>
      <c r="AK19" s="63"/>
      <c r="AL19" s="63"/>
      <c r="AM19" s="63" t="str">
        <f>IF(COUNTIF('NCR Indicators'!K:K,"*"&amp;wacor_data_dictionary[[#This Row],[field_id]]&amp;"*")&gt;=1,"Yes","No")</f>
        <v>No</v>
      </c>
      <c r="AN19" s="146" t="s">
        <v>1515</v>
      </c>
      <c r="AO19" s="144" t="s">
        <v>575</v>
      </c>
      <c r="AP19" s="145"/>
      <c r="AQ19" s="106"/>
      <c r="AR19" s="63"/>
      <c r="AS19" s="63"/>
      <c r="AT19"/>
      <c r="AU19"/>
    </row>
    <row r="20" spans="1:47" ht="71.25" x14ac:dyDescent="0.2">
      <c r="A20" s="63" t="s">
        <v>1392</v>
      </c>
      <c r="B20" s="47" t="s">
        <v>1393</v>
      </c>
      <c r="C20" s="63" t="s">
        <v>1437</v>
      </c>
      <c r="D20" s="47" t="s">
        <v>1516</v>
      </c>
      <c r="E20" s="47"/>
      <c r="F20" s="47"/>
      <c r="G20" s="63" t="s">
        <v>1440</v>
      </c>
      <c r="H20" s="47" t="s">
        <v>1517</v>
      </c>
      <c r="I20" s="121">
        <v>1</v>
      </c>
      <c r="J20" s="121">
        <v>5</v>
      </c>
      <c r="K20" s="47"/>
      <c r="L20" s="63"/>
      <c r="M20" s="47"/>
      <c r="N20" s="47"/>
      <c r="O20" s="63" t="s">
        <v>1518</v>
      </c>
      <c r="P20" s="47" t="s">
        <v>1519</v>
      </c>
      <c r="Q20" s="47" t="str">
        <f>_xlfn.TEXTJOIN(", ",TRUE,wacor_data_dictionary[[#This Row],[Cardiobase Angioplasty]:[Development]])</f>
        <v/>
      </c>
      <c r="R20" s="63"/>
      <c r="S20" s="63"/>
      <c r="T20" s="63"/>
      <c r="U20" s="63"/>
      <c r="V20" s="63"/>
      <c r="W20" s="63"/>
      <c r="X20" s="63"/>
      <c r="Y20" s="63"/>
      <c r="Z20" s="63"/>
      <c r="AA20" s="63"/>
      <c r="AB20" s="63"/>
      <c r="AC20" s="47"/>
      <c r="AD20" s="63"/>
      <c r="AE20" s="63"/>
      <c r="AF20" s="121"/>
      <c r="AG20" s="63"/>
      <c r="AH20" s="63"/>
      <c r="AI20" s="63"/>
      <c r="AJ20" s="63">
        <v>0</v>
      </c>
      <c r="AK20" s="63"/>
      <c r="AL20" s="63"/>
      <c r="AM20" s="63" t="str">
        <f>IF(COUNTIF('NCR Indicators'!K:K,"*"&amp;wacor_data_dictionary[[#This Row],[field_id]]&amp;"*")&gt;=1,"Yes","No")</f>
        <v>No</v>
      </c>
      <c r="AN20" s="63" t="s">
        <v>1520</v>
      </c>
      <c r="AO20" s="106" t="s">
        <v>574</v>
      </c>
      <c r="AQ20" s="106"/>
      <c r="AR20" s="63"/>
      <c r="AS20" s="63"/>
      <c r="AT20"/>
      <c r="AU20"/>
    </row>
    <row r="21" spans="1:47" ht="44.25" customHeight="1" x14ac:dyDescent="0.2">
      <c r="A21" s="38" t="s">
        <v>277</v>
      </c>
      <c r="B21" s="43" t="s">
        <v>278</v>
      </c>
      <c r="C21" s="47" t="s">
        <v>1437</v>
      </c>
      <c r="D21" s="43" t="s">
        <v>1521</v>
      </c>
      <c r="E21" s="43" t="s">
        <v>1522</v>
      </c>
      <c r="F21" s="43" t="s">
        <v>1523</v>
      </c>
      <c r="G21" s="38" t="s">
        <v>1524</v>
      </c>
      <c r="H21" s="43" t="s">
        <v>1514</v>
      </c>
      <c r="I21" s="44" t="s">
        <v>1514</v>
      </c>
      <c r="J21" s="44" t="s">
        <v>1514</v>
      </c>
      <c r="K21" s="43"/>
      <c r="L21" s="38"/>
      <c r="N21" s="43"/>
      <c r="O21" s="38" t="s">
        <v>1525</v>
      </c>
      <c r="Q21" s="43" t="str">
        <f>_xlfn.TEXTJOIN(", ",TRUE,wacor_data_dictionary[[#This Row],[Cardiobase Angioplasty]:[Development]])</f>
        <v>Derived, Redcap</v>
      </c>
      <c r="X21" s="38" t="s">
        <v>559</v>
      </c>
      <c r="AA21" s="38" t="s">
        <v>580</v>
      </c>
      <c r="AC21" s="43"/>
      <c r="AJ21" s="63">
        <v>1</v>
      </c>
      <c r="AK21" s="63"/>
      <c r="AL21" s="63"/>
      <c r="AM21" s="63" t="str">
        <f>IF(COUNTIF('NCR Indicators'!K:K,"*"&amp;wacor_data_dictionary[[#This Row],[field_id]]&amp;"*")&gt;=1,"Yes","No")</f>
        <v>No</v>
      </c>
      <c r="AN21" s="147" t="s">
        <v>1526</v>
      </c>
      <c r="AO21" s="138" t="s">
        <v>575</v>
      </c>
      <c r="AP21" s="139"/>
      <c r="AQ21" s="106"/>
      <c r="AR21" s="63"/>
      <c r="AS21" s="63"/>
      <c r="AT21"/>
      <c r="AU21"/>
    </row>
    <row r="22" spans="1:47" ht="44.25" customHeight="1" x14ac:dyDescent="0.2">
      <c r="A22" s="38" t="s">
        <v>280</v>
      </c>
      <c r="B22" s="43" t="s">
        <v>281</v>
      </c>
      <c r="C22" s="47" t="s">
        <v>1437</v>
      </c>
      <c r="E22" s="43" t="s">
        <v>1527</v>
      </c>
      <c r="F22" s="43" t="s">
        <v>1528</v>
      </c>
      <c r="G22" s="38" t="s">
        <v>1440</v>
      </c>
      <c r="H22" s="43" t="s">
        <v>1529</v>
      </c>
      <c r="I22" s="44" t="s">
        <v>1530</v>
      </c>
      <c r="J22" s="44" t="s">
        <v>629</v>
      </c>
      <c r="K22" s="43"/>
      <c r="L22" s="38"/>
      <c r="N22" s="43"/>
      <c r="O22" s="38" t="s">
        <v>1531</v>
      </c>
      <c r="Q22" s="43" t="str">
        <f>_xlfn.TEXTJOIN(", ",TRUE,wacor_data_dictionary[[#This Row],[Cardiobase Angioplasty]:[Development]])</f>
        <v>HMDC, Redcap</v>
      </c>
      <c r="T22" s="38" t="s">
        <v>554</v>
      </c>
      <c r="AA22" s="38" t="s">
        <v>580</v>
      </c>
      <c r="AC22" s="43" t="s">
        <v>1446</v>
      </c>
      <c r="AF22" s="44" t="s">
        <v>282</v>
      </c>
      <c r="AH22" s="38" t="s">
        <v>1532</v>
      </c>
      <c r="AI22" s="63" t="s">
        <v>1533</v>
      </c>
      <c r="AJ22" s="63">
        <v>1</v>
      </c>
      <c r="AK22" s="63">
        <v>1</v>
      </c>
      <c r="AL22" s="63"/>
      <c r="AM22" s="63" t="str">
        <f>IF(COUNTIF('NCR Indicators'!K:K,"*"&amp;wacor_data_dictionary[[#This Row],[field_id]]&amp;"*")&gt;=1,"Yes","No")</f>
        <v>No</v>
      </c>
      <c r="AN22" s="47" t="s">
        <v>1534</v>
      </c>
      <c r="AO22" s="47" t="s">
        <v>1535</v>
      </c>
      <c r="AQ22" s="106"/>
      <c r="AR22" s="63"/>
      <c r="AS22" s="63"/>
      <c r="AT22"/>
      <c r="AU22"/>
    </row>
    <row r="23" spans="1:47" ht="44.25" customHeight="1" x14ac:dyDescent="0.2">
      <c r="A23" s="38" t="s">
        <v>283</v>
      </c>
      <c r="B23" s="43" t="s">
        <v>281</v>
      </c>
      <c r="C23" s="47" t="s">
        <v>1437</v>
      </c>
      <c r="E23" s="43" t="s">
        <v>1514</v>
      </c>
      <c r="F23" s="43" t="s">
        <v>1536</v>
      </c>
      <c r="G23" s="38" t="s">
        <v>1440</v>
      </c>
      <c r="H23" s="43" t="s">
        <v>1529</v>
      </c>
      <c r="I23" s="44" t="s">
        <v>1530</v>
      </c>
      <c r="J23" s="44" t="s">
        <v>629</v>
      </c>
      <c r="K23" s="43"/>
      <c r="L23" s="38"/>
      <c r="N23" s="43"/>
      <c r="O23" s="38" t="s">
        <v>1514</v>
      </c>
      <c r="Q23" s="43" t="str">
        <f>_xlfn.TEXTJOIN(", ",TRUE,wacor_data_dictionary[[#This Row],[Cardiobase Angioplasty]:[Development]])</f>
        <v>HMDC, Redcap</v>
      </c>
      <c r="T23" s="38" t="s">
        <v>554</v>
      </c>
      <c r="AA23" s="38" t="s">
        <v>580</v>
      </c>
      <c r="AC23" s="43" t="s">
        <v>1446</v>
      </c>
      <c r="AF23" s="44" t="s">
        <v>282</v>
      </c>
      <c r="AH23" s="38" t="s">
        <v>1532</v>
      </c>
      <c r="AI23" s="63" t="s">
        <v>1537</v>
      </c>
      <c r="AJ23" s="63">
        <v>1</v>
      </c>
      <c r="AK23" s="63">
        <v>1</v>
      </c>
      <c r="AL23" s="63"/>
      <c r="AM23" s="63" t="str">
        <f>IF(COUNTIF('NCR Indicators'!K:K,"*"&amp;wacor_data_dictionary[[#This Row],[field_id]]&amp;"*")&gt;=1,"Yes","No")</f>
        <v>No</v>
      </c>
      <c r="AN23" s="47" t="s">
        <v>1534</v>
      </c>
      <c r="AO23" s="47" t="s">
        <v>1535</v>
      </c>
      <c r="AQ23" s="106"/>
      <c r="AR23" s="63"/>
      <c r="AS23" s="63"/>
      <c r="AT23"/>
      <c r="AU23"/>
    </row>
    <row r="24" spans="1:47" ht="99.75" customHeight="1" x14ac:dyDescent="0.2">
      <c r="A24" s="38" t="s">
        <v>284</v>
      </c>
      <c r="B24" s="43" t="s">
        <v>281</v>
      </c>
      <c r="C24" s="47" t="s">
        <v>1437</v>
      </c>
      <c r="E24" s="43" t="s">
        <v>1514</v>
      </c>
      <c r="F24" s="43" t="s">
        <v>1538</v>
      </c>
      <c r="G24" s="38" t="s">
        <v>1440</v>
      </c>
      <c r="H24" s="43" t="s">
        <v>1529</v>
      </c>
      <c r="I24" s="44" t="s">
        <v>1530</v>
      </c>
      <c r="J24" s="44" t="s">
        <v>629</v>
      </c>
      <c r="K24" s="43"/>
      <c r="L24" s="38"/>
      <c r="M24" s="43" t="s">
        <v>1514</v>
      </c>
      <c r="N24" s="43"/>
      <c r="O24" s="38" t="s">
        <v>1514</v>
      </c>
      <c r="Q24" s="43" t="str">
        <f>_xlfn.TEXTJOIN(", ",TRUE,wacor_data_dictionary[[#This Row],[Cardiobase Angioplasty]:[Development]])</f>
        <v>HMDC</v>
      </c>
      <c r="T24" s="38" t="s">
        <v>554</v>
      </c>
      <c r="AC24" s="43" t="s">
        <v>1446</v>
      </c>
      <c r="AF24" s="44" t="s">
        <v>282</v>
      </c>
      <c r="AH24" s="38" t="s">
        <v>1532</v>
      </c>
      <c r="AI24" s="63" t="s">
        <v>1539</v>
      </c>
      <c r="AJ24" s="63">
        <v>1</v>
      </c>
      <c r="AK24" s="63">
        <v>1</v>
      </c>
      <c r="AL24" s="63"/>
      <c r="AM24" s="63" t="str">
        <f>IF(COUNTIF('NCR Indicators'!K:K,"*"&amp;wacor_data_dictionary[[#This Row],[field_id]]&amp;"*")&gt;=1,"Yes","No")</f>
        <v>No</v>
      </c>
      <c r="AN24" s="47" t="s">
        <v>1534</v>
      </c>
      <c r="AO24" s="47" t="s">
        <v>1535</v>
      </c>
      <c r="AQ24" s="106"/>
      <c r="AR24" s="63"/>
      <c r="AS24" s="63"/>
      <c r="AT24"/>
      <c r="AU24"/>
    </row>
    <row r="25" spans="1:47" ht="44.25" customHeight="1" x14ac:dyDescent="0.2">
      <c r="A25" s="38" t="s">
        <v>285</v>
      </c>
      <c r="B25" s="43" t="s">
        <v>281</v>
      </c>
      <c r="C25" s="47" t="s">
        <v>1437</v>
      </c>
      <c r="E25" s="43" t="s">
        <v>1514</v>
      </c>
      <c r="F25" s="43" t="s">
        <v>1540</v>
      </c>
      <c r="G25" s="38" t="s">
        <v>1440</v>
      </c>
      <c r="H25" s="43" t="s">
        <v>1529</v>
      </c>
      <c r="I25" s="44" t="s">
        <v>1530</v>
      </c>
      <c r="J25" s="44" t="s">
        <v>629</v>
      </c>
      <c r="K25" s="43"/>
      <c r="L25" s="38"/>
      <c r="M25" s="43" t="s">
        <v>1514</v>
      </c>
      <c r="N25" s="43"/>
      <c r="O25" s="38" t="s">
        <v>1514</v>
      </c>
      <c r="Q25" s="43" t="str">
        <f>_xlfn.TEXTJOIN(", ",TRUE,wacor_data_dictionary[[#This Row],[Cardiobase Angioplasty]:[Development]])</f>
        <v>HMDC</v>
      </c>
      <c r="T25" s="38" t="s">
        <v>554</v>
      </c>
      <c r="AC25" s="43" t="s">
        <v>1446</v>
      </c>
      <c r="AF25" s="44">
        <f>AF17</f>
        <v>0</v>
      </c>
      <c r="AH25" s="38">
        <f>AH17</f>
        <v>0</v>
      </c>
      <c r="AI25" s="63" t="s">
        <v>1541</v>
      </c>
      <c r="AJ25" s="63">
        <v>1</v>
      </c>
      <c r="AK25" s="63">
        <v>1</v>
      </c>
      <c r="AL25" s="63"/>
      <c r="AM25" s="63" t="str">
        <f>IF(COUNTIF('NCR Indicators'!K:K,"*"&amp;wacor_data_dictionary[[#This Row],[field_id]]&amp;"*")&gt;=1,"Yes","No")</f>
        <v>No</v>
      </c>
      <c r="AN25" s="47" t="s">
        <v>1534</v>
      </c>
      <c r="AO25" s="47" t="s">
        <v>1535</v>
      </c>
      <c r="AQ25" s="106"/>
      <c r="AR25" s="63"/>
      <c r="AS25" s="63"/>
      <c r="AT25"/>
      <c r="AU25"/>
    </row>
    <row r="26" spans="1:47" ht="44.25" customHeight="1" x14ac:dyDescent="0.2">
      <c r="A26" s="38" t="s">
        <v>286</v>
      </c>
      <c r="B26" s="43" t="s">
        <v>281</v>
      </c>
      <c r="C26" s="47" t="s">
        <v>1437</v>
      </c>
      <c r="E26" s="43" t="s">
        <v>1514</v>
      </c>
      <c r="F26" s="43" t="s">
        <v>1542</v>
      </c>
      <c r="G26" s="38" t="s">
        <v>1440</v>
      </c>
      <c r="H26" s="43" t="s">
        <v>1529</v>
      </c>
      <c r="I26" s="44" t="s">
        <v>1530</v>
      </c>
      <c r="J26" s="44" t="s">
        <v>629</v>
      </c>
      <c r="K26" s="43"/>
      <c r="L26" s="38"/>
      <c r="M26" s="43" t="s">
        <v>1514</v>
      </c>
      <c r="N26" s="43"/>
      <c r="O26" s="38" t="s">
        <v>1514</v>
      </c>
      <c r="Q26" s="43" t="str">
        <f>_xlfn.TEXTJOIN(", ",TRUE,wacor_data_dictionary[[#This Row],[Cardiobase Angioplasty]:[Development]])</f>
        <v>HMDC</v>
      </c>
      <c r="T26" s="38" t="s">
        <v>554</v>
      </c>
      <c r="AC26" s="43" t="s">
        <v>1446</v>
      </c>
      <c r="AF26" s="44">
        <f>AF18</f>
        <v>0</v>
      </c>
      <c r="AH26" s="38">
        <f>AH18</f>
        <v>0</v>
      </c>
      <c r="AI26" s="63" t="s">
        <v>1543</v>
      </c>
      <c r="AJ26" s="63">
        <v>1</v>
      </c>
      <c r="AK26" s="63">
        <v>1</v>
      </c>
      <c r="AL26" s="63"/>
      <c r="AM26" s="63" t="str">
        <f>IF(COUNTIF('NCR Indicators'!K:K,"*"&amp;wacor_data_dictionary[[#This Row],[field_id]]&amp;"*")&gt;=1,"Yes","No")</f>
        <v>No</v>
      </c>
      <c r="AN26" s="47" t="s">
        <v>1534</v>
      </c>
      <c r="AO26" s="47" t="s">
        <v>1535</v>
      </c>
      <c r="AQ26" s="106"/>
      <c r="AR26" s="63"/>
      <c r="AS26" s="63"/>
      <c r="AT26"/>
      <c r="AU26"/>
    </row>
    <row r="27" spans="1:47" ht="44.25" customHeight="1" x14ac:dyDescent="0.2">
      <c r="A27" s="38" t="s">
        <v>287</v>
      </c>
      <c r="B27" s="43" t="s">
        <v>281</v>
      </c>
      <c r="C27" s="47" t="s">
        <v>1437</v>
      </c>
      <c r="E27" s="43" t="s">
        <v>1514</v>
      </c>
      <c r="F27" s="43" t="s">
        <v>1544</v>
      </c>
      <c r="G27" s="38" t="s">
        <v>1440</v>
      </c>
      <c r="H27" s="43" t="s">
        <v>1529</v>
      </c>
      <c r="I27" s="44" t="s">
        <v>1530</v>
      </c>
      <c r="J27" s="44" t="s">
        <v>629</v>
      </c>
      <c r="K27" s="43"/>
      <c r="L27" s="38"/>
      <c r="M27" s="43" t="s">
        <v>1514</v>
      </c>
      <c r="N27" s="43"/>
      <c r="O27" s="38" t="s">
        <v>1514</v>
      </c>
      <c r="Q27" s="43" t="str">
        <f>_xlfn.TEXTJOIN(", ",TRUE,wacor_data_dictionary[[#This Row],[Cardiobase Angioplasty]:[Development]])</f>
        <v>HMDC</v>
      </c>
      <c r="T27" s="38" t="s">
        <v>554</v>
      </c>
      <c r="AC27" s="43" t="s">
        <v>1446</v>
      </c>
      <c r="AF27" s="44">
        <f>AF19</f>
        <v>1</v>
      </c>
      <c r="AH27" s="38">
        <f>AH19</f>
        <v>0</v>
      </c>
      <c r="AI27" s="63" t="s">
        <v>1545</v>
      </c>
      <c r="AJ27" s="63">
        <v>1</v>
      </c>
      <c r="AK27" s="63">
        <v>1</v>
      </c>
      <c r="AL27" s="63"/>
      <c r="AM27" s="63" t="str">
        <f>IF(COUNTIF('NCR Indicators'!K:K,"*"&amp;wacor_data_dictionary[[#This Row],[field_id]]&amp;"*")&gt;=1,"Yes","No")</f>
        <v>No</v>
      </c>
      <c r="AN27" s="47" t="s">
        <v>1534</v>
      </c>
      <c r="AO27" s="47" t="s">
        <v>1535</v>
      </c>
      <c r="AQ27" s="106"/>
      <c r="AR27" s="63"/>
      <c r="AS27" s="63"/>
      <c r="AT27"/>
      <c r="AU27"/>
    </row>
    <row r="28" spans="1:47" ht="44.25" customHeight="1" x14ac:dyDescent="0.2">
      <c r="A28" s="38" t="s">
        <v>288</v>
      </c>
      <c r="B28" s="43" t="s">
        <v>289</v>
      </c>
      <c r="C28" s="47" t="s">
        <v>1437</v>
      </c>
      <c r="E28" s="43" t="s">
        <v>1514</v>
      </c>
      <c r="F28" s="43" t="s">
        <v>1546</v>
      </c>
      <c r="G28" s="38" t="s">
        <v>1514</v>
      </c>
      <c r="H28" s="43" t="s">
        <v>1514</v>
      </c>
      <c r="I28" s="44" t="s">
        <v>1514</v>
      </c>
      <c r="J28" s="44" t="s">
        <v>1514</v>
      </c>
      <c r="K28" s="43"/>
      <c r="L28" s="38"/>
      <c r="M28" s="43" t="s">
        <v>1514</v>
      </c>
      <c r="N28" s="43"/>
      <c r="O28" s="38" t="s">
        <v>1445</v>
      </c>
      <c r="Q28" s="43" t="str">
        <f>_xlfn.TEXTJOIN(", ",TRUE,wacor_data_dictionary[[#This Row],[Cardiobase Angioplasty]:[Development]])</f>
        <v/>
      </c>
      <c r="AC28" s="43"/>
      <c r="AJ28" s="63">
        <v>1</v>
      </c>
      <c r="AK28" s="63"/>
      <c r="AL28" s="63"/>
      <c r="AM28" s="63" t="str">
        <f>IF(COUNTIF('NCR Indicators'!K:K,"*"&amp;wacor_data_dictionary[[#This Row],[field_id]]&amp;"*")&gt;=1,"Yes","No")</f>
        <v>No</v>
      </c>
      <c r="AN28" s="63" t="s">
        <v>1547</v>
      </c>
      <c r="AO28" s="63" t="s">
        <v>572</v>
      </c>
      <c r="AQ28" s="106"/>
      <c r="AR28" s="63"/>
      <c r="AS28" s="63"/>
      <c r="AT28"/>
      <c r="AU28"/>
    </row>
    <row r="29" spans="1:47" ht="57" customHeight="1" x14ac:dyDescent="0.2">
      <c r="A29" s="38" t="s">
        <v>137</v>
      </c>
      <c r="B29" s="43" t="s">
        <v>290</v>
      </c>
      <c r="C29" s="47" t="s">
        <v>1437</v>
      </c>
      <c r="E29" s="47" t="s">
        <v>1548</v>
      </c>
      <c r="F29" s="43" t="s">
        <v>1549</v>
      </c>
      <c r="G29" s="38" t="s">
        <v>1440</v>
      </c>
      <c r="H29" s="43" t="s">
        <v>1550</v>
      </c>
      <c r="I29" s="44" t="s">
        <v>1530</v>
      </c>
      <c r="J29" s="44" t="s">
        <v>629</v>
      </c>
      <c r="K29" s="43"/>
      <c r="L29" s="43" t="s">
        <v>1551</v>
      </c>
      <c r="M29" s="47" t="s">
        <v>1552</v>
      </c>
      <c r="N29" s="47"/>
      <c r="O29" s="38" t="s">
        <v>1553</v>
      </c>
      <c r="Q29" s="43" t="str">
        <f>_xlfn.TEXTJOIN(", ",TRUE,wacor_data_dictionary[[#This Row],[Cardiobase Angioplasty]:[Development]])</f>
        <v>HIH, NACS, Redcap</v>
      </c>
      <c r="R29" s="43"/>
      <c r="S29" s="43"/>
      <c r="T29" s="43"/>
      <c r="U29" s="43"/>
      <c r="V29" s="43"/>
      <c r="W29" s="43" t="s">
        <v>557</v>
      </c>
      <c r="X29" s="43"/>
      <c r="Y29" s="43"/>
      <c r="Z29" s="43" t="s">
        <v>142</v>
      </c>
      <c r="AA29" s="38" t="s">
        <v>580</v>
      </c>
      <c r="AB29" s="43"/>
      <c r="AC29" s="43"/>
      <c r="AD29" s="58">
        <v>696056</v>
      </c>
      <c r="AF29" s="44" t="s">
        <v>272</v>
      </c>
      <c r="AH29" s="38" t="s">
        <v>738</v>
      </c>
      <c r="AJ29" s="63">
        <v>1</v>
      </c>
      <c r="AK29" s="63"/>
      <c r="AL29" s="63"/>
      <c r="AM29" s="63" t="str">
        <f>IF(COUNTIF('NCR Indicators'!K:K,"*"&amp;wacor_data_dictionary[[#This Row],[field_id]]&amp;"*")&gt;=1,"Yes","No")</f>
        <v>Yes</v>
      </c>
      <c r="AN29" s="47" t="s">
        <v>1554</v>
      </c>
      <c r="AO29" s="47" t="s">
        <v>578</v>
      </c>
      <c r="AP29" s="134"/>
      <c r="AQ29" s="106"/>
      <c r="AR29" s="63"/>
      <c r="AS29" s="63"/>
      <c r="AT29"/>
      <c r="AU29"/>
    </row>
    <row r="30" spans="1:47" ht="65.25" customHeight="1" x14ac:dyDescent="0.2">
      <c r="A30" s="38" t="s">
        <v>246</v>
      </c>
      <c r="B30" s="43" t="s">
        <v>247</v>
      </c>
      <c r="C30" s="47" t="s">
        <v>1437</v>
      </c>
      <c r="E30" s="47" t="s">
        <v>1555</v>
      </c>
      <c r="F30" s="43" t="s">
        <v>1556</v>
      </c>
      <c r="G30" s="38" t="s">
        <v>1440</v>
      </c>
      <c r="H30" s="43" t="s">
        <v>1529</v>
      </c>
      <c r="I30" s="44" t="s">
        <v>1530</v>
      </c>
      <c r="J30" s="44" t="s">
        <v>629</v>
      </c>
      <c r="K30" s="43"/>
      <c r="L30" s="38"/>
      <c r="M30" s="47" t="s">
        <v>1557</v>
      </c>
      <c r="N30" s="43"/>
      <c r="O30" s="38" t="s">
        <v>1445</v>
      </c>
      <c r="Q30" s="43" t="str">
        <f>_xlfn.TEXTJOIN(", ",TRUE,wacor_data_dictionary[[#This Row],[Cardiobase Angioplasty]:[Development]])</f>
        <v>HMDC, Redcap</v>
      </c>
      <c r="T30" s="38" t="s">
        <v>554</v>
      </c>
      <c r="AA30" s="38" t="s">
        <v>580</v>
      </c>
      <c r="AC30" s="43" t="s">
        <v>1446</v>
      </c>
      <c r="AF30" s="44" t="s">
        <v>282</v>
      </c>
      <c r="AH30" s="38" t="s">
        <v>1532</v>
      </c>
      <c r="AI30" s="63"/>
      <c r="AJ30" s="63">
        <v>1</v>
      </c>
      <c r="AK30" s="63">
        <v>1</v>
      </c>
      <c r="AL30" s="63"/>
      <c r="AM30" s="63" t="str">
        <f>IF(COUNTIF('NCR Indicators'!K:K,"*"&amp;wacor_data_dictionary[[#This Row],[field_id]]&amp;"*")&gt;=1,"Yes","No")</f>
        <v>Yes</v>
      </c>
      <c r="AN30" s="47" t="s">
        <v>1534</v>
      </c>
      <c r="AO30" s="47" t="s">
        <v>1535</v>
      </c>
      <c r="AP30" s="134"/>
      <c r="AQ30" s="106"/>
      <c r="AR30" s="63"/>
      <c r="AS30" s="63"/>
      <c r="AT30"/>
      <c r="AU30"/>
    </row>
    <row r="31" spans="1:47" ht="44.25" customHeight="1" x14ac:dyDescent="0.2">
      <c r="A31" s="38" t="s">
        <v>291</v>
      </c>
      <c r="B31" s="43" t="s">
        <v>247</v>
      </c>
      <c r="C31" s="47" t="s">
        <v>1437</v>
      </c>
      <c r="E31" s="43" t="s">
        <v>1514</v>
      </c>
      <c r="F31" s="43" t="s">
        <v>1558</v>
      </c>
      <c r="G31" s="38" t="s">
        <v>1440</v>
      </c>
      <c r="H31" s="43" t="s">
        <v>1559</v>
      </c>
      <c r="I31" s="44" t="s">
        <v>629</v>
      </c>
      <c r="J31" s="44" t="s">
        <v>629</v>
      </c>
      <c r="K31" s="43"/>
      <c r="L31" s="38"/>
      <c r="M31" s="43" t="s">
        <v>1514</v>
      </c>
      <c r="N31" s="43"/>
      <c r="O31" s="38" t="s">
        <v>1514</v>
      </c>
      <c r="Q31" s="43" t="str">
        <f>_xlfn.TEXTJOIN(", ",TRUE,wacor_data_dictionary[[#This Row],[Cardiobase Angioplasty]:[Development]])</f>
        <v>HMDC, Redcap</v>
      </c>
      <c r="T31" s="38" t="s">
        <v>554</v>
      </c>
      <c r="AA31" s="38" t="s">
        <v>580</v>
      </c>
      <c r="AC31" s="43" t="s">
        <v>1446</v>
      </c>
      <c r="AF31" s="44" t="s">
        <v>292</v>
      </c>
      <c r="AH31" s="38" t="str">
        <f>AH23</f>
        <v>PL</v>
      </c>
      <c r="AI31" s="63" t="s">
        <v>1560</v>
      </c>
      <c r="AJ31" s="63">
        <v>1</v>
      </c>
      <c r="AK31" s="63"/>
      <c r="AL31" s="63"/>
      <c r="AM31" s="63" t="str">
        <f>IF(COUNTIF('NCR Indicators'!K:K,"*"&amp;wacor_data_dictionary[[#This Row],[field_id]]&amp;"*")&gt;=1,"Yes","No")</f>
        <v>No</v>
      </c>
      <c r="AN31" s="47" t="s">
        <v>1534</v>
      </c>
      <c r="AO31" s="47" t="s">
        <v>1535</v>
      </c>
      <c r="AQ31" s="106"/>
      <c r="AR31" s="63"/>
      <c r="AS31" s="63"/>
      <c r="AT31"/>
      <c r="AU31"/>
    </row>
    <row r="32" spans="1:47" ht="57" x14ac:dyDescent="0.2">
      <c r="A32" s="38" t="s">
        <v>293</v>
      </c>
      <c r="B32" s="43" t="s">
        <v>247</v>
      </c>
      <c r="C32" s="47" t="s">
        <v>1437</v>
      </c>
      <c r="E32" s="43" t="s">
        <v>1514</v>
      </c>
      <c r="F32" s="43" t="s">
        <v>1558</v>
      </c>
      <c r="G32" s="38" t="s">
        <v>1440</v>
      </c>
      <c r="H32" s="43" t="s">
        <v>1559</v>
      </c>
      <c r="I32" s="44" t="s">
        <v>629</v>
      </c>
      <c r="J32" s="44" t="s">
        <v>629</v>
      </c>
      <c r="K32" s="43"/>
      <c r="L32" s="38"/>
      <c r="M32" s="43" t="s">
        <v>1514</v>
      </c>
      <c r="N32" s="43"/>
      <c r="O32" s="38" t="s">
        <v>1514</v>
      </c>
      <c r="Q32" s="43" t="str">
        <f>_xlfn.TEXTJOIN(", ",TRUE,wacor_data_dictionary[[#This Row],[Cardiobase Angioplasty]:[Development]])</f>
        <v>HMDC</v>
      </c>
      <c r="T32" s="38" t="s">
        <v>554</v>
      </c>
      <c r="AC32" s="43" t="s">
        <v>1446</v>
      </c>
      <c r="AF32" s="44" t="str">
        <f>AF24</f>
        <v>2a</v>
      </c>
      <c r="AH32" s="38" t="str">
        <f>AH24</f>
        <v>PL</v>
      </c>
      <c r="AI32" s="63" t="s">
        <v>1561</v>
      </c>
      <c r="AJ32" s="63">
        <v>1</v>
      </c>
      <c r="AK32" s="63"/>
      <c r="AL32" s="63"/>
      <c r="AM32" s="63" t="str">
        <f>IF(COUNTIF('NCR Indicators'!K:K,"*"&amp;wacor_data_dictionary[[#This Row],[field_id]]&amp;"*")&gt;=1,"Yes","No")</f>
        <v>No</v>
      </c>
      <c r="AN32" s="47" t="s">
        <v>1534</v>
      </c>
      <c r="AO32" s="47" t="s">
        <v>1535</v>
      </c>
      <c r="AQ32" s="106"/>
      <c r="AR32" s="63"/>
      <c r="AS32" s="63"/>
      <c r="AT32"/>
      <c r="AU32"/>
    </row>
    <row r="33" spans="1:47" ht="57" x14ac:dyDescent="0.2">
      <c r="A33" s="38" t="s">
        <v>294</v>
      </c>
      <c r="B33" s="43" t="s">
        <v>247</v>
      </c>
      <c r="C33" s="47" t="s">
        <v>1437</v>
      </c>
      <c r="E33" s="43" t="s">
        <v>1514</v>
      </c>
      <c r="F33" s="43" t="s">
        <v>1558</v>
      </c>
      <c r="G33" s="38" t="s">
        <v>1440</v>
      </c>
      <c r="H33" s="43" t="s">
        <v>1559</v>
      </c>
      <c r="I33" s="44" t="s">
        <v>629</v>
      </c>
      <c r="J33" s="44" t="s">
        <v>629</v>
      </c>
      <c r="K33" s="43"/>
      <c r="L33" s="38"/>
      <c r="M33" s="43" t="s">
        <v>1514</v>
      </c>
      <c r="N33" s="43"/>
      <c r="O33" s="38" t="s">
        <v>1514</v>
      </c>
      <c r="Q33" s="43" t="str">
        <f>_xlfn.TEXTJOIN(", ",TRUE,wacor_data_dictionary[[#This Row],[Cardiobase Angioplasty]:[Development]])</f>
        <v>HMDC</v>
      </c>
      <c r="T33" s="38" t="s">
        <v>554</v>
      </c>
      <c r="AC33" s="43" t="s">
        <v>1446</v>
      </c>
      <c r="AF33" s="44">
        <f>AF25</f>
        <v>0</v>
      </c>
      <c r="AH33" s="38">
        <f>AH25</f>
        <v>0</v>
      </c>
      <c r="AI33" s="63" t="s">
        <v>1562</v>
      </c>
      <c r="AJ33" s="63">
        <v>1</v>
      </c>
      <c r="AK33" s="63"/>
      <c r="AL33" s="63"/>
      <c r="AM33" s="63" t="str">
        <f>IF(COUNTIF('NCR Indicators'!K:K,"*"&amp;wacor_data_dictionary[[#This Row],[field_id]]&amp;"*")&gt;=1,"Yes","No")</f>
        <v>No</v>
      </c>
      <c r="AN33" s="47" t="s">
        <v>1534</v>
      </c>
      <c r="AO33" s="47" t="s">
        <v>1535</v>
      </c>
      <c r="AQ33" s="106"/>
      <c r="AR33" s="63"/>
      <c r="AS33" s="63"/>
      <c r="AT33"/>
      <c r="AU33"/>
    </row>
    <row r="34" spans="1:47" ht="57" x14ac:dyDescent="0.2">
      <c r="A34" s="38" t="s">
        <v>295</v>
      </c>
      <c r="B34" s="43" t="s">
        <v>247</v>
      </c>
      <c r="C34" s="47" t="s">
        <v>1437</v>
      </c>
      <c r="E34" s="43" t="s">
        <v>1514</v>
      </c>
      <c r="F34" s="43" t="s">
        <v>1558</v>
      </c>
      <c r="G34" s="38" t="s">
        <v>1440</v>
      </c>
      <c r="H34" s="43" t="s">
        <v>1559</v>
      </c>
      <c r="I34" s="44" t="s">
        <v>629</v>
      </c>
      <c r="J34" s="44" t="s">
        <v>629</v>
      </c>
      <c r="K34" s="43"/>
      <c r="L34" s="38"/>
      <c r="M34" s="43" t="s">
        <v>1514</v>
      </c>
      <c r="N34" s="43"/>
      <c r="O34" s="38" t="s">
        <v>1514</v>
      </c>
      <c r="Q34" s="43" t="str">
        <f>_xlfn.TEXTJOIN(", ",TRUE,wacor_data_dictionary[[#This Row],[Cardiobase Angioplasty]:[Development]])</f>
        <v>HMDC</v>
      </c>
      <c r="T34" s="38" t="s">
        <v>554</v>
      </c>
      <c r="AC34" s="43" t="s">
        <v>1446</v>
      </c>
      <c r="AF34" s="44">
        <f>AF26</f>
        <v>0</v>
      </c>
      <c r="AH34" s="38">
        <f>AH26</f>
        <v>0</v>
      </c>
      <c r="AI34" s="63" t="s">
        <v>1563</v>
      </c>
      <c r="AJ34" s="63">
        <v>1</v>
      </c>
      <c r="AK34" s="63"/>
      <c r="AL34" s="63"/>
      <c r="AM34" s="63" t="str">
        <f>IF(COUNTIF('NCR Indicators'!K:K,"*"&amp;wacor_data_dictionary[[#This Row],[field_id]]&amp;"*")&gt;=1,"Yes","No")</f>
        <v>No</v>
      </c>
      <c r="AN34" s="47" t="s">
        <v>1534</v>
      </c>
      <c r="AO34" s="47" t="s">
        <v>1535</v>
      </c>
      <c r="AQ34" s="106"/>
      <c r="AR34" s="63"/>
      <c r="AS34" s="63"/>
      <c r="AT34"/>
      <c r="AU34"/>
    </row>
    <row r="35" spans="1:47" ht="57" x14ac:dyDescent="0.2">
      <c r="A35" s="38" t="s">
        <v>296</v>
      </c>
      <c r="B35" s="43" t="s">
        <v>247</v>
      </c>
      <c r="C35" s="47" t="s">
        <v>1437</v>
      </c>
      <c r="E35" s="43" t="s">
        <v>1514</v>
      </c>
      <c r="F35" s="43" t="s">
        <v>1558</v>
      </c>
      <c r="G35" s="38" t="s">
        <v>1440</v>
      </c>
      <c r="H35" s="43" t="s">
        <v>1559</v>
      </c>
      <c r="I35" s="44" t="s">
        <v>629</v>
      </c>
      <c r="J35" s="44" t="s">
        <v>629</v>
      </c>
      <c r="K35" s="43"/>
      <c r="L35" s="38"/>
      <c r="M35" s="43" t="s">
        <v>1514</v>
      </c>
      <c r="N35" s="43"/>
      <c r="O35" s="38" t="s">
        <v>1514</v>
      </c>
      <c r="Q35" s="43" t="str">
        <f>_xlfn.TEXTJOIN(", ",TRUE,wacor_data_dictionary[[#This Row],[Cardiobase Angioplasty]:[Development]])</f>
        <v>HMDC</v>
      </c>
      <c r="T35" s="38" t="s">
        <v>554</v>
      </c>
      <c r="AC35" s="43" t="s">
        <v>1446</v>
      </c>
      <c r="AF35" s="44">
        <f>AF27</f>
        <v>1</v>
      </c>
      <c r="AH35" s="38">
        <f>AH27</f>
        <v>0</v>
      </c>
      <c r="AI35" s="63" t="s">
        <v>1564</v>
      </c>
      <c r="AJ35" s="63">
        <v>1</v>
      </c>
      <c r="AK35" s="63"/>
      <c r="AL35" s="63"/>
      <c r="AM35" s="63" t="str">
        <f>IF(COUNTIF('NCR Indicators'!K:K,"*"&amp;wacor_data_dictionary[[#This Row],[field_id]]&amp;"*")&gt;=1,"Yes","No")</f>
        <v>No</v>
      </c>
      <c r="AN35" s="47" t="s">
        <v>1534</v>
      </c>
      <c r="AO35" s="47" t="s">
        <v>1535</v>
      </c>
      <c r="AQ35" s="106"/>
      <c r="AR35" s="63"/>
      <c r="AS35" s="63"/>
      <c r="AT35"/>
      <c r="AU35"/>
    </row>
    <row r="36" spans="1:47" ht="42.75" x14ac:dyDescent="0.2">
      <c r="A36" s="38" t="s">
        <v>297</v>
      </c>
      <c r="B36" s="43" t="s">
        <v>298</v>
      </c>
      <c r="C36" s="47" t="s">
        <v>1437</v>
      </c>
      <c r="E36" s="43" t="s">
        <v>1565</v>
      </c>
      <c r="F36" s="43" t="s">
        <v>1566</v>
      </c>
      <c r="G36" s="38" t="s">
        <v>1514</v>
      </c>
      <c r="H36" s="43" t="s">
        <v>1514</v>
      </c>
      <c r="I36" s="44" t="s">
        <v>1442</v>
      </c>
      <c r="J36" s="44" t="s">
        <v>1567</v>
      </c>
      <c r="K36" s="43"/>
      <c r="L36" s="38"/>
      <c r="M36" s="43" t="s">
        <v>1568</v>
      </c>
      <c r="N36" s="43"/>
      <c r="O36" s="38" t="s">
        <v>1514</v>
      </c>
      <c r="Q36" s="43" t="str">
        <f>_xlfn.TEXTJOIN(", ",TRUE,wacor_data_dictionary[[#This Row],[Cardiobase Angioplasty]:[Development]])</f>
        <v>Cardiobase Angioplasty</v>
      </c>
      <c r="R36" s="38" t="s">
        <v>549</v>
      </c>
      <c r="AC36" s="43" t="s">
        <v>1446</v>
      </c>
      <c r="AF36" s="44">
        <v>1</v>
      </c>
      <c r="AG36" s="40">
        <v>44764</v>
      </c>
      <c r="AJ36" s="63">
        <v>1</v>
      </c>
      <c r="AK36" s="63"/>
      <c r="AL36" s="63"/>
      <c r="AM36" s="63" t="str">
        <f>IF(COUNTIF('NCR Indicators'!K:K,"*"&amp;wacor_data_dictionary[[#This Row],[field_id]]&amp;"*")&gt;=1,"Yes","No")</f>
        <v>No</v>
      </c>
      <c r="AN36" s="47" t="s">
        <v>1569</v>
      </c>
      <c r="AO36" s="47" t="s">
        <v>576</v>
      </c>
      <c r="AQ36" s="106"/>
      <c r="AR36" s="63"/>
      <c r="AS36" s="63"/>
      <c r="AT36"/>
      <c r="AU36"/>
    </row>
    <row r="37" spans="1:47" ht="199.5" x14ac:dyDescent="0.2">
      <c r="A37" s="38" t="s">
        <v>117</v>
      </c>
      <c r="B37" s="43" t="s">
        <v>299</v>
      </c>
      <c r="C37" s="47" t="s">
        <v>1437</v>
      </c>
      <c r="E37" s="47" t="s">
        <v>1570</v>
      </c>
      <c r="F37" s="43" t="s">
        <v>1571</v>
      </c>
      <c r="G37" s="38" t="s">
        <v>1440</v>
      </c>
      <c r="H37" s="43" t="s">
        <v>1572</v>
      </c>
      <c r="I37" s="44" t="s">
        <v>1442</v>
      </c>
      <c r="J37" s="44" t="s">
        <v>642</v>
      </c>
      <c r="K37" s="43"/>
      <c r="L37" s="43" t="s">
        <v>1573</v>
      </c>
      <c r="M37" s="43" t="s">
        <v>1574</v>
      </c>
      <c r="N37" s="43" t="s">
        <v>671</v>
      </c>
      <c r="O37" s="38" t="s">
        <v>1553</v>
      </c>
      <c r="Q37" s="43" t="str">
        <f>_xlfn.TEXTJOIN(", ",TRUE,wacor_data_dictionary[[#This Row],[Cardiobase Angioplasty]:[Development]])</f>
        <v>NACS, Redcap</v>
      </c>
      <c r="Z37" s="38" t="s">
        <v>142</v>
      </c>
      <c r="AA37" s="38" t="s">
        <v>580</v>
      </c>
      <c r="AC37" s="43" t="s">
        <v>1446</v>
      </c>
      <c r="AD37" s="58">
        <v>347829</v>
      </c>
      <c r="AF37" s="44" t="s">
        <v>272</v>
      </c>
      <c r="AH37" s="38" t="s">
        <v>738</v>
      </c>
      <c r="AJ37" s="63">
        <v>1</v>
      </c>
      <c r="AK37" s="63"/>
      <c r="AL37" s="63"/>
      <c r="AM37" s="63" t="str">
        <f>IF(COUNTIF('NCR Indicators'!K:K,"*"&amp;wacor_data_dictionary[[#This Row],[field_id]]&amp;"*")&gt;=1,"Yes","No")</f>
        <v>Yes</v>
      </c>
      <c r="AN37" s="47" t="s">
        <v>1575</v>
      </c>
      <c r="AO37" s="47" t="s">
        <v>578</v>
      </c>
      <c r="AP37" s="134"/>
      <c r="AQ37" s="106"/>
      <c r="AR37" s="63"/>
      <c r="AS37" s="63"/>
      <c r="AT37"/>
      <c r="AU37"/>
    </row>
    <row r="38" spans="1:47" ht="199.15" customHeight="1" x14ac:dyDescent="0.2">
      <c r="A38" s="38" t="s">
        <v>300</v>
      </c>
      <c r="B38" s="43" t="s">
        <v>301</v>
      </c>
      <c r="C38" s="47" t="s">
        <v>1437</v>
      </c>
      <c r="E38" s="43" t="s">
        <v>1576</v>
      </c>
      <c r="F38" s="43" t="s">
        <v>1577</v>
      </c>
      <c r="G38" s="38" t="s">
        <v>1440</v>
      </c>
      <c r="H38" s="43" t="s">
        <v>1463</v>
      </c>
      <c r="I38" s="44" t="s">
        <v>1442</v>
      </c>
      <c r="J38" s="44" t="s">
        <v>629</v>
      </c>
      <c r="K38" s="43"/>
      <c r="L38" s="38"/>
      <c r="M38" s="43" t="s">
        <v>1578</v>
      </c>
      <c r="N38" s="43"/>
      <c r="O38" s="38" t="s">
        <v>1445</v>
      </c>
      <c r="Q38" s="43" t="str">
        <f>_xlfn.TEXTJOIN(", ",TRUE,wacor_data_dictionary[[#This Row],[Cardiobase Angioplasty]:[Development]])</f>
        <v>Cardiobase Angioplasty, HMDC, Redcap</v>
      </c>
      <c r="R38" s="38" t="s">
        <v>549</v>
      </c>
      <c r="T38" s="38" t="s">
        <v>554</v>
      </c>
      <c r="AA38" s="38" t="s">
        <v>580</v>
      </c>
      <c r="AC38" s="43" t="s">
        <v>1446</v>
      </c>
      <c r="AD38" s="58">
        <v>270194</v>
      </c>
      <c r="AF38" s="44" t="s">
        <v>282</v>
      </c>
      <c r="AI38" s="47" t="s">
        <v>1579</v>
      </c>
      <c r="AJ38" s="63">
        <v>1</v>
      </c>
      <c r="AK38" s="63">
        <v>1</v>
      </c>
      <c r="AL38" s="63" t="s">
        <v>1580</v>
      </c>
      <c r="AM38" s="63" t="s">
        <v>1449</v>
      </c>
      <c r="AN38" s="47" t="s">
        <v>1581</v>
      </c>
      <c r="AO38" s="47" t="s">
        <v>575</v>
      </c>
      <c r="AP38" s="106" t="s">
        <v>1437</v>
      </c>
      <c r="AQ38" s="106"/>
      <c r="AR38" s="63"/>
      <c r="AS38" s="63"/>
      <c r="AT38"/>
      <c r="AU38"/>
    </row>
    <row r="39" spans="1:47" ht="99.75" x14ac:dyDescent="0.2">
      <c r="A39" s="38" t="s">
        <v>144</v>
      </c>
      <c r="B39" s="43" t="s">
        <v>302</v>
      </c>
      <c r="C39" s="47" t="s">
        <v>1437</v>
      </c>
      <c r="D39" s="47"/>
      <c r="E39" s="43" t="s">
        <v>1582</v>
      </c>
      <c r="F39" s="47" t="s">
        <v>1583</v>
      </c>
      <c r="G39" s="38" t="s">
        <v>647</v>
      </c>
      <c r="H39" s="43" t="s">
        <v>1514</v>
      </c>
      <c r="I39" s="44" t="s">
        <v>1514</v>
      </c>
      <c r="J39" s="44" t="s">
        <v>1514</v>
      </c>
      <c r="K39" s="43"/>
      <c r="M39" s="43" t="s">
        <v>1584</v>
      </c>
      <c r="N39" s="43"/>
      <c r="O39" s="38" t="s">
        <v>1525</v>
      </c>
      <c r="Q39" s="43" t="str">
        <f>_xlfn.TEXTJOIN(", ",TRUE,wacor_data_dictionary[[#This Row],[Cardiobase Angioplasty]:[Development]])</f>
        <v/>
      </c>
      <c r="AC39" s="43" t="s">
        <v>1446</v>
      </c>
      <c r="AF39" s="44">
        <v>1</v>
      </c>
      <c r="AG39" s="40">
        <v>44764</v>
      </c>
      <c r="AH39" s="38" t="s">
        <v>1585</v>
      </c>
      <c r="AJ39" s="63">
        <v>1</v>
      </c>
      <c r="AK39" s="63"/>
      <c r="AL39" s="63"/>
      <c r="AM39" s="63" t="str">
        <f>IF(COUNTIF('NCR Indicators'!K:K,"*"&amp;wacor_data_dictionary[[#This Row],[field_id]]&amp;"*")&gt;=1,"Yes","No")</f>
        <v>Yes</v>
      </c>
      <c r="AN39" s="47" t="s">
        <v>1586</v>
      </c>
      <c r="AO39" s="47" t="s">
        <v>576</v>
      </c>
      <c r="AP39" s="134"/>
      <c r="AQ39" s="106"/>
      <c r="AR39" s="63"/>
      <c r="AS39" s="63"/>
      <c r="AT39"/>
      <c r="AU39"/>
    </row>
    <row r="40" spans="1:47" ht="42.75" x14ac:dyDescent="0.2">
      <c r="A40" s="38" t="s">
        <v>303</v>
      </c>
      <c r="B40" s="43" t="s">
        <v>304</v>
      </c>
      <c r="C40" s="47" t="s">
        <v>1437</v>
      </c>
      <c r="E40" s="43" t="s">
        <v>1582</v>
      </c>
      <c r="F40" s="43" t="s">
        <v>1587</v>
      </c>
      <c r="G40" s="38" t="s">
        <v>1588</v>
      </c>
      <c r="H40" s="43" t="s">
        <v>1589</v>
      </c>
      <c r="I40" s="44" t="s">
        <v>1514</v>
      </c>
      <c r="J40" s="44" t="s">
        <v>1514</v>
      </c>
      <c r="K40" s="43"/>
      <c r="L40" s="38"/>
      <c r="M40" s="43" t="s">
        <v>1590</v>
      </c>
      <c r="N40" s="43"/>
      <c r="O40" s="38" t="s">
        <v>1525</v>
      </c>
      <c r="Q40" s="43" t="str">
        <f>_xlfn.TEXTJOIN(", ",TRUE,wacor_data_dictionary[[#This Row],[Cardiobase Angioplasty]:[Development]])</f>
        <v>Derived</v>
      </c>
      <c r="X40" s="38" t="s">
        <v>559</v>
      </c>
      <c r="AC40" s="43"/>
      <c r="AJ40" s="63">
        <v>1</v>
      </c>
      <c r="AK40" s="63"/>
      <c r="AL40" s="63"/>
      <c r="AM40" s="63" t="s">
        <v>1437</v>
      </c>
      <c r="AN40" s="47" t="s">
        <v>1591</v>
      </c>
      <c r="AO40" s="47" t="s">
        <v>576</v>
      </c>
      <c r="AQ40" s="106"/>
      <c r="AR40" s="63"/>
      <c r="AS40" s="63"/>
      <c r="AT40"/>
      <c r="AU40"/>
    </row>
    <row r="41" spans="1:47" ht="46.5" customHeight="1" x14ac:dyDescent="0.2">
      <c r="A41" s="38" t="s">
        <v>305</v>
      </c>
      <c r="B41" s="43" t="s">
        <v>306</v>
      </c>
      <c r="C41" s="47" t="s">
        <v>1437</v>
      </c>
      <c r="E41" s="43" t="s">
        <v>1592</v>
      </c>
      <c r="F41" s="43" t="s">
        <v>1593</v>
      </c>
      <c r="G41" s="38" t="s">
        <v>1440</v>
      </c>
      <c r="H41" s="43" t="s">
        <v>1594</v>
      </c>
      <c r="I41" s="44" t="s">
        <v>629</v>
      </c>
      <c r="J41" s="44" t="s">
        <v>642</v>
      </c>
      <c r="K41" s="43"/>
      <c r="L41" s="38"/>
      <c r="M41" s="43" t="s">
        <v>1595</v>
      </c>
      <c r="N41" s="43"/>
      <c r="O41" s="38" t="s">
        <v>1596</v>
      </c>
      <c r="Q41" s="43" t="str">
        <f>_xlfn.TEXTJOIN(", ",TRUE,wacor_data_dictionary[[#This Row],[Cardiobase Angioplasty]:[Development]])</f>
        <v>Cardiobase Angioplasty, HMDC, HIH, Redcap</v>
      </c>
      <c r="R41" s="38" t="s">
        <v>549</v>
      </c>
      <c r="T41" s="38" t="s">
        <v>554</v>
      </c>
      <c r="W41" s="38" t="s">
        <v>557</v>
      </c>
      <c r="AA41" s="38" t="s">
        <v>580</v>
      </c>
      <c r="AC41" s="43"/>
      <c r="AD41" s="58">
        <v>270236</v>
      </c>
      <c r="AJ41" s="63">
        <v>1</v>
      </c>
      <c r="AK41" s="63"/>
      <c r="AL41" s="63"/>
      <c r="AM41" s="63" t="str">
        <f>IF(COUNTIF('NCR Indicators'!K:K,"*"&amp;wacor_data_dictionary[[#This Row],[field_id]]&amp;"*")&gt;=1,"Yes","No")</f>
        <v>No</v>
      </c>
      <c r="AN41" s="47" t="s">
        <v>1597</v>
      </c>
      <c r="AO41" s="63" t="s">
        <v>575</v>
      </c>
      <c r="AQ41" s="106"/>
      <c r="AR41" s="63"/>
      <c r="AS41" s="63"/>
      <c r="AT41"/>
      <c r="AU41"/>
    </row>
    <row r="42" spans="1:47" ht="99.75" x14ac:dyDescent="0.2">
      <c r="A42" s="38" t="s">
        <v>148</v>
      </c>
      <c r="B42" s="43" t="s">
        <v>307</v>
      </c>
      <c r="C42" s="47" t="s">
        <v>1437</v>
      </c>
      <c r="E42" s="43" t="s">
        <v>1598</v>
      </c>
      <c r="F42" s="43" t="s">
        <v>1599</v>
      </c>
      <c r="G42" s="38" t="s">
        <v>647</v>
      </c>
      <c r="H42" s="43" t="s">
        <v>1514</v>
      </c>
      <c r="I42" s="44" t="s">
        <v>1514</v>
      </c>
      <c r="J42" s="44" t="s">
        <v>1514</v>
      </c>
      <c r="K42" s="43"/>
      <c r="L42" s="38"/>
      <c r="M42" s="43" t="s">
        <v>1600</v>
      </c>
      <c r="N42" s="43"/>
      <c r="O42" s="38" t="s">
        <v>1601</v>
      </c>
      <c r="Q42" s="43" t="str">
        <f>_xlfn.TEXTJOIN(", ",TRUE,wacor_data_dictionary[[#This Row],[Cardiobase Angioplasty]:[Development]])</f>
        <v>Cardiobase Angioplasty, Redcap</v>
      </c>
      <c r="R42" s="63" t="s">
        <v>549</v>
      </c>
      <c r="S42" s="63"/>
      <c r="T42" s="63"/>
      <c r="U42" s="63"/>
      <c r="V42" s="63"/>
      <c r="W42" s="63"/>
      <c r="X42" s="63"/>
      <c r="Y42" s="63"/>
      <c r="Z42" s="63"/>
      <c r="AA42" s="38" t="s">
        <v>580</v>
      </c>
      <c r="AB42" s="63"/>
      <c r="AC42" s="43" t="s">
        <v>1446</v>
      </c>
      <c r="AF42" s="44">
        <v>1</v>
      </c>
      <c r="AG42" s="40">
        <v>44764</v>
      </c>
      <c r="AH42" s="38" t="s">
        <v>1602</v>
      </c>
      <c r="AJ42" s="63">
        <v>1</v>
      </c>
      <c r="AK42" s="63"/>
      <c r="AL42" s="63"/>
      <c r="AM42" s="63" t="str">
        <f>IF(COUNTIF('NCR Indicators'!K:K,"*"&amp;wacor_data_dictionary[[#This Row],[field_id]]&amp;"*")&gt;=1,"Yes","No")</f>
        <v>Yes</v>
      </c>
      <c r="AN42" s="47" t="s">
        <v>1603</v>
      </c>
      <c r="AO42" s="47" t="s">
        <v>576</v>
      </c>
      <c r="AP42" s="134"/>
      <c r="AQ42" s="106"/>
      <c r="AR42" s="63"/>
      <c r="AS42" s="63"/>
      <c r="AT42"/>
      <c r="AU42"/>
    </row>
    <row r="43" spans="1:47" ht="213.75" x14ac:dyDescent="0.2">
      <c r="A43" s="38" t="s">
        <v>308</v>
      </c>
      <c r="B43" s="43" t="s">
        <v>309</v>
      </c>
      <c r="C43" s="47" t="s">
        <v>1437</v>
      </c>
      <c r="E43" s="43" t="s">
        <v>1604</v>
      </c>
      <c r="F43" s="43" t="s">
        <v>1605</v>
      </c>
      <c r="G43" s="38" t="s">
        <v>647</v>
      </c>
      <c r="H43" s="43" t="s">
        <v>1514</v>
      </c>
      <c r="I43" s="44" t="s">
        <v>1514</v>
      </c>
      <c r="J43" s="44" t="s">
        <v>1514</v>
      </c>
      <c r="K43" s="43"/>
      <c r="L43" s="38"/>
      <c r="M43" s="43" t="s">
        <v>1606</v>
      </c>
      <c r="N43" s="43" t="s">
        <v>1437</v>
      </c>
      <c r="O43" s="38" t="s">
        <v>1607</v>
      </c>
      <c r="Q43" s="43" t="str">
        <f>_xlfn.TEXTJOIN(", ",TRUE,wacor_data_dictionary[[#This Row],[Cardiobase Angioplasty]:[Development]])</f>
        <v>Cardiobase RiskScore, Redcap</v>
      </c>
      <c r="R43" s="63"/>
      <c r="S43" s="63" t="s">
        <v>551</v>
      </c>
      <c r="T43" s="63"/>
      <c r="U43" s="63"/>
      <c r="V43" s="63"/>
      <c r="W43" s="63"/>
      <c r="X43" s="63"/>
      <c r="Y43" s="63"/>
      <c r="Z43" s="63"/>
      <c r="AA43" s="38" t="s">
        <v>580</v>
      </c>
      <c r="AB43" s="63"/>
      <c r="AC43" s="43"/>
      <c r="AJ43" s="63">
        <v>1</v>
      </c>
      <c r="AK43" s="63"/>
      <c r="AL43" s="63"/>
      <c r="AM43" s="63" t="str">
        <f>IF(COUNTIF('NCR Indicators'!K:K,"*"&amp;wacor_data_dictionary[[#This Row],[field_id]]&amp;"*")&gt;=1,"Yes","No")</f>
        <v>No</v>
      </c>
      <c r="AN43" s="47" t="s">
        <v>1608</v>
      </c>
      <c r="AO43" s="47" t="s">
        <v>575</v>
      </c>
      <c r="AQ43" s="106"/>
      <c r="AR43" s="63"/>
      <c r="AS43" s="63"/>
      <c r="AT43"/>
      <c r="AU43"/>
    </row>
    <row r="44" spans="1:47" ht="199.5" x14ac:dyDescent="0.2">
      <c r="A44" s="38" t="s">
        <v>310</v>
      </c>
      <c r="B44" s="43" t="s">
        <v>311</v>
      </c>
      <c r="C44" s="47" t="s">
        <v>1437</v>
      </c>
      <c r="E44" s="43" t="s">
        <v>1609</v>
      </c>
      <c r="F44" s="43" t="s">
        <v>1610</v>
      </c>
      <c r="G44" s="38" t="s">
        <v>647</v>
      </c>
      <c r="H44" s="43" t="s">
        <v>1514</v>
      </c>
      <c r="I44" s="44" t="s">
        <v>1514</v>
      </c>
      <c r="J44" s="44" t="s">
        <v>1514</v>
      </c>
      <c r="K44" s="43"/>
      <c r="L44" s="38"/>
      <c r="M44" s="43" t="s">
        <v>1611</v>
      </c>
      <c r="N44" s="43"/>
      <c r="O44" s="38" t="s">
        <v>1601</v>
      </c>
      <c r="Q44" s="43" t="str">
        <f>_xlfn.TEXTJOIN(", ",TRUE,wacor_data_dictionary[[#This Row],[Cardiobase Angioplasty]:[Development]])</f>
        <v>Cardiobase Angioplasty, HMDC, EDDC, Redcap</v>
      </c>
      <c r="R44" s="63" t="s">
        <v>549</v>
      </c>
      <c r="S44" s="63"/>
      <c r="T44" s="63" t="s">
        <v>554</v>
      </c>
      <c r="U44" s="63" t="s">
        <v>167</v>
      </c>
      <c r="V44" s="63"/>
      <c r="W44" s="63"/>
      <c r="X44" s="63"/>
      <c r="Y44" s="63"/>
      <c r="Z44" s="63"/>
      <c r="AA44" s="38" t="s">
        <v>580</v>
      </c>
      <c r="AB44" s="63"/>
      <c r="AC44" s="43"/>
      <c r="AJ44" s="63">
        <v>1</v>
      </c>
      <c r="AK44" s="63"/>
      <c r="AL44" s="63"/>
      <c r="AM44" s="63" t="str">
        <f>IF(COUNTIF('NCR Indicators'!K:K,"*"&amp;wacor_data_dictionary[[#This Row],[field_id]]&amp;"*")&gt;=1,"Yes","No")</f>
        <v>No</v>
      </c>
      <c r="AN44" s="47" t="s">
        <v>1612</v>
      </c>
      <c r="AO44" s="47" t="s">
        <v>576</v>
      </c>
      <c r="AQ44" s="106"/>
      <c r="AR44" s="63"/>
      <c r="AS44" s="63"/>
      <c r="AT44"/>
      <c r="AU44"/>
    </row>
    <row r="45" spans="1:47" ht="85.5" x14ac:dyDescent="0.2">
      <c r="A45" s="38" t="s">
        <v>312</v>
      </c>
      <c r="B45" s="43" t="s">
        <v>313</v>
      </c>
      <c r="C45" s="47" t="s">
        <v>1437</v>
      </c>
      <c r="D45" s="43" t="s">
        <v>1613</v>
      </c>
      <c r="E45" s="43" t="s">
        <v>1614</v>
      </c>
      <c r="F45" s="43" t="s">
        <v>1615</v>
      </c>
      <c r="G45" s="38" t="s">
        <v>647</v>
      </c>
      <c r="H45" s="43" t="s">
        <v>647</v>
      </c>
      <c r="I45" s="44" t="s">
        <v>1514</v>
      </c>
      <c r="J45" s="44" t="s">
        <v>1514</v>
      </c>
      <c r="K45" s="43"/>
      <c r="L45" s="47" t="s">
        <v>1613</v>
      </c>
      <c r="M45" s="43" t="s">
        <v>1616</v>
      </c>
      <c r="N45" s="43"/>
      <c r="O45" s="38" t="s">
        <v>1445</v>
      </c>
      <c r="Q45" s="43" t="str">
        <f>_xlfn.TEXTJOIN(", ",TRUE,wacor_data_dictionary[[#This Row],[Cardiobase Angioplasty]:[Development]])</f>
        <v>HMDC, NACS, Redcap</v>
      </c>
      <c r="R45" s="43"/>
      <c r="S45" s="43"/>
      <c r="T45" s="43" t="s">
        <v>554</v>
      </c>
      <c r="U45" s="43"/>
      <c r="V45" s="43"/>
      <c r="W45" s="43"/>
      <c r="X45" s="43"/>
      <c r="Y45" s="43"/>
      <c r="Z45" s="43" t="s">
        <v>142</v>
      </c>
      <c r="AA45" s="38" t="s">
        <v>580</v>
      </c>
      <c r="AB45" s="43"/>
      <c r="AC45" s="43"/>
      <c r="AF45" s="44" t="s">
        <v>274</v>
      </c>
      <c r="AJ45" s="63">
        <v>1</v>
      </c>
      <c r="AK45" s="63"/>
      <c r="AL45" s="63"/>
      <c r="AM45" s="63" t="str">
        <f>IF(COUNTIF('NCR Indicators'!K:K,"*"&amp;wacor_data_dictionary[[#This Row],[field_id]]&amp;"*")&gt;=1,"Yes","No")</f>
        <v>No</v>
      </c>
      <c r="AN45" s="47" t="s">
        <v>1617</v>
      </c>
      <c r="AO45" s="47" t="s">
        <v>1535</v>
      </c>
      <c r="AQ45" s="106"/>
      <c r="AR45" s="63"/>
      <c r="AS45" s="63"/>
      <c r="AT45"/>
      <c r="AU45"/>
    </row>
    <row r="46" spans="1:47" ht="142.5" customHeight="1" x14ac:dyDescent="0.2">
      <c r="A46" s="38" t="s">
        <v>105</v>
      </c>
      <c r="B46" s="43" t="s">
        <v>314</v>
      </c>
      <c r="C46" s="47" t="s">
        <v>1437</v>
      </c>
      <c r="E46" s="47" t="s">
        <v>1618</v>
      </c>
      <c r="F46" s="43" t="s">
        <v>1619</v>
      </c>
      <c r="G46" s="38">
        <v>4</v>
      </c>
      <c r="H46" s="43" t="s">
        <v>1620</v>
      </c>
      <c r="I46" s="44" t="s">
        <v>629</v>
      </c>
      <c r="J46" s="44" t="s">
        <v>660</v>
      </c>
      <c r="K46" s="43"/>
      <c r="L46" s="38"/>
      <c r="M46" s="74" t="s">
        <v>1621</v>
      </c>
      <c r="N46" s="74" t="s">
        <v>1622</v>
      </c>
      <c r="O46" s="38" t="s">
        <v>1445</v>
      </c>
      <c r="Q46" s="43" t="str">
        <f>_xlfn.TEXTJOIN(", ",TRUE,wacor_data_dictionary[[#This Row],[Cardiobase Angioplasty]:[Development]])</f>
        <v>HMDC, Redcap</v>
      </c>
      <c r="T46" s="38" t="s">
        <v>554</v>
      </c>
      <c r="AA46" s="38" t="s">
        <v>580</v>
      </c>
      <c r="AC46" s="43" t="s">
        <v>1446</v>
      </c>
      <c r="AF46" s="44" t="s">
        <v>282</v>
      </c>
      <c r="AG46" s="40">
        <v>44764</v>
      </c>
      <c r="AH46" s="38" t="s">
        <v>1532</v>
      </c>
      <c r="AI46" s="63" t="s">
        <v>1623</v>
      </c>
      <c r="AJ46" s="63">
        <v>1</v>
      </c>
      <c r="AK46" s="63"/>
      <c r="AL46" s="63"/>
      <c r="AM46" s="63" t="str">
        <f>IF(COUNTIF('NCR Indicators'!K:K,"*"&amp;wacor_data_dictionary[[#This Row],[field_id]]&amp;"*")&gt;=1,"Yes","No")</f>
        <v>Yes</v>
      </c>
      <c r="AN46" s="74" t="s">
        <v>1624</v>
      </c>
      <c r="AO46" s="47" t="s">
        <v>578</v>
      </c>
      <c r="AP46" s="134"/>
      <c r="AQ46" s="106"/>
      <c r="AR46" s="63"/>
      <c r="AS46" s="63"/>
      <c r="AT46"/>
      <c r="AU46"/>
    </row>
    <row r="47" spans="1:47" ht="128.25" x14ac:dyDescent="0.2">
      <c r="A47" s="38" t="s">
        <v>154</v>
      </c>
      <c r="B47" s="43" t="s">
        <v>315</v>
      </c>
      <c r="C47" s="47" t="s">
        <v>1437</v>
      </c>
      <c r="D47" s="43" t="s">
        <v>1625</v>
      </c>
      <c r="E47" s="43" t="s">
        <v>1626</v>
      </c>
      <c r="F47" s="43" t="s">
        <v>1627</v>
      </c>
      <c r="G47" s="38" t="s">
        <v>647</v>
      </c>
      <c r="H47" s="43" t="s">
        <v>647</v>
      </c>
      <c r="I47" s="44" t="s">
        <v>1514</v>
      </c>
      <c r="J47" s="44" t="s">
        <v>1514</v>
      </c>
      <c r="K47" s="43"/>
      <c r="L47" s="38"/>
      <c r="M47" s="43" t="s">
        <v>1628</v>
      </c>
      <c r="N47" s="43"/>
      <c r="O47" s="38" t="s">
        <v>1629</v>
      </c>
      <c r="Q47" s="43" t="str">
        <f>_xlfn.TEXTJOIN(", ",TRUE,wacor_data_dictionary[[#This Row],[Cardiobase Angioplasty]:[Development]])</f>
        <v>Deaths registry, Redcap</v>
      </c>
      <c r="Y47" s="38" t="s">
        <v>561</v>
      </c>
      <c r="AA47" s="38" t="s">
        <v>580</v>
      </c>
      <c r="AC47" s="43" t="s">
        <v>1446</v>
      </c>
      <c r="AD47" s="58">
        <v>646025</v>
      </c>
      <c r="AF47" s="44" t="s">
        <v>282</v>
      </c>
      <c r="AH47" s="38" t="s">
        <v>1532</v>
      </c>
      <c r="AI47" s="63" t="s">
        <v>1630</v>
      </c>
      <c r="AJ47" s="63">
        <v>1</v>
      </c>
      <c r="AK47" s="63">
        <v>1</v>
      </c>
      <c r="AL47" s="63"/>
      <c r="AM47" s="63" t="str">
        <f>IF(COUNTIF('NCR Indicators'!K:K,"*"&amp;wacor_data_dictionary[[#This Row],[field_id]]&amp;"*")&gt;=1,"Yes","No")</f>
        <v>Yes</v>
      </c>
      <c r="AN47" s="47" t="s">
        <v>1631</v>
      </c>
      <c r="AO47" s="47" t="s">
        <v>1535</v>
      </c>
      <c r="AP47" s="134"/>
      <c r="AQ47" s="106"/>
      <c r="AR47" s="63"/>
      <c r="AS47" s="63"/>
      <c r="AT47"/>
      <c r="AU47"/>
    </row>
    <row r="48" spans="1:47" ht="171" x14ac:dyDescent="0.2">
      <c r="A48" s="38" t="s">
        <v>158</v>
      </c>
      <c r="B48" s="43" t="s">
        <v>316</v>
      </c>
      <c r="C48" s="47" t="s">
        <v>1437</v>
      </c>
      <c r="E48" s="43" t="s">
        <v>1632</v>
      </c>
      <c r="F48" s="43" t="s">
        <v>1633</v>
      </c>
      <c r="G48" s="38" t="s">
        <v>647</v>
      </c>
      <c r="H48" s="43" t="s">
        <v>1514</v>
      </c>
      <c r="I48" s="44" t="s">
        <v>1514</v>
      </c>
      <c r="J48" s="44" t="s">
        <v>1514</v>
      </c>
      <c r="K48" s="43"/>
      <c r="L48" s="43" t="s">
        <v>1634</v>
      </c>
      <c r="M48" s="43" t="s">
        <v>1635</v>
      </c>
      <c r="N48" s="47" t="s">
        <v>1437</v>
      </c>
      <c r="O48" s="38" t="s">
        <v>1445</v>
      </c>
      <c r="Q48" s="43" t="str">
        <f>_xlfn.TEXTJOIN(", ",TRUE,wacor_data_dictionary[[#This Row],[Cardiobase Angioplasty]:[Development]])</f>
        <v>HMDC, Redcap</v>
      </c>
      <c r="T48" s="38" t="s">
        <v>554</v>
      </c>
      <c r="AA48" s="38" t="s">
        <v>580</v>
      </c>
      <c r="AC48" s="43" t="s">
        <v>1446</v>
      </c>
      <c r="AD48" s="58"/>
      <c r="AF48" s="44">
        <v>1</v>
      </c>
      <c r="AG48" s="40">
        <v>44764</v>
      </c>
      <c r="AH48" s="38" t="s">
        <v>1585</v>
      </c>
      <c r="AJ48" s="63">
        <v>1</v>
      </c>
      <c r="AK48" s="63"/>
      <c r="AL48" s="63"/>
      <c r="AM48" s="63" t="str">
        <f>IF(COUNTIF('NCR Indicators'!K:K,"*"&amp;wacor_data_dictionary[[#This Row],[field_id]]&amp;"*")&gt;=1,"Yes","No")</f>
        <v>Yes</v>
      </c>
      <c r="AN48" s="122" t="s">
        <v>1636</v>
      </c>
      <c r="AO48" s="140" t="s">
        <v>575</v>
      </c>
      <c r="AP48" s="135"/>
      <c r="AQ48" s="106"/>
      <c r="AR48" s="63"/>
      <c r="AS48" s="63"/>
      <c r="AT48"/>
      <c r="AU48"/>
    </row>
    <row r="49" spans="1:47" ht="228" x14ac:dyDescent="0.2">
      <c r="A49" s="38" t="s">
        <v>119</v>
      </c>
      <c r="B49" s="43" t="s">
        <v>317</v>
      </c>
      <c r="C49" s="47" t="s">
        <v>1437</v>
      </c>
      <c r="E49" s="47" t="s">
        <v>1637</v>
      </c>
      <c r="F49" s="43" t="s">
        <v>1638</v>
      </c>
      <c r="G49" s="38" t="s">
        <v>1440</v>
      </c>
      <c r="H49" s="43" t="s">
        <v>1572</v>
      </c>
      <c r="I49" s="44" t="s">
        <v>1442</v>
      </c>
      <c r="J49" s="44" t="s">
        <v>642</v>
      </c>
      <c r="K49" s="43"/>
      <c r="L49" s="38"/>
      <c r="M49" s="43" t="s">
        <v>1639</v>
      </c>
      <c r="N49" s="43" t="s">
        <v>671</v>
      </c>
      <c r="O49" s="38" t="s">
        <v>1553</v>
      </c>
      <c r="Q49" s="43" t="str">
        <f>_xlfn.TEXTJOIN(", ",TRUE,wacor_data_dictionary[[#This Row],[Cardiobase Angioplasty]:[Development]])</f>
        <v>NACS, Redcap</v>
      </c>
      <c r="Z49" s="38" t="s">
        <v>142</v>
      </c>
      <c r="AA49" s="38" t="s">
        <v>580</v>
      </c>
      <c r="AC49" s="43" t="s">
        <v>1446</v>
      </c>
      <c r="AF49" s="44" t="s">
        <v>272</v>
      </c>
      <c r="AH49" s="38" t="s">
        <v>738</v>
      </c>
      <c r="AJ49" s="63">
        <v>1</v>
      </c>
      <c r="AK49" s="63"/>
      <c r="AL49" s="63"/>
      <c r="AM49" s="63" t="str">
        <f>IF(COUNTIF('NCR Indicators'!K:K,"*"&amp;wacor_data_dictionary[[#This Row],[field_id]]&amp;"*")&gt;=1,"Yes","No")</f>
        <v>Yes</v>
      </c>
      <c r="AN49" s="125" t="s">
        <v>1640</v>
      </c>
      <c r="AO49" s="47" t="s">
        <v>578</v>
      </c>
      <c r="AP49" s="134"/>
      <c r="AQ49" s="108"/>
      <c r="AR49" s="63"/>
      <c r="AS49" s="63"/>
      <c r="AT49"/>
      <c r="AU49"/>
    </row>
    <row r="50" spans="1:47" ht="128.25" x14ac:dyDescent="0.2">
      <c r="A50" s="38" t="s">
        <v>107</v>
      </c>
      <c r="B50" s="43" t="s">
        <v>318</v>
      </c>
      <c r="C50" s="47" t="s">
        <v>1437</v>
      </c>
      <c r="E50" s="47" t="s">
        <v>1641</v>
      </c>
      <c r="F50" s="43" t="s">
        <v>1642</v>
      </c>
      <c r="G50" s="38" t="s">
        <v>647</v>
      </c>
      <c r="H50" s="43" t="s">
        <v>647</v>
      </c>
      <c r="I50" s="44" t="s">
        <v>1514</v>
      </c>
      <c r="J50" s="44" t="s">
        <v>1514</v>
      </c>
      <c r="K50" s="43"/>
      <c r="L50" s="47" t="s">
        <v>1643</v>
      </c>
      <c r="M50" s="43" t="s">
        <v>1644</v>
      </c>
      <c r="N50" s="43"/>
      <c r="O50" s="38" t="s">
        <v>1445</v>
      </c>
      <c r="P50" s="43" t="s">
        <v>1645</v>
      </c>
      <c r="Q50" s="43" t="str">
        <f>_xlfn.TEXTJOIN(", ",TRUE,wacor_data_dictionary[[#This Row],[Cardiobase Angioplasty]:[Development]])</f>
        <v>HMDC, Redcap</v>
      </c>
      <c r="T50" s="38" t="s">
        <v>554</v>
      </c>
      <c r="AA50" s="38" t="s">
        <v>580</v>
      </c>
      <c r="AC50" s="43" t="s">
        <v>1446</v>
      </c>
      <c r="AF50" s="44" t="s">
        <v>282</v>
      </c>
      <c r="AH50" s="38" t="s">
        <v>1646</v>
      </c>
      <c r="AI50" s="63" t="s">
        <v>1647</v>
      </c>
      <c r="AJ50" s="63">
        <v>1</v>
      </c>
      <c r="AK50" s="63">
        <v>1</v>
      </c>
      <c r="AL50" s="63"/>
      <c r="AM50" s="63" t="str">
        <f>IF(COUNTIF('NCR Indicators'!K:K,"*"&amp;wacor_data_dictionary[[#This Row],[field_id]]&amp;"*")&gt;=1,"Yes","No")</f>
        <v>No</v>
      </c>
      <c r="AN50" s="47" t="s">
        <v>1648</v>
      </c>
      <c r="AO50" s="47" t="s">
        <v>578</v>
      </c>
      <c r="AQ50" s="106"/>
      <c r="AR50" s="63"/>
      <c r="AS50" s="63"/>
      <c r="AT50"/>
      <c r="AU50"/>
    </row>
    <row r="51" spans="1:47" ht="114" x14ac:dyDescent="0.2">
      <c r="A51" s="38" t="s">
        <v>113</v>
      </c>
      <c r="B51" s="43" t="s">
        <v>319</v>
      </c>
      <c r="C51" s="47" t="s">
        <v>1437</v>
      </c>
      <c r="E51" s="43" t="s">
        <v>1649</v>
      </c>
      <c r="F51" s="43" t="s">
        <v>1650</v>
      </c>
      <c r="G51" s="38" t="s">
        <v>1440</v>
      </c>
      <c r="H51" s="43" t="s">
        <v>1572</v>
      </c>
      <c r="I51" s="44" t="s">
        <v>1442</v>
      </c>
      <c r="J51" s="44" t="s">
        <v>642</v>
      </c>
      <c r="K51" s="43"/>
      <c r="L51" s="38"/>
      <c r="M51" s="43" t="s">
        <v>1651</v>
      </c>
      <c r="N51" s="43" t="s">
        <v>671</v>
      </c>
      <c r="O51" s="38" t="s">
        <v>1553</v>
      </c>
      <c r="Q51" s="43" t="str">
        <f>_xlfn.TEXTJOIN(", ",TRUE,wacor_data_dictionary[[#This Row],[Cardiobase Angioplasty]:[Development]])</f>
        <v>NACS, Redcap</v>
      </c>
      <c r="Z51" s="38" t="s">
        <v>142</v>
      </c>
      <c r="AA51" s="38" t="s">
        <v>580</v>
      </c>
      <c r="AC51" s="43" t="s">
        <v>1446</v>
      </c>
      <c r="AF51" s="44" t="s">
        <v>272</v>
      </c>
      <c r="AH51" s="38" t="s">
        <v>738</v>
      </c>
      <c r="AJ51" s="63">
        <v>1</v>
      </c>
      <c r="AK51" s="63"/>
      <c r="AL51" s="63"/>
      <c r="AM51" s="63" t="str">
        <f>IF(COUNTIF('NCR Indicators'!K:K,"*"&amp;wacor_data_dictionary[[#This Row],[field_id]]&amp;"*")&gt;=1,"Yes","No")</f>
        <v>Yes</v>
      </c>
      <c r="AN51" s="47" t="s">
        <v>1652</v>
      </c>
      <c r="AO51" s="47" t="s">
        <v>578</v>
      </c>
      <c r="AP51" s="134"/>
      <c r="AQ51" s="106"/>
      <c r="AR51" s="63"/>
      <c r="AS51" s="63"/>
      <c r="AT51"/>
      <c r="AU51"/>
    </row>
    <row r="52" spans="1:47" ht="156.75" x14ac:dyDescent="0.2">
      <c r="A52" s="38" t="s">
        <v>121</v>
      </c>
      <c r="B52" s="43" t="s">
        <v>320</v>
      </c>
      <c r="C52" s="47" t="s">
        <v>1437</v>
      </c>
      <c r="E52" s="43" t="s">
        <v>1653</v>
      </c>
      <c r="F52" s="43" t="s">
        <v>1654</v>
      </c>
      <c r="G52" s="38" t="s">
        <v>647</v>
      </c>
      <c r="H52" s="43" t="s">
        <v>1514</v>
      </c>
      <c r="I52" s="44" t="s">
        <v>1514</v>
      </c>
      <c r="J52" s="44" t="s">
        <v>1514</v>
      </c>
      <c r="K52" s="43"/>
      <c r="L52" s="43" t="s">
        <v>1655</v>
      </c>
      <c r="M52" s="47" t="s">
        <v>1656</v>
      </c>
      <c r="N52" s="43"/>
      <c r="O52" s="38" t="s">
        <v>1445</v>
      </c>
      <c r="Q52" s="43" t="str">
        <f>_xlfn.TEXTJOIN(", ",TRUE,wacor_data_dictionary[[#This Row],[Cardiobase Angioplasty]:[Development]])</f>
        <v>Cardiobase Angioplasty, HMDC, Redcap</v>
      </c>
      <c r="R52" s="63" t="s">
        <v>549</v>
      </c>
      <c r="S52" s="63"/>
      <c r="T52" s="63" t="s">
        <v>554</v>
      </c>
      <c r="U52" s="63"/>
      <c r="V52" s="63"/>
      <c r="W52" s="63"/>
      <c r="X52" s="63"/>
      <c r="Y52" s="63"/>
      <c r="Z52" s="63"/>
      <c r="AA52" s="38" t="s">
        <v>580</v>
      </c>
      <c r="AB52" s="63"/>
      <c r="AC52" s="43" t="s">
        <v>1446</v>
      </c>
      <c r="AF52" s="44">
        <v>1</v>
      </c>
      <c r="AG52" s="40">
        <v>44764</v>
      </c>
      <c r="AH52" s="38" t="s">
        <v>1585</v>
      </c>
      <c r="AJ52" s="63">
        <v>1</v>
      </c>
      <c r="AK52" s="63"/>
      <c r="AL52" s="63"/>
      <c r="AM52" s="63" t="str">
        <f>IF(COUNTIF('NCR Indicators'!K:K,"*"&amp;wacor_data_dictionary[[#This Row],[field_id]]&amp;"*")&gt;=1,"Yes","No")</f>
        <v>Yes</v>
      </c>
      <c r="AN52" s="123" t="s">
        <v>1657</v>
      </c>
      <c r="AO52" s="140" t="s">
        <v>575</v>
      </c>
      <c r="AP52" s="136"/>
      <c r="AQ52" s="106"/>
      <c r="AR52" s="63"/>
      <c r="AS52" s="63"/>
      <c r="AT52"/>
      <c r="AU52"/>
    </row>
    <row r="53" spans="1:47" ht="409.5" x14ac:dyDescent="0.2">
      <c r="A53" s="38" t="s">
        <v>321</v>
      </c>
      <c r="B53" s="43" t="s">
        <v>322</v>
      </c>
      <c r="C53" s="47" t="s">
        <v>1437</v>
      </c>
      <c r="E53" s="43" t="s">
        <v>1658</v>
      </c>
      <c r="F53" s="43" t="s">
        <v>1659</v>
      </c>
      <c r="G53" s="43" t="s">
        <v>647</v>
      </c>
      <c r="I53" s="44" t="s">
        <v>1514</v>
      </c>
      <c r="J53" s="44" t="s">
        <v>1514</v>
      </c>
      <c r="K53" s="43"/>
      <c r="L53" s="47" t="s">
        <v>1660</v>
      </c>
      <c r="M53" s="43" t="s">
        <v>1661</v>
      </c>
      <c r="N53" s="43"/>
      <c r="O53" s="38" t="s">
        <v>1662</v>
      </c>
      <c r="P53" s="43"/>
      <c r="Q53" s="43" t="str">
        <f>_xlfn.TEXTJOIN(", ",TRUE,wacor_data_dictionary[[#This Row],[Cardiobase Angioplasty]:[Development]])</f>
        <v>Cardiobase Angioplasty, HMDC, Redcap</v>
      </c>
      <c r="R53" s="38" t="s">
        <v>549</v>
      </c>
      <c r="T53" s="38" t="s">
        <v>554</v>
      </c>
      <c r="AA53" s="38" t="s">
        <v>580</v>
      </c>
      <c r="AC53" s="43" t="s">
        <v>1446</v>
      </c>
      <c r="AF53" s="44" t="s">
        <v>282</v>
      </c>
      <c r="AH53" s="38" t="s">
        <v>1532</v>
      </c>
      <c r="AI53" s="47" t="s">
        <v>1663</v>
      </c>
      <c r="AJ53" s="63">
        <v>1</v>
      </c>
      <c r="AK53" s="63" t="s">
        <v>1664</v>
      </c>
      <c r="AL53" s="47" t="s">
        <v>1665</v>
      </c>
      <c r="AM53" s="63" t="str">
        <f>IF(COUNTIF('NCR Indicators'!K:K,"*"&amp;wacor_data_dictionary[[#This Row],[field_id]]&amp;"*")&gt;=1,"Yes","No")</f>
        <v>No</v>
      </c>
      <c r="AN53" s="47" t="s">
        <v>1666</v>
      </c>
      <c r="AO53" s="140" t="s">
        <v>575</v>
      </c>
      <c r="AP53" s="106" t="s">
        <v>1667</v>
      </c>
      <c r="AQ53" s="106"/>
      <c r="AR53" s="63"/>
      <c r="AS53" s="63"/>
      <c r="AT53"/>
      <c r="AU53"/>
    </row>
    <row r="54" spans="1:47" ht="409.5" x14ac:dyDescent="0.2">
      <c r="A54" s="38" t="s">
        <v>323</v>
      </c>
      <c r="B54" s="43" t="s">
        <v>324</v>
      </c>
      <c r="C54" s="47" t="s">
        <v>1437</v>
      </c>
      <c r="E54" s="47" t="s">
        <v>1668</v>
      </c>
      <c r="F54" s="43" t="s">
        <v>1669</v>
      </c>
      <c r="G54" s="38" t="s">
        <v>647</v>
      </c>
      <c r="H54" s="43" t="s">
        <v>1514</v>
      </c>
      <c r="I54" s="44" t="s">
        <v>1514</v>
      </c>
      <c r="J54" s="44" t="s">
        <v>1514</v>
      </c>
      <c r="K54" s="43"/>
      <c r="L54" s="47" t="s">
        <v>1660</v>
      </c>
      <c r="M54" s="43" t="s">
        <v>1670</v>
      </c>
      <c r="N54" s="43"/>
      <c r="O54" s="38" t="s">
        <v>1671</v>
      </c>
      <c r="Q54" s="43" t="str">
        <f>_xlfn.TEXTJOIN(", ",TRUE,wacor_data_dictionary[[#This Row],[Cardiobase Angioplasty]:[Development]])</f>
        <v>Cardiobase Angioplasty, HMDC, Redcap</v>
      </c>
      <c r="R54" s="38" t="s">
        <v>549</v>
      </c>
      <c r="T54" s="38" t="s">
        <v>554</v>
      </c>
      <c r="AA54" s="38" t="s">
        <v>580</v>
      </c>
      <c r="AC54" s="43" t="s">
        <v>1446</v>
      </c>
      <c r="AF54" s="44" t="s">
        <v>282</v>
      </c>
      <c r="AH54" s="38" t="s">
        <v>1532</v>
      </c>
      <c r="AI54" s="47" t="s">
        <v>1672</v>
      </c>
      <c r="AJ54" s="63">
        <v>1</v>
      </c>
      <c r="AK54" s="63" t="s">
        <v>1664</v>
      </c>
      <c r="AL54" s="47" t="s">
        <v>1673</v>
      </c>
      <c r="AM54" s="63" t="str">
        <f>IF(COUNTIF('NCR Indicators'!K:K,"*"&amp;wacor_data_dictionary[[#This Row],[field_id]]&amp;"*")&gt;=1,"Yes","No")</f>
        <v>No</v>
      </c>
      <c r="AN54" s="47" t="s">
        <v>1674</v>
      </c>
      <c r="AO54" s="140" t="s">
        <v>575</v>
      </c>
      <c r="AP54" s="106" t="s">
        <v>1675</v>
      </c>
      <c r="AQ54" s="106"/>
      <c r="AR54" s="63"/>
      <c r="AS54" s="63"/>
      <c r="AT54"/>
      <c r="AU54"/>
    </row>
    <row r="55" spans="1:47" ht="256.5" x14ac:dyDescent="0.2">
      <c r="A55" s="38" t="s">
        <v>325</v>
      </c>
      <c r="B55" s="43" t="s">
        <v>326</v>
      </c>
      <c r="C55" s="47" t="s">
        <v>1437</v>
      </c>
      <c r="E55" s="43" t="s">
        <v>1676</v>
      </c>
      <c r="F55" s="43" t="s">
        <v>1677</v>
      </c>
      <c r="G55" s="38" t="s">
        <v>647</v>
      </c>
      <c r="H55" s="43" t="s">
        <v>1514</v>
      </c>
      <c r="I55" s="44" t="s">
        <v>1678</v>
      </c>
      <c r="J55" s="44" t="s">
        <v>1679</v>
      </c>
      <c r="K55" s="43"/>
      <c r="L55" s="38"/>
      <c r="M55" s="43" t="s">
        <v>804</v>
      </c>
      <c r="N55" s="43"/>
      <c r="O55" s="38" t="s">
        <v>1680</v>
      </c>
      <c r="Q55" s="43" t="str">
        <f>_xlfn.TEXTJOIN(", ",TRUE,wacor_data_dictionary[[#This Row],[Cardiobase Angioplasty]:[Development]])</f>
        <v>Cardiobase Angioplasty, Redcap</v>
      </c>
      <c r="R55" s="38" t="s">
        <v>549</v>
      </c>
      <c r="AA55" s="38" t="s">
        <v>580</v>
      </c>
      <c r="AC55" s="43"/>
      <c r="AF55" s="44">
        <v>3</v>
      </c>
      <c r="AJ55" s="63">
        <v>1</v>
      </c>
      <c r="AK55" s="63"/>
      <c r="AL55" s="63"/>
      <c r="AM55" s="63" t="str">
        <f>IF(COUNTIF('NCR Indicators'!K:K,"*"&amp;wacor_data_dictionary[[#This Row],[field_id]]&amp;"*")&gt;=1,"Yes","No")</f>
        <v>No</v>
      </c>
      <c r="AO55" s="47" t="s">
        <v>576</v>
      </c>
      <c r="AQ55" s="106"/>
      <c r="AR55" s="63"/>
      <c r="AS55" s="63"/>
      <c r="AT55"/>
      <c r="AU55"/>
    </row>
    <row r="56" spans="1:47" ht="85.5" x14ac:dyDescent="0.2">
      <c r="A56" s="38" t="s">
        <v>115</v>
      </c>
      <c r="B56" s="43" t="s">
        <v>327</v>
      </c>
      <c r="C56" s="47" t="s">
        <v>1437</v>
      </c>
      <c r="E56" s="47" t="s">
        <v>1681</v>
      </c>
      <c r="F56" s="43" t="s">
        <v>1682</v>
      </c>
      <c r="G56" s="38" t="s">
        <v>1440</v>
      </c>
      <c r="H56" s="43" t="s">
        <v>1572</v>
      </c>
      <c r="I56" s="44" t="s">
        <v>1442</v>
      </c>
      <c r="J56" s="44" t="s">
        <v>642</v>
      </c>
      <c r="K56" s="43"/>
      <c r="L56" s="38"/>
      <c r="M56" s="43" t="s">
        <v>1639</v>
      </c>
      <c r="N56" s="43" t="s">
        <v>671</v>
      </c>
      <c r="O56" s="38" t="s">
        <v>1553</v>
      </c>
      <c r="Q56" s="43" t="str">
        <f>_xlfn.TEXTJOIN(", ",TRUE,wacor_data_dictionary[[#This Row],[Cardiobase Angioplasty]:[Development]])</f>
        <v>NACS, Redcap</v>
      </c>
      <c r="Z56" s="38" t="s">
        <v>142</v>
      </c>
      <c r="AA56" s="38" t="s">
        <v>580</v>
      </c>
      <c r="AC56" s="43" t="s">
        <v>1446</v>
      </c>
      <c r="AF56" s="44" t="s">
        <v>272</v>
      </c>
      <c r="AH56" s="38" t="s">
        <v>738</v>
      </c>
      <c r="AJ56" s="63">
        <v>1</v>
      </c>
      <c r="AK56" s="63"/>
      <c r="AL56" s="63"/>
      <c r="AM56" s="63" t="str">
        <f>IF(COUNTIF('NCR Indicators'!K:K,"*"&amp;wacor_data_dictionary[[#This Row],[field_id]]&amp;"*")&gt;=1,"Yes","No")</f>
        <v>Yes</v>
      </c>
      <c r="AN56" s="47" t="s">
        <v>1683</v>
      </c>
      <c r="AO56" s="47" t="s">
        <v>578</v>
      </c>
      <c r="AP56" s="134"/>
      <c r="AQ56" s="106"/>
      <c r="AR56" s="63"/>
      <c r="AS56" s="63"/>
      <c r="AT56"/>
      <c r="AU56"/>
    </row>
    <row r="57" spans="1:47" ht="42.75" x14ac:dyDescent="0.2">
      <c r="A57" s="38" t="s">
        <v>328</v>
      </c>
      <c r="B57" s="43" t="s">
        <v>329</v>
      </c>
      <c r="C57" s="47" t="s">
        <v>1437</v>
      </c>
      <c r="E57" s="43" t="s">
        <v>1582</v>
      </c>
      <c r="F57" s="43" t="s">
        <v>1684</v>
      </c>
      <c r="G57" s="38" t="s">
        <v>1588</v>
      </c>
      <c r="H57" s="43" t="s">
        <v>1589</v>
      </c>
      <c r="I57" s="44" t="s">
        <v>1514</v>
      </c>
      <c r="J57" s="44" t="s">
        <v>1514</v>
      </c>
      <c r="K57" s="43"/>
      <c r="L57" s="38"/>
      <c r="M57" s="43" t="s">
        <v>860</v>
      </c>
      <c r="N57" s="43"/>
      <c r="O57" s="38" t="s">
        <v>1525</v>
      </c>
      <c r="Q57" s="43" t="str">
        <f>_xlfn.TEXTJOIN(", ",TRUE,wacor_data_dictionary[[#This Row],[Cardiobase Angioplasty]:[Development]])</f>
        <v>Derived</v>
      </c>
      <c r="X57" s="38" t="s">
        <v>559</v>
      </c>
      <c r="AC57" s="43"/>
      <c r="AJ57" s="63">
        <v>1</v>
      </c>
      <c r="AK57" s="63"/>
      <c r="AL57" s="63"/>
      <c r="AM57" s="63" t="str">
        <f>IF(COUNTIF('NCR Indicators'!K:K,"*"&amp;wacor_data_dictionary[[#This Row],[field_id]]&amp;"*")&gt;=1,"Yes","No")</f>
        <v>Yes</v>
      </c>
      <c r="AO57" s="47" t="s">
        <v>576</v>
      </c>
      <c r="AP57" s="134"/>
      <c r="AQ57" s="106"/>
      <c r="AR57" s="63"/>
      <c r="AS57" s="63"/>
      <c r="AT57"/>
      <c r="AU57"/>
    </row>
    <row r="58" spans="1:47" ht="57" x14ac:dyDescent="0.2">
      <c r="A58" s="38" t="s">
        <v>330</v>
      </c>
      <c r="B58" s="43" t="s">
        <v>331</v>
      </c>
      <c r="C58" s="47" t="s">
        <v>1437</v>
      </c>
      <c r="D58" s="43" t="s">
        <v>1685</v>
      </c>
      <c r="F58" s="43" t="s">
        <v>1546</v>
      </c>
      <c r="G58" s="38" t="s">
        <v>1514</v>
      </c>
      <c r="H58" s="43" t="s">
        <v>1514</v>
      </c>
      <c r="I58" s="44" t="s">
        <v>1514</v>
      </c>
      <c r="J58" s="44" t="s">
        <v>1514</v>
      </c>
      <c r="K58" s="43"/>
      <c r="L58" s="47" t="s">
        <v>1686</v>
      </c>
      <c r="M58" s="47" t="s">
        <v>1687</v>
      </c>
      <c r="N58" s="47" t="s">
        <v>1688</v>
      </c>
      <c r="O58" s="38" t="s">
        <v>1445</v>
      </c>
      <c r="Q58" s="47" t="s">
        <v>1689</v>
      </c>
      <c r="AC58" s="43"/>
      <c r="AF58" s="44">
        <v>1</v>
      </c>
      <c r="AH58" s="38" t="s">
        <v>1585</v>
      </c>
      <c r="AJ58" s="63">
        <v>1</v>
      </c>
      <c r="AK58" s="63"/>
      <c r="AL58" s="63"/>
      <c r="AM58" s="63" t="s">
        <v>1449</v>
      </c>
      <c r="AO58" s="63" t="s">
        <v>572</v>
      </c>
      <c r="AQ58" s="106"/>
      <c r="AR58" s="63"/>
      <c r="AS58" s="63"/>
      <c r="AT58"/>
      <c r="AU58"/>
    </row>
    <row r="59" spans="1:47" ht="128.25" x14ac:dyDescent="0.2">
      <c r="A59" s="38" t="s">
        <v>332</v>
      </c>
      <c r="B59" s="43" t="s">
        <v>333</v>
      </c>
      <c r="C59" s="47" t="s">
        <v>1437</v>
      </c>
      <c r="E59" s="43" t="s">
        <v>1690</v>
      </c>
      <c r="F59" s="43" t="s">
        <v>1691</v>
      </c>
      <c r="G59" s="38" t="s">
        <v>1692</v>
      </c>
      <c r="H59" s="43" t="s">
        <v>1693</v>
      </c>
      <c r="I59" s="44" t="s">
        <v>1694</v>
      </c>
      <c r="J59" s="44" t="s">
        <v>1023</v>
      </c>
      <c r="K59" s="43"/>
      <c r="L59" s="38"/>
      <c r="M59" s="43" t="s">
        <v>1695</v>
      </c>
      <c r="N59" s="43"/>
      <c r="O59" s="38" t="s">
        <v>1696</v>
      </c>
      <c r="Q59" s="43" t="str">
        <f>_xlfn.TEXTJOIN(", ",TRUE,wacor_data_dictionary[[#This Row],[Cardiobase Angioplasty]:[Development]])</f>
        <v>Cardiobase RiskScore</v>
      </c>
      <c r="R59" s="63"/>
      <c r="S59" s="63" t="s">
        <v>551</v>
      </c>
      <c r="T59" s="63"/>
      <c r="U59" s="63"/>
      <c r="V59" s="63"/>
      <c r="W59" s="63"/>
      <c r="X59" s="63"/>
      <c r="Y59" s="63"/>
      <c r="Z59" s="63"/>
      <c r="AB59" s="63"/>
      <c r="AC59" s="43"/>
      <c r="AF59" s="44" t="s">
        <v>334</v>
      </c>
      <c r="AH59" s="38" t="s">
        <v>1602</v>
      </c>
      <c r="AJ59" s="63">
        <v>1</v>
      </c>
      <c r="AK59" s="63"/>
      <c r="AL59" s="63"/>
      <c r="AM59" s="63" t="s">
        <v>1449</v>
      </c>
      <c r="AN59" s="63" t="s">
        <v>1697</v>
      </c>
      <c r="AO59" s="140" t="s">
        <v>575</v>
      </c>
      <c r="AQ59" s="114"/>
      <c r="AR59" s="63"/>
      <c r="AS59" s="63"/>
      <c r="AT59"/>
      <c r="AU59"/>
    </row>
    <row r="60" spans="1:47" ht="156.75" x14ac:dyDescent="0.2">
      <c r="A60" s="38" t="s">
        <v>335</v>
      </c>
      <c r="B60" s="43" t="s">
        <v>336</v>
      </c>
      <c r="C60" s="47" t="s">
        <v>1437</v>
      </c>
      <c r="E60" s="43" t="s">
        <v>1698</v>
      </c>
      <c r="F60" s="43" t="s">
        <v>1699</v>
      </c>
      <c r="G60" s="38" t="s">
        <v>1440</v>
      </c>
      <c r="H60" s="43" t="s">
        <v>1700</v>
      </c>
      <c r="I60" s="44" t="s">
        <v>629</v>
      </c>
      <c r="J60" s="44" t="s">
        <v>650</v>
      </c>
      <c r="K60" s="43"/>
      <c r="L60" s="38"/>
      <c r="M60" s="43" t="s">
        <v>1514</v>
      </c>
      <c r="N60" s="43"/>
      <c r="O60" s="38" t="s">
        <v>1701</v>
      </c>
      <c r="Q60" s="43" t="str">
        <f>_xlfn.TEXTJOIN(", ",TRUE,wacor_data_dictionary[[#This Row],[Cardiobase Angioplasty]:[Development]])</f>
        <v>Cardiobase Angioplasty, Cardiobase RiskScore, Redcap</v>
      </c>
      <c r="R60" s="63" t="s">
        <v>549</v>
      </c>
      <c r="S60" s="63" t="s">
        <v>551</v>
      </c>
      <c r="T60" s="63"/>
      <c r="U60" s="63"/>
      <c r="V60" s="63"/>
      <c r="W60" s="63"/>
      <c r="X60" s="63"/>
      <c r="Y60" s="63"/>
      <c r="Z60" s="63"/>
      <c r="AA60" s="63" t="s">
        <v>580</v>
      </c>
      <c r="AB60" s="63"/>
      <c r="AC60" s="43"/>
      <c r="AJ60" s="63">
        <v>1</v>
      </c>
      <c r="AK60" s="63"/>
      <c r="AL60" s="63"/>
      <c r="AM60" s="63" t="str">
        <f>IF(COUNTIF('NCR Indicators'!K:K,"*"&amp;wacor_data_dictionary[[#This Row],[field_id]]&amp;"*")&gt;=1,"Yes","No")</f>
        <v>No</v>
      </c>
      <c r="AN60" s="47" t="s">
        <v>1702</v>
      </c>
      <c r="AO60" s="47" t="s">
        <v>575</v>
      </c>
      <c r="AQ60" s="106"/>
      <c r="AR60" s="63"/>
      <c r="AS60" s="63"/>
      <c r="AT60"/>
      <c r="AU60"/>
    </row>
    <row r="61" spans="1:47" ht="114" x14ac:dyDescent="0.2">
      <c r="A61" s="38" t="s">
        <v>337</v>
      </c>
      <c r="B61" s="43" t="s">
        <v>338</v>
      </c>
      <c r="C61" s="47" t="s">
        <v>1437</v>
      </c>
      <c r="E61" s="43" t="s">
        <v>1703</v>
      </c>
      <c r="F61" s="43" t="s">
        <v>1704</v>
      </c>
      <c r="G61" s="38" t="s">
        <v>1514</v>
      </c>
      <c r="H61" s="43" t="s">
        <v>1705</v>
      </c>
      <c r="I61" s="44" t="s">
        <v>629</v>
      </c>
      <c r="J61" s="44" t="s">
        <v>660</v>
      </c>
      <c r="K61" s="43"/>
      <c r="L61" s="38"/>
      <c r="M61" s="43" t="s">
        <v>1706</v>
      </c>
      <c r="N61" s="43"/>
      <c r="O61" s="38" t="s">
        <v>1607</v>
      </c>
      <c r="Q61" s="43" t="str">
        <f>_xlfn.TEXTJOIN(", ",TRUE,wacor_data_dictionary[[#This Row],[Cardiobase Angioplasty]:[Development]])</f>
        <v>Redcap</v>
      </c>
      <c r="R61" s="63"/>
      <c r="S61" s="63"/>
      <c r="T61" s="63"/>
      <c r="U61" s="63"/>
      <c r="V61" s="63"/>
      <c r="W61" s="63"/>
      <c r="X61" s="63"/>
      <c r="Y61" s="63"/>
      <c r="Z61" s="63"/>
      <c r="AA61" s="63" t="s">
        <v>580</v>
      </c>
      <c r="AB61" s="63"/>
      <c r="AC61" s="43"/>
      <c r="AJ61" s="63">
        <v>1</v>
      </c>
      <c r="AK61" s="63"/>
      <c r="AL61" s="63"/>
      <c r="AM61" s="63" t="str">
        <f>IF(COUNTIF('NCR Indicators'!K:K,"*"&amp;wacor_data_dictionary[[#This Row],[field_id]]&amp;"*")&gt;=1,"Yes","No")</f>
        <v>No</v>
      </c>
      <c r="AO61" s="47" t="s">
        <v>575</v>
      </c>
      <c r="AQ61" s="106"/>
      <c r="AR61" s="63"/>
      <c r="AS61" s="63"/>
      <c r="AT61"/>
      <c r="AU61"/>
    </row>
    <row r="62" spans="1:47" ht="242.25" x14ac:dyDescent="0.2">
      <c r="A62" s="38" t="s">
        <v>339</v>
      </c>
      <c r="B62" s="43" t="s">
        <v>340</v>
      </c>
      <c r="C62" s="47" t="s">
        <v>1437</v>
      </c>
      <c r="E62" s="47" t="s">
        <v>1707</v>
      </c>
      <c r="F62" s="43" t="s">
        <v>1577</v>
      </c>
      <c r="G62" s="38" t="s">
        <v>1440</v>
      </c>
      <c r="H62" s="43" t="s">
        <v>1463</v>
      </c>
      <c r="I62" s="44" t="s">
        <v>1442</v>
      </c>
      <c r="J62" s="44" t="s">
        <v>629</v>
      </c>
      <c r="K62" s="43"/>
      <c r="L62" s="38"/>
      <c r="M62" s="43" t="s">
        <v>1708</v>
      </c>
      <c r="N62" s="43"/>
      <c r="O62" s="38" t="s">
        <v>1445</v>
      </c>
      <c r="Q62" s="43" t="str">
        <f>_xlfn.TEXTJOIN(", ",TRUE,wacor_data_dictionary[[#This Row],[Cardiobase Angioplasty]:[Development]])</f>
        <v>Cardiobase RiskScore, Redcap</v>
      </c>
      <c r="R62" s="63"/>
      <c r="S62" s="63" t="s">
        <v>551</v>
      </c>
      <c r="T62" s="63"/>
      <c r="U62" s="63"/>
      <c r="V62" s="63"/>
      <c r="W62" s="63"/>
      <c r="X62" s="63"/>
      <c r="Y62" s="63"/>
      <c r="Z62" s="63"/>
      <c r="AA62" s="63" t="s">
        <v>580</v>
      </c>
      <c r="AB62" s="63"/>
      <c r="AC62" s="43"/>
      <c r="AJ62" s="63">
        <v>1</v>
      </c>
      <c r="AK62" s="63"/>
      <c r="AL62" s="63"/>
      <c r="AM62" s="63" t="str">
        <f>IF(COUNTIF('NCR Indicators'!K:K,"*"&amp;wacor_data_dictionary[[#This Row],[field_id]]&amp;"*")&gt;=1,"Yes","No")</f>
        <v>No</v>
      </c>
      <c r="AN62" s="47" t="s">
        <v>1709</v>
      </c>
      <c r="AO62" s="47" t="s">
        <v>575</v>
      </c>
      <c r="AQ62" s="106"/>
      <c r="AR62" s="63"/>
      <c r="AS62" s="63"/>
      <c r="AT62"/>
      <c r="AU62"/>
    </row>
    <row r="63" spans="1:47" ht="85.5" x14ac:dyDescent="0.2">
      <c r="A63" s="38" t="s">
        <v>341</v>
      </c>
      <c r="B63" s="43" t="s">
        <v>342</v>
      </c>
      <c r="C63" s="47" t="s">
        <v>1437</v>
      </c>
      <c r="E63" s="43" t="s">
        <v>1710</v>
      </c>
      <c r="F63" s="43" t="s">
        <v>1711</v>
      </c>
      <c r="G63" s="38" t="s">
        <v>1712</v>
      </c>
      <c r="H63" s="43" t="s">
        <v>1713</v>
      </c>
      <c r="I63" s="44" t="s">
        <v>1514</v>
      </c>
      <c r="J63" s="44" t="s">
        <v>1514</v>
      </c>
      <c r="K63" s="43"/>
      <c r="L63" s="38"/>
      <c r="M63" s="43" t="s">
        <v>1714</v>
      </c>
      <c r="N63" s="43"/>
      <c r="O63" s="38" t="s">
        <v>1525</v>
      </c>
      <c r="Q63" s="43" t="str">
        <f>_xlfn.TEXTJOIN(", ",TRUE,wacor_data_dictionary[[#This Row],[Cardiobase Angioplasty]:[Development]])</f>
        <v>Derived</v>
      </c>
      <c r="X63" s="38" t="s">
        <v>559</v>
      </c>
      <c r="AC63" s="43"/>
      <c r="AF63" s="44" t="s">
        <v>334</v>
      </c>
      <c r="AJ63" s="63">
        <v>1</v>
      </c>
      <c r="AK63" s="63"/>
      <c r="AL63" s="63"/>
      <c r="AM63" s="63" t="str">
        <f>IF(COUNTIF('NCR Indicators'!K:K,"*"&amp;wacor_data_dictionary[[#This Row],[field_id]]&amp;"*")&gt;=1,"Yes","No")</f>
        <v>No</v>
      </c>
      <c r="AN63" s="63" t="s">
        <v>1715</v>
      </c>
      <c r="AO63" s="140" t="s">
        <v>575</v>
      </c>
      <c r="AQ63" s="106"/>
      <c r="AR63" s="63"/>
      <c r="AS63" s="63"/>
      <c r="AT63"/>
      <c r="AU63"/>
    </row>
    <row r="64" spans="1:47" ht="42.75" x14ac:dyDescent="0.2">
      <c r="A64" s="38" t="s">
        <v>343</v>
      </c>
      <c r="B64" s="43" t="s">
        <v>344</v>
      </c>
      <c r="C64" s="47" t="s">
        <v>1437</v>
      </c>
      <c r="E64" s="43" t="s">
        <v>1716</v>
      </c>
      <c r="F64" s="43" t="s">
        <v>1717</v>
      </c>
      <c r="G64" s="38" t="s">
        <v>1712</v>
      </c>
      <c r="H64" s="43" t="s">
        <v>1713</v>
      </c>
      <c r="I64" s="44" t="s">
        <v>1718</v>
      </c>
      <c r="J64" s="44" t="s">
        <v>1719</v>
      </c>
      <c r="K64" s="43"/>
      <c r="L64" s="38"/>
      <c r="M64" s="43" t="s">
        <v>1720</v>
      </c>
      <c r="N64" s="43"/>
      <c r="O64" s="38" t="s">
        <v>1721</v>
      </c>
      <c r="Q64" s="43" t="str">
        <f>_xlfn.TEXTJOIN(", ",TRUE,wacor_data_dictionary[[#This Row],[Cardiobase Angioplasty]:[Development]])</f>
        <v>Cardiobase RiskScore, HIH</v>
      </c>
      <c r="S64" s="38" t="s">
        <v>551</v>
      </c>
      <c r="W64" s="38" t="s">
        <v>557</v>
      </c>
      <c r="AC64" s="43"/>
      <c r="AF64" s="44" t="s">
        <v>334</v>
      </c>
      <c r="AJ64" s="63">
        <v>1</v>
      </c>
      <c r="AK64" s="63"/>
      <c r="AL64" s="63"/>
      <c r="AM64" s="63" t="str">
        <f>IF(COUNTIF('NCR Indicators'!K:K,"*"&amp;wacor_data_dictionary[[#This Row],[field_id]]&amp;"*")&gt;=1,"Yes","No")</f>
        <v>No</v>
      </c>
      <c r="AN64" s="63" t="s">
        <v>1715</v>
      </c>
      <c r="AO64" s="140" t="s">
        <v>575</v>
      </c>
      <c r="AQ64" s="106"/>
      <c r="AR64" s="63"/>
      <c r="AS64" s="63"/>
      <c r="AT64"/>
      <c r="AU64"/>
    </row>
    <row r="65" spans="1:47" ht="57" x14ac:dyDescent="0.2">
      <c r="A65" s="38" t="s">
        <v>347</v>
      </c>
      <c r="B65" s="43" t="s">
        <v>348</v>
      </c>
      <c r="C65" s="47" t="s">
        <v>1437</v>
      </c>
      <c r="E65" s="43" t="s">
        <v>1514</v>
      </c>
      <c r="F65" s="47" t="s">
        <v>1722</v>
      </c>
      <c r="G65" s="38" t="s">
        <v>634</v>
      </c>
      <c r="H65" s="43" t="s">
        <v>1514</v>
      </c>
      <c r="I65" s="44" t="s">
        <v>1514</v>
      </c>
      <c r="J65" s="44" t="s">
        <v>1514</v>
      </c>
      <c r="K65" s="43"/>
      <c r="L65" s="38"/>
      <c r="M65" s="43" t="s">
        <v>1514</v>
      </c>
      <c r="N65" s="43"/>
      <c r="O65" s="38" t="s">
        <v>1723</v>
      </c>
      <c r="Q65" s="43" t="str">
        <f>_xlfn.TEXTJOIN(", ",TRUE,wacor_data_dictionary[[#This Row],[Cardiobase Angioplasty]:[Development]])</f>
        <v/>
      </c>
      <c r="AC65" s="43"/>
      <c r="AJ65" s="63">
        <v>1</v>
      </c>
      <c r="AK65" s="63"/>
      <c r="AL65" s="63"/>
      <c r="AM65" s="63" t="str">
        <f>IF(COUNTIF('NCR Indicators'!K:K,"*"&amp;wacor_data_dictionary[[#This Row],[field_id]]&amp;"*")&gt;=1,"Yes","No")</f>
        <v>No</v>
      </c>
      <c r="AN65" s="98"/>
      <c r="AO65" s="98" t="s">
        <v>572</v>
      </c>
      <c r="AP65" s="107"/>
      <c r="AQ65" s="106"/>
      <c r="AR65" s="63"/>
      <c r="AS65" s="63"/>
      <c r="AT65"/>
      <c r="AU65"/>
    </row>
    <row r="66" spans="1:47" ht="42.75" x14ac:dyDescent="0.2">
      <c r="A66" s="38" t="s">
        <v>351</v>
      </c>
      <c r="B66" s="43" t="s">
        <v>352</v>
      </c>
      <c r="C66" s="47" t="s">
        <v>1437</v>
      </c>
      <c r="E66" s="43" t="s">
        <v>1582</v>
      </c>
      <c r="F66" s="43" t="s">
        <v>1724</v>
      </c>
      <c r="G66" s="38" t="s">
        <v>1514</v>
      </c>
      <c r="H66" s="43" t="s">
        <v>1514</v>
      </c>
      <c r="I66" s="44" t="s">
        <v>1514</v>
      </c>
      <c r="J66" s="44" t="s">
        <v>1514</v>
      </c>
      <c r="K66" s="43"/>
      <c r="L66" s="38"/>
      <c r="M66" s="43" t="s">
        <v>846</v>
      </c>
      <c r="N66" s="43"/>
      <c r="O66" s="38" t="s">
        <v>1525</v>
      </c>
      <c r="Q66" s="43" t="str">
        <f>_xlfn.TEXTJOIN(", ",TRUE,wacor_data_dictionary[[#This Row],[Cardiobase Angioplasty]:[Development]])</f>
        <v>Derived</v>
      </c>
      <c r="X66" s="38" t="s">
        <v>559</v>
      </c>
      <c r="AC66" s="43"/>
      <c r="AJ66" s="63"/>
      <c r="AK66" s="63"/>
      <c r="AL66" s="63"/>
      <c r="AM66" s="63" t="str">
        <f>IF(COUNTIF('NCR Indicators'!K:K,"*"&amp;wacor_data_dictionary[[#This Row],[field_id]]&amp;"*")&gt;=1,"Yes","No")</f>
        <v>No</v>
      </c>
      <c r="AO66" s="47" t="s">
        <v>576</v>
      </c>
      <c r="AQ66" s="106"/>
      <c r="AR66" s="63"/>
      <c r="AS66" s="63"/>
      <c r="AT66"/>
      <c r="AU66"/>
    </row>
    <row r="67" spans="1:47" ht="273.75" customHeight="1" x14ac:dyDescent="0.2">
      <c r="A67" s="38" t="s">
        <v>353</v>
      </c>
      <c r="B67" s="43" t="s">
        <v>354</v>
      </c>
      <c r="C67" s="47" t="s">
        <v>1437</v>
      </c>
      <c r="E67" s="43" t="s">
        <v>1582</v>
      </c>
      <c r="F67" s="43" t="s">
        <v>1725</v>
      </c>
      <c r="G67" s="38" t="s">
        <v>1588</v>
      </c>
      <c r="H67" s="43" t="s">
        <v>1514</v>
      </c>
      <c r="I67" s="44" t="s">
        <v>1514</v>
      </c>
      <c r="J67" s="44" t="s">
        <v>1514</v>
      </c>
      <c r="K67" s="43"/>
      <c r="L67" s="38"/>
      <c r="M67" s="43" t="s">
        <v>860</v>
      </c>
      <c r="N67" s="43"/>
      <c r="O67" s="38" t="s">
        <v>1525</v>
      </c>
      <c r="Q67" s="43" t="str">
        <f>_xlfn.TEXTJOIN(", ",TRUE,wacor_data_dictionary[[#This Row],[Cardiobase Angioplasty]:[Development]])</f>
        <v>Derived</v>
      </c>
      <c r="X67" s="38" t="s">
        <v>559</v>
      </c>
      <c r="AC67" s="43"/>
      <c r="AJ67" s="63"/>
      <c r="AK67" s="63"/>
      <c r="AL67" s="63"/>
      <c r="AM67" s="63" t="str">
        <f>IF(COUNTIF('NCR Indicators'!K:K,"*"&amp;wacor_data_dictionary[[#This Row],[field_id]]&amp;"*")&gt;=1,"Yes","No")</f>
        <v>No</v>
      </c>
      <c r="AO67" s="47" t="s">
        <v>576</v>
      </c>
      <c r="AQ67" s="106"/>
      <c r="AR67" s="63"/>
      <c r="AS67" s="63"/>
      <c r="AT67"/>
      <c r="AU67"/>
    </row>
    <row r="68" spans="1:47" ht="42.75" x14ac:dyDescent="0.2">
      <c r="A68" s="38" t="s">
        <v>355</v>
      </c>
      <c r="B68" s="43" t="s">
        <v>356</v>
      </c>
      <c r="C68" s="47" t="s">
        <v>1437</v>
      </c>
      <c r="E68" s="43" t="s">
        <v>1582</v>
      </c>
      <c r="F68" s="43" t="s">
        <v>1726</v>
      </c>
      <c r="G68" s="38" t="s">
        <v>1588</v>
      </c>
      <c r="H68" s="43" t="s">
        <v>1514</v>
      </c>
      <c r="I68" s="44" t="s">
        <v>1514</v>
      </c>
      <c r="J68" s="44" t="s">
        <v>1514</v>
      </c>
      <c r="K68" s="43"/>
      <c r="L68" s="38"/>
      <c r="M68" s="43" t="s">
        <v>846</v>
      </c>
      <c r="N68" s="43"/>
      <c r="O68" s="38" t="s">
        <v>1525</v>
      </c>
      <c r="Q68" s="43" t="str">
        <f>_xlfn.TEXTJOIN(", ",TRUE,wacor_data_dictionary[[#This Row],[Cardiobase Angioplasty]:[Development]])</f>
        <v>Derived</v>
      </c>
      <c r="X68" s="38" t="s">
        <v>559</v>
      </c>
      <c r="AC68" s="43"/>
      <c r="AJ68" s="63"/>
      <c r="AK68" s="63"/>
      <c r="AL68" s="63"/>
      <c r="AM68" s="63" t="str">
        <f>IF(COUNTIF('NCR Indicators'!K:K,"*"&amp;wacor_data_dictionary[[#This Row],[field_id]]&amp;"*")&gt;=1,"Yes","No")</f>
        <v>No</v>
      </c>
      <c r="AO68" s="47" t="s">
        <v>576</v>
      </c>
      <c r="AQ68" s="106"/>
      <c r="AR68" s="63"/>
      <c r="AS68" s="63"/>
      <c r="AT68"/>
      <c r="AU68"/>
    </row>
    <row r="69" spans="1:47" ht="177.75" x14ac:dyDescent="0.2">
      <c r="A69" s="63" t="s">
        <v>1394</v>
      </c>
      <c r="B69" s="47" t="s">
        <v>1395</v>
      </c>
      <c r="C69" s="63" t="s">
        <v>1437</v>
      </c>
      <c r="D69" s="47" t="s">
        <v>1727</v>
      </c>
      <c r="E69" s="47" t="s">
        <v>1728</v>
      </c>
      <c r="F69" s="47"/>
      <c r="G69" s="63" t="s">
        <v>1440</v>
      </c>
      <c r="H69" s="47" t="s">
        <v>1729</v>
      </c>
      <c r="I69" s="121">
        <v>1</v>
      </c>
      <c r="J69" s="121">
        <v>5</v>
      </c>
      <c r="K69" s="47"/>
      <c r="L69" s="63"/>
      <c r="M69" s="47"/>
      <c r="N69" s="47"/>
      <c r="O69" s="74" t="s">
        <v>1730</v>
      </c>
      <c r="P69" s="47" t="s">
        <v>1731</v>
      </c>
      <c r="Q69" s="47" t="str">
        <f>_xlfn.TEXTJOIN(", ",TRUE,wacor_data_dictionary[[#This Row],[Cardiobase Angioplasty]:[Development]])</f>
        <v>Redcap</v>
      </c>
      <c r="R69" s="63"/>
      <c r="S69" s="63"/>
      <c r="T69" s="63"/>
      <c r="U69" s="63"/>
      <c r="V69" s="63"/>
      <c r="W69" s="63"/>
      <c r="X69" s="63"/>
      <c r="Y69" s="63"/>
      <c r="Z69" s="63"/>
      <c r="AA69" s="63" t="s">
        <v>580</v>
      </c>
      <c r="AB69" s="63"/>
      <c r="AC69" s="47"/>
      <c r="AD69" s="63"/>
      <c r="AE69" s="63"/>
      <c r="AF69" s="121"/>
      <c r="AG69" s="63"/>
      <c r="AH69" s="63"/>
      <c r="AI69" s="63"/>
      <c r="AJ69" s="63">
        <v>1</v>
      </c>
      <c r="AK69" s="63">
        <v>0</v>
      </c>
      <c r="AL69" s="63"/>
      <c r="AM69" s="63" t="str">
        <f>IF(COUNTIF('NCR Indicators'!K:K,"*"&amp;wacor_data_dictionary[[#This Row],[field_id]]&amp;"*")&gt;=1,"Yes","No")</f>
        <v>No</v>
      </c>
      <c r="AO69" s="47" t="s">
        <v>576</v>
      </c>
      <c r="AQ69" s="106"/>
      <c r="AR69" s="63"/>
      <c r="AS69" s="63"/>
      <c r="AT69"/>
      <c r="AU69"/>
    </row>
    <row r="70" spans="1:47" ht="99.75" x14ac:dyDescent="0.2">
      <c r="A70" s="63" t="s">
        <v>1396</v>
      </c>
      <c r="B70" s="47" t="s">
        <v>1732</v>
      </c>
      <c r="C70" s="63" t="s">
        <v>1437</v>
      </c>
      <c r="D70" s="47" t="s">
        <v>1733</v>
      </c>
      <c r="E70" s="47" t="s">
        <v>1734</v>
      </c>
      <c r="F70" s="47"/>
      <c r="G70" s="63" t="s">
        <v>1440</v>
      </c>
      <c r="H70" s="47" t="s">
        <v>1735</v>
      </c>
      <c r="I70" s="121">
        <v>1</v>
      </c>
      <c r="J70" s="121">
        <v>3</v>
      </c>
      <c r="K70" s="47"/>
      <c r="L70" s="63"/>
      <c r="M70" s="47"/>
      <c r="N70" s="47"/>
      <c r="O70" s="47" t="s">
        <v>1736</v>
      </c>
      <c r="P70" s="47" t="s">
        <v>1731</v>
      </c>
      <c r="Q70" s="47" t="str">
        <f>_xlfn.TEXTJOIN(", ",TRUE,wacor_data_dictionary[[#This Row],[Cardiobase Angioplasty]:[Development]])</f>
        <v>Redcap</v>
      </c>
      <c r="R70" s="63"/>
      <c r="S70" s="63"/>
      <c r="T70" s="63"/>
      <c r="U70" s="63"/>
      <c r="V70" s="63"/>
      <c r="W70" s="63"/>
      <c r="X70" s="63"/>
      <c r="Y70" s="63"/>
      <c r="Z70" s="63"/>
      <c r="AA70" s="63" t="s">
        <v>580</v>
      </c>
      <c r="AB70" s="63"/>
      <c r="AC70" s="47"/>
      <c r="AD70" s="63"/>
      <c r="AE70" s="63"/>
      <c r="AF70" s="121"/>
      <c r="AG70" s="63"/>
      <c r="AH70" s="63"/>
      <c r="AI70" s="63"/>
      <c r="AJ70" s="63">
        <v>1</v>
      </c>
      <c r="AK70" s="63">
        <v>0</v>
      </c>
      <c r="AL70" s="63"/>
      <c r="AM70" s="63" t="str">
        <f>IF(COUNTIF('NCR Indicators'!K:K,"*"&amp;wacor_data_dictionary[[#This Row],[field_id]]&amp;"*")&gt;=1,"Yes","No")</f>
        <v>No</v>
      </c>
      <c r="AO70" s="47" t="s">
        <v>576</v>
      </c>
      <c r="AQ70" s="106"/>
      <c r="AR70" s="63"/>
      <c r="AS70" s="63"/>
      <c r="AT70"/>
      <c r="AU70"/>
    </row>
    <row r="71" spans="1:47" x14ac:dyDescent="0.2">
      <c r="A71" s="38" t="s">
        <v>357</v>
      </c>
      <c r="B71" s="43" t="s">
        <v>358</v>
      </c>
      <c r="C71" s="47" t="s">
        <v>1437</v>
      </c>
      <c r="E71" s="43" t="s">
        <v>1514</v>
      </c>
      <c r="F71" s="43" t="s">
        <v>1546</v>
      </c>
      <c r="G71" s="38" t="s">
        <v>1514</v>
      </c>
      <c r="H71" s="43" t="s">
        <v>1514</v>
      </c>
      <c r="I71" s="44" t="s">
        <v>1514</v>
      </c>
      <c r="J71" s="44" t="s">
        <v>1514</v>
      </c>
      <c r="K71" s="43"/>
      <c r="L71" s="38"/>
      <c r="M71" s="43" t="s">
        <v>635</v>
      </c>
      <c r="N71" s="43"/>
      <c r="O71" s="38" t="s">
        <v>1445</v>
      </c>
      <c r="Q71" s="43" t="str">
        <f>_xlfn.TEXTJOIN(", ",TRUE,wacor_data_dictionary[[#This Row],[Cardiobase Angioplasty]:[Development]])</f>
        <v/>
      </c>
      <c r="AC71" s="43"/>
      <c r="AJ71" s="63">
        <v>1</v>
      </c>
      <c r="AK71" s="63"/>
      <c r="AL71" s="63"/>
      <c r="AM71" s="63" t="str">
        <f>IF(COUNTIF('NCR Indicators'!K:K,"*"&amp;wacor_data_dictionary[[#This Row],[field_id]]&amp;"*")&gt;=1,"Yes","No")</f>
        <v>No</v>
      </c>
      <c r="AO71" s="140" t="s">
        <v>575</v>
      </c>
      <c r="AQ71" s="106"/>
      <c r="AR71" s="63"/>
      <c r="AS71" s="63"/>
      <c r="AT71"/>
      <c r="AU71"/>
    </row>
    <row r="72" spans="1:47" ht="28.5" x14ac:dyDescent="0.2">
      <c r="A72" s="38" t="s">
        <v>359</v>
      </c>
      <c r="B72" s="43" t="s">
        <v>360</v>
      </c>
      <c r="C72" s="47" t="s">
        <v>1437</v>
      </c>
      <c r="E72" s="43" t="s">
        <v>1514</v>
      </c>
      <c r="F72" s="43" t="s">
        <v>1737</v>
      </c>
      <c r="G72" s="38" t="s">
        <v>1514</v>
      </c>
      <c r="H72" s="43" t="s">
        <v>1514</v>
      </c>
      <c r="I72" s="44" t="s">
        <v>1514</v>
      </c>
      <c r="J72" s="44" t="s">
        <v>1514</v>
      </c>
      <c r="K72" s="43"/>
      <c r="L72" s="38"/>
      <c r="N72" s="43"/>
      <c r="O72" s="38" t="s">
        <v>1445</v>
      </c>
      <c r="Q72" s="43" t="str">
        <f>_xlfn.TEXTJOIN(", ",TRUE,wacor_data_dictionary[[#This Row],[Cardiobase Angioplasty]:[Development]])</f>
        <v>Redcap</v>
      </c>
      <c r="AA72" s="38" t="s">
        <v>580</v>
      </c>
      <c r="AC72" s="43" t="s">
        <v>1446</v>
      </c>
      <c r="AD72" s="58">
        <v>493975</v>
      </c>
      <c r="AF72" s="44">
        <v>1</v>
      </c>
      <c r="AG72" s="40">
        <v>44764</v>
      </c>
      <c r="AJ72" s="63">
        <v>1</v>
      </c>
      <c r="AK72" s="63"/>
      <c r="AL72" s="63"/>
      <c r="AM72" s="63" t="s">
        <v>1437</v>
      </c>
      <c r="AO72" s="63" t="s">
        <v>572</v>
      </c>
      <c r="AQ72" s="106"/>
      <c r="AR72" s="63"/>
      <c r="AS72" s="63"/>
      <c r="AT72"/>
      <c r="AU72"/>
    </row>
    <row r="73" spans="1:47" ht="42.75" x14ac:dyDescent="0.2">
      <c r="A73" s="38" t="s">
        <v>361</v>
      </c>
      <c r="B73" s="43" t="s">
        <v>362</v>
      </c>
      <c r="C73" s="47" t="s">
        <v>1437</v>
      </c>
      <c r="E73" s="47" t="s">
        <v>1738</v>
      </c>
      <c r="F73" s="43" t="s">
        <v>1739</v>
      </c>
      <c r="G73" s="38" t="s">
        <v>684</v>
      </c>
      <c r="H73" s="43" t="s">
        <v>1740</v>
      </c>
      <c r="I73" s="44" t="s">
        <v>1514</v>
      </c>
      <c r="J73" s="44" t="s">
        <v>1514</v>
      </c>
      <c r="K73" s="43"/>
      <c r="L73" s="38"/>
      <c r="M73" s="43" t="s">
        <v>1741</v>
      </c>
      <c r="N73" s="43"/>
      <c r="O73" s="38" t="s">
        <v>1445</v>
      </c>
      <c r="Q73" s="43" t="str">
        <f>_xlfn.TEXTJOIN(", ",TRUE,wacor_data_dictionary[[#This Row],[Cardiobase Angioplasty]:[Development]])</f>
        <v>Cardiobase Angioplasty, Cardiobase RiskScore, Redcap</v>
      </c>
      <c r="R73" s="63" t="s">
        <v>549</v>
      </c>
      <c r="S73" s="63" t="s">
        <v>551</v>
      </c>
      <c r="T73" s="63"/>
      <c r="U73" s="63"/>
      <c r="V73" s="63"/>
      <c r="W73" s="63"/>
      <c r="X73" s="63"/>
      <c r="Y73" s="63"/>
      <c r="Z73" s="63"/>
      <c r="AA73" s="63" t="s">
        <v>580</v>
      </c>
      <c r="AB73" s="63"/>
      <c r="AC73" s="43" t="s">
        <v>1446</v>
      </c>
      <c r="AD73" s="58">
        <v>270361</v>
      </c>
      <c r="AF73" s="44">
        <v>1</v>
      </c>
      <c r="AG73" s="40">
        <v>44764</v>
      </c>
      <c r="AJ73" s="63">
        <v>1</v>
      </c>
      <c r="AK73" s="63"/>
      <c r="AL73" s="63"/>
      <c r="AM73" s="63" t="str">
        <f>IF(COUNTIF('NCR Indicators'!K:K,"*"&amp;wacor_data_dictionary[[#This Row],[field_id]]&amp;"*")&gt;=1,"Yes","No")</f>
        <v>No</v>
      </c>
      <c r="AN73" s="99"/>
      <c r="AO73" s="140" t="s">
        <v>575</v>
      </c>
      <c r="AP73" s="111"/>
      <c r="AQ73" s="106"/>
      <c r="AR73" s="63"/>
      <c r="AS73" s="63"/>
      <c r="AT73"/>
      <c r="AU73"/>
    </row>
    <row r="74" spans="1:47" ht="384.75" x14ac:dyDescent="0.2">
      <c r="A74" s="38" t="s">
        <v>224</v>
      </c>
      <c r="B74" s="43" t="s">
        <v>363</v>
      </c>
      <c r="C74" s="47" t="s">
        <v>1437</v>
      </c>
      <c r="E74" s="43" t="s">
        <v>1742</v>
      </c>
      <c r="F74" s="43" t="s">
        <v>1743</v>
      </c>
      <c r="G74" s="38" t="s">
        <v>1440</v>
      </c>
      <c r="H74" s="43" t="s">
        <v>1744</v>
      </c>
      <c r="I74" s="44" t="s">
        <v>1442</v>
      </c>
      <c r="J74" s="44" t="s">
        <v>666</v>
      </c>
      <c r="K74" s="43"/>
      <c r="M74" s="47" t="s">
        <v>1745</v>
      </c>
      <c r="N74" s="43"/>
      <c r="O74" s="38" t="s">
        <v>1445</v>
      </c>
      <c r="Q74" s="43" t="str">
        <f>_xlfn.TEXTJOIN(", ",TRUE,wacor_data_dictionary[[#This Row],[Cardiobase Angioplasty]:[Development]])</f>
        <v>Redcap</v>
      </c>
      <c r="R74" s="63"/>
      <c r="S74" s="63"/>
      <c r="T74" s="63"/>
      <c r="U74" s="63"/>
      <c r="V74" s="63"/>
      <c r="W74" s="63"/>
      <c r="X74" s="63"/>
      <c r="Y74" s="63"/>
      <c r="Z74" s="63"/>
      <c r="AA74" s="63" t="s">
        <v>580</v>
      </c>
      <c r="AB74" s="63"/>
      <c r="AC74" s="43"/>
      <c r="AF74" s="121">
        <v>3</v>
      </c>
      <c r="AH74" s="38" t="s">
        <v>1746</v>
      </c>
      <c r="AJ74" s="63">
        <v>1</v>
      </c>
      <c r="AK74" s="63"/>
      <c r="AL74" s="63"/>
      <c r="AM74" s="63" t="str">
        <f>IF(COUNTIF('NCR Indicators'!K:K,"*"&amp;wacor_data_dictionary[[#This Row],[field_id]]&amp;"*")&gt;=1,"Yes","No")</f>
        <v>Yes</v>
      </c>
      <c r="AO74" s="63" t="s">
        <v>577</v>
      </c>
      <c r="AP74" s="134"/>
      <c r="AQ74" s="106"/>
      <c r="AR74" s="63"/>
      <c r="AS74" s="63"/>
      <c r="AT74"/>
      <c r="AU74"/>
    </row>
    <row r="75" spans="1:47" ht="256.5" x14ac:dyDescent="0.2">
      <c r="A75" s="38" t="s">
        <v>226</v>
      </c>
      <c r="B75" s="43" t="s">
        <v>364</v>
      </c>
      <c r="C75" s="47" t="s">
        <v>1437</v>
      </c>
      <c r="E75" s="47" t="s">
        <v>1747</v>
      </c>
      <c r="F75" s="43" t="s">
        <v>1748</v>
      </c>
      <c r="G75" s="38" t="s">
        <v>1440</v>
      </c>
      <c r="H75" s="43" t="s">
        <v>1749</v>
      </c>
      <c r="I75" s="44" t="s">
        <v>629</v>
      </c>
      <c r="J75" s="44" t="s">
        <v>660</v>
      </c>
      <c r="K75" s="43"/>
      <c r="M75" s="43" t="s">
        <v>1750</v>
      </c>
      <c r="N75" s="43"/>
      <c r="O75" s="38" t="s">
        <v>1751</v>
      </c>
      <c r="Q75" s="43" t="str">
        <f>_xlfn.TEXTJOIN(", ",TRUE,wacor_data_dictionary[[#This Row],[Cardiobase Angioplasty]:[Development]])</f>
        <v>Redcap</v>
      </c>
      <c r="AA75" s="38" t="s">
        <v>580</v>
      </c>
      <c r="AC75" s="43" t="s">
        <v>1452</v>
      </c>
      <c r="AF75" s="121">
        <v>3</v>
      </c>
      <c r="AH75" s="38" t="s">
        <v>1746</v>
      </c>
      <c r="AJ75" s="63">
        <v>1</v>
      </c>
      <c r="AK75" s="63"/>
      <c r="AL75" s="63"/>
      <c r="AM75" s="63" t="s">
        <v>1449</v>
      </c>
      <c r="AO75" s="63" t="s">
        <v>577</v>
      </c>
      <c r="AP75" s="134"/>
      <c r="AQ75" s="106"/>
      <c r="AR75" s="63"/>
      <c r="AS75" s="63"/>
      <c r="AT75"/>
      <c r="AU75"/>
    </row>
    <row r="76" spans="1:47" ht="327.75" x14ac:dyDescent="0.2">
      <c r="A76" s="38" t="s">
        <v>365</v>
      </c>
      <c r="B76" s="43" t="s">
        <v>366</v>
      </c>
      <c r="C76" s="47" t="s">
        <v>1437</v>
      </c>
      <c r="E76" s="43" t="s">
        <v>1752</v>
      </c>
      <c r="F76" s="43" t="s">
        <v>1753</v>
      </c>
      <c r="G76" s="38" t="s">
        <v>1514</v>
      </c>
      <c r="H76" s="43" t="s">
        <v>1463</v>
      </c>
      <c r="I76" s="44" t="s">
        <v>1442</v>
      </c>
      <c r="J76" s="44" t="s">
        <v>629</v>
      </c>
      <c r="K76" s="43"/>
      <c r="L76" s="38"/>
      <c r="M76" s="47" t="s">
        <v>1754</v>
      </c>
      <c r="N76" s="47"/>
      <c r="O76" s="38" t="s">
        <v>1445</v>
      </c>
      <c r="Q76" s="43" t="str">
        <f>_xlfn.TEXTJOIN(", ",TRUE,wacor_data_dictionary[[#This Row],[Cardiobase Angioplasty]:[Development]])</f>
        <v>HMDC, Redcap</v>
      </c>
      <c r="T76" s="38" t="s">
        <v>554</v>
      </c>
      <c r="AA76" s="38" t="s">
        <v>580</v>
      </c>
      <c r="AC76" s="43"/>
      <c r="AF76" s="44">
        <v>3</v>
      </c>
      <c r="AJ76" s="63">
        <v>1</v>
      </c>
      <c r="AK76" s="63"/>
      <c r="AL76" s="63"/>
      <c r="AM76" s="63" t="s">
        <v>1437</v>
      </c>
      <c r="AO76" s="63" t="s">
        <v>577</v>
      </c>
      <c r="AQ76" s="111"/>
      <c r="AR76" s="63"/>
      <c r="AS76" s="63"/>
      <c r="AT76"/>
      <c r="AU76"/>
    </row>
    <row r="77" spans="1:47" ht="71.25" x14ac:dyDescent="0.2">
      <c r="A77" s="38" t="s">
        <v>367</v>
      </c>
      <c r="B77" s="43" t="s">
        <v>368</v>
      </c>
      <c r="C77" s="47" t="s">
        <v>1437</v>
      </c>
      <c r="E77" s="43" t="s">
        <v>1755</v>
      </c>
      <c r="F77" s="43" t="s">
        <v>1753</v>
      </c>
      <c r="G77" s="38" t="s">
        <v>1514</v>
      </c>
      <c r="H77" s="43" t="s">
        <v>1463</v>
      </c>
      <c r="I77" s="44" t="s">
        <v>1442</v>
      </c>
      <c r="J77" s="44" t="s">
        <v>629</v>
      </c>
      <c r="K77" s="43"/>
      <c r="L77" s="38"/>
      <c r="M77" s="43" t="s">
        <v>1756</v>
      </c>
      <c r="N77" s="43"/>
      <c r="O77" s="38" t="s">
        <v>1445</v>
      </c>
      <c r="Q77" s="43" t="str">
        <f>_xlfn.TEXTJOIN(", ",TRUE,wacor_data_dictionary[[#This Row],[Cardiobase Angioplasty]:[Development]])</f>
        <v>HMDC, Redcap</v>
      </c>
      <c r="T77" s="38" t="s">
        <v>554</v>
      </c>
      <c r="AA77" s="38" t="s">
        <v>580</v>
      </c>
      <c r="AC77" s="43" t="s">
        <v>1474</v>
      </c>
      <c r="AJ77" s="63">
        <v>0</v>
      </c>
      <c r="AK77" s="63"/>
      <c r="AL77" s="63"/>
      <c r="AM77" s="63" t="str">
        <f>IF(COUNTIF('NCR Indicators'!K:K,"*"&amp;wacor_data_dictionary[[#This Row],[field_id]]&amp;"*")&gt;=1,"Yes","No")</f>
        <v>No</v>
      </c>
      <c r="AO77" s="63" t="s">
        <v>577</v>
      </c>
      <c r="AQ77" s="106"/>
      <c r="AR77" s="63"/>
      <c r="AS77" s="63"/>
      <c r="AT77"/>
      <c r="AU77"/>
    </row>
    <row r="78" spans="1:47" ht="142.5" x14ac:dyDescent="0.2">
      <c r="A78" s="38" t="s">
        <v>369</v>
      </c>
      <c r="B78" s="43" t="s">
        <v>370</v>
      </c>
      <c r="C78" s="47" t="s">
        <v>1437</v>
      </c>
      <c r="E78" s="43" t="s">
        <v>1757</v>
      </c>
      <c r="F78" s="43" t="s">
        <v>1758</v>
      </c>
      <c r="G78" s="38" t="s">
        <v>1514</v>
      </c>
      <c r="H78" s="43" t="s">
        <v>1463</v>
      </c>
      <c r="I78" s="44" t="s">
        <v>1442</v>
      </c>
      <c r="J78" s="44" t="s">
        <v>629</v>
      </c>
      <c r="K78" s="43"/>
      <c r="L78" s="38"/>
      <c r="M78" s="47" t="s">
        <v>1759</v>
      </c>
      <c r="N78" s="47"/>
      <c r="O78" s="38" t="s">
        <v>1760</v>
      </c>
      <c r="Q78" s="43" t="str">
        <f>_xlfn.TEXTJOIN(", ",TRUE,wacor_data_dictionary[[#This Row],[Cardiobase Angioplasty]:[Development]])</f>
        <v>HMDC, Redcap</v>
      </c>
      <c r="T78" s="38" t="s">
        <v>554</v>
      </c>
      <c r="AA78" s="38" t="s">
        <v>580</v>
      </c>
      <c r="AC78" s="43"/>
      <c r="AF78" s="44">
        <v>3</v>
      </c>
      <c r="AH78" s="38" t="s">
        <v>1532</v>
      </c>
      <c r="AJ78" s="63">
        <v>1</v>
      </c>
      <c r="AK78" s="63"/>
      <c r="AL78" s="63"/>
      <c r="AM78" s="63" t="s">
        <v>1437</v>
      </c>
      <c r="AO78" s="63" t="s">
        <v>577</v>
      </c>
      <c r="AQ78" s="106"/>
      <c r="AR78" s="63"/>
      <c r="AS78" s="63"/>
      <c r="AT78"/>
      <c r="AU78"/>
    </row>
    <row r="79" spans="1:47" ht="114" x14ac:dyDescent="0.2">
      <c r="A79" s="38" t="s">
        <v>237</v>
      </c>
      <c r="B79" s="43" t="s">
        <v>371</v>
      </c>
      <c r="C79" s="47" t="s">
        <v>1437</v>
      </c>
      <c r="E79" s="43" t="s">
        <v>1761</v>
      </c>
      <c r="F79" s="43" t="s">
        <v>1753</v>
      </c>
      <c r="G79" s="38" t="s">
        <v>1440</v>
      </c>
      <c r="H79" s="43" t="s">
        <v>1463</v>
      </c>
      <c r="I79" s="44" t="s">
        <v>1442</v>
      </c>
      <c r="J79" s="44" t="s">
        <v>629</v>
      </c>
      <c r="K79" s="43"/>
      <c r="L79" s="38"/>
      <c r="M79" s="43" t="s">
        <v>1762</v>
      </c>
      <c r="N79" s="43"/>
      <c r="O79" s="38" t="s">
        <v>1445</v>
      </c>
      <c r="Q79" s="43" t="str">
        <f>_xlfn.TEXTJOIN(", ",TRUE,wacor_data_dictionary[[#This Row],[Cardiobase Angioplasty]:[Development]])</f>
        <v>Cardiobase Angioplasty, HMDC, Redcap</v>
      </c>
      <c r="R79" s="38" t="s">
        <v>549</v>
      </c>
      <c r="T79" s="38" t="s">
        <v>554</v>
      </c>
      <c r="AA79" s="38" t="s">
        <v>580</v>
      </c>
      <c r="AC79" s="43"/>
      <c r="AF79" s="44" t="s">
        <v>292</v>
      </c>
      <c r="AH79" s="38" t="s">
        <v>1532</v>
      </c>
      <c r="AI79" s="63" t="s">
        <v>1763</v>
      </c>
      <c r="AJ79" s="63">
        <v>1</v>
      </c>
      <c r="AK79" s="63"/>
      <c r="AL79" s="63"/>
      <c r="AM79" s="63" t="s">
        <v>1437</v>
      </c>
      <c r="AN79" s="47" t="s">
        <v>1674</v>
      </c>
      <c r="AO79" s="63" t="s">
        <v>577</v>
      </c>
      <c r="AP79" s="134"/>
      <c r="AQ79" s="106"/>
      <c r="AR79" s="63"/>
      <c r="AS79" s="63"/>
      <c r="AT79"/>
      <c r="AU79"/>
    </row>
    <row r="80" spans="1:47" ht="142.5" x14ac:dyDescent="0.2">
      <c r="A80" s="38" t="s">
        <v>240</v>
      </c>
      <c r="B80" s="43" t="s">
        <v>372</v>
      </c>
      <c r="C80" s="47" t="s">
        <v>1437</v>
      </c>
      <c r="E80" s="43" t="s">
        <v>1764</v>
      </c>
      <c r="F80" s="43" t="s">
        <v>1765</v>
      </c>
      <c r="G80" s="38" t="s">
        <v>1440</v>
      </c>
      <c r="H80" s="43" t="s">
        <v>1463</v>
      </c>
      <c r="I80" s="44" t="s">
        <v>1442</v>
      </c>
      <c r="J80" s="44" t="s">
        <v>629</v>
      </c>
      <c r="K80" s="43"/>
      <c r="L80" s="38"/>
      <c r="M80" s="43" t="s">
        <v>1766</v>
      </c>
      <c r="N80" s="43"/>
      <c r="O80" s="38" t="s">
        <v>1767</v>
      </c>
      <c r="Q80" s="43" t="str">
        <f>_xlfn.TEXTJOIN(", ",TRUE,wacor_data_dictionary[[#This Row],[Cardiobase Angioplasty]:[Development]])</f>
        <v>Cardiobase Angioplasty, HMDC, Redcap</v>
      </c>
      <c r="R80" s="38" t="s">
        <v>549</v>
      </c>
      <c r="T80" s="38" t="s">
        <v>554</v>
      </c>
      <c r="AA80" s="38" t="s">
        <v>580</v>
      </c>
      <c r="AC80" s="43"/>
      <c r="AF80" s="44" t="s">
        <v>282</v>
      </c>
      <c r="AH80" s="38" t="s">
        <v>1532</v>
      </c>
      <c r="AI80" s="63" t="s">
        <v>1768</v>
      </c>
      <c r="AJ80" s="63">
        <v>1</v>
      </c>
      <c r="AK80" s="63"/>
      <c r="AL80" s="63"/>
      <c r="AM80" s="63" t="s">
        <v>1437</v>
      </c>
      <c r="AN80" s="47" t="s">
        <v>1769</v>
      </c>
      <c r="AO80" s="63" t="s">
        <v>577</v>
      </c>
      <c r="AP80" s="106" t="s">
        <v>1437</v>
      </c>
      <c r="AQ80" s="106"/>
      <c r="AR80" s="63"/>
      <c r="AS80" s="63"/>
      <c r="AT80"/>
      <c r="AU80"/>
    </row>
    <row r="81" spans="1:47" ht="342" x14ac:dyDescent="0.2">
      <c r="A81" s="38" t="s">
        <v>373</v>
      </c>
      <c r="B81" s="43" t="s">
        <v>374</v>
      </c>
      <c r="C81" s="47" t="s">
        <v>1437</v>
      </c>
      <c r="E81" s="47" t="s">
        <v>1770</v>
      </c>
      <c r="F81" s="43" t="s">
        <v>1753</v>
      </c>
      <c r="G81" s="38" t="s">
        <v>1514</v>
      </c>
      <c r="H81" s="43" t="s">
        <v>1771</v>
      </c>
      <c r="I81" s="44" t="s">
        <v>1442</v>
      </c>
      <c r="J81" s="44" t="s">
        <v>642</v>
      </c>
      <c r="K81" s="43"/>
      <c r="M81" s="43" t="s">
        <v>1772</v>
      </c>
      <c r="N81" s="43"/>
      <c r="O81" s="38" t="s">
        <v>1445</v>
      </c>
      <c r="Q81" s="43" t="str">
        <f>_xlfn.TEXTJOIN(", ",TRUE,wacor_data_dictionary[[#This Row],[Cardiobase Angioplasty]:[Development]])</f>
        <v>Cardiobase Angioplasty, HMDC, Redcap</v>
      </c>
      <c r="R81" s="38" t="s">
        <v>549</v>
      </c>
      <c r="T81" s="38" t="s">
        <v>554</v>
      </c>
      <c r="AA81" s="38" t="s">
        <v>580</v>
      </c>
      <c r="AC81" s="43"/>
      <c r="AF81" s="121" t="s">
        <v>274</v>
      </c>
      <c r="AH81" s="38" t="s">
        <v>1585</v>
      </c>
      <c r="AJ81" s="63">
        <v>0</v>
      </c>
      <c r="AK81" s="63"/>
      <c r="AL81" s="63"/>
      <c r="AM81" s="63" t="s">
        <v>1449</v>
      </c>
      <c r="AO81" s="63" t="s">
        <v>577</v>
      </c>
      <c r="AQ81" s="106"/>
      <c r="AR81" s="63"/>
      <c r="AS81" s="63"/>
      <c r="AT81"/>
      <c r="AU81"/>
    </row>
    <row r="82" spans="1:47" ht="313.5" x14ac:dyDescent="0.2">
      <c r="A82" s="38" t="s">
        <v>170</v>
      </c>
      <c r="B82" s="43" t="s">
        <v>228</v>
      </c>
      <c r="C82" s="47" t="s">
        <v>1437</v>
      </c>
      <c r="E82" s="43" t="s">
        <v>1773</v>
      </c>
      <c r="F82" s="43" t="s">
        <v>1753</v>
      </c>
      <c r="G82" s="38" t="s">
        <v>1440</v>
      </c>
      <c r="H82" s="43" t="s">
        <v>1463</v>
      </c>
      <c r="I82" s="44" t="s">
        <v>1442</v>
      </c>
      <c r="J82" s="44" t="s">
        <v>629</v>
      </c>
      <c r="K82" s="43"/>
      <c r="L82" s="38"/>
      <c r="M82" s="43" t="s">
        <v>1774</v>
      </c>
      <c r="N82" s="43"/>
      <c r="O82" s="38" t="s">
        <v>1445</v>
      </c>
      <c r="Q82" s="43" t="str">
        <f>_xlfn.TEXTJOIN(", ",TRUE,wacor_data_dictionary[[#This Row],[Cardiobase Angioplasty]:[Development]])</f>
        <v>HMDC, Redcap</v>
      </c>
      <c r="T82" s="38" t="s">
        <v>554</v>
      </c>
      <c r="AA82" s="38" t="s">
        <v>580</v>
      </c>
      <c r="AC82" s="43" t="s">
        <v>1446</v>
      </c>
      <c r="AF82" s="121" t="s">
        <v>272</v>
      </c>
      <c r="AH82" s="38" t="s">
        <v>1532</v>
      </c>
      <c r="AJ82" s="63">
        <v>1</v>
      </c>
      <c r="AK82" s="63"/>
      <c r="AL82" s="63"/>
      <c r="AM82" s="63" t="str">
        <f>IF(COUNTIF('NCR Indicators'!K:K,"*"&amp;wacor_data_dictionary[[#This Row],[field_id]]&amp;"*")&gt;=1,"Yes","No")</f>
        <v>Yes</v>
      </c>
      <c r="AN82" s="47" t="s">
        <v>1775</v>
      </c>
      <c r="AO82" s="63" t="s">
        <v>577</v>
      </c>
      <c r="AP82" s="134"/>
      <c r="AQ82" s="106"/>
      <c r="AR82" s="63"/>
      <c r="AS82" s="63"/>
      <c r="AT82"/>
      <c r="AU82"/>
    </row>
    <row r="83" spans="1:47" ht="199.5" x14ac:dyDescent="0.2">
      <c r="A83" s="38" t="s">
        <v>375</v>
      </c>
      <c r="B83" s="43" t="s">
        <v>376</v>
      </c>
      <c r="C83" s="47" t="s">
        <v>1437</v>
      </c>
      <c r="E83" s="43" t="s">
        <v>1776</v>
      </c>
      <c r="F83" s="43" t="s">
        <v>1777</v>
      </c>
      <c r="G83" s="38" t="s">
        <v>1440</v>
      </c>
      <c r="H83" s="43" t="s">
        <v>1778</v>
      </c>
      <c r="I83" s="44" t="s">
        <v>1530</v>
      </c>
      <c r="J83" s="44" t="s">
        <v>637</v>
      </c>
      <c r="K83" s="43"/>
      <c r="L83" s="43" t="s">
        <v>1779</v>
      </c>
      <c r="M83" s="47" t="s">
        <v>1780</v>
      </c>
      <c r="N83" s="47"/>
      <c r="O83" s="38" t="s">
        <v>1781</v>
      </c>
      <c r="Q83" s="43" t="str">
        <f>_xlfn.TEXTJOIN(", ",TRUE,wacor_data_dictionary[[#This Row],[Cardiobase Angioplasty]:[Development]])</f>
        <v>HMDC, Redcap</v>
      </c>
      <c r="T83" s="38" t="s">
        <v>554</v>
      </c>
      <c r="AA83" s="38" t="s">
        <v>580</v>
      </c>
      <c r="AC83" s="43" t="s">
        <v>1484</v>
      </c>
      <c r="AF83" s="121" t="s">
        <v>272</v>
      </c>
      <c r="AH83" s="38" t="s">
        <v>1532</v>
      </c>
      <c r="AJ83" s="63">
        <v>1</v>
      </c>
      <c r="AK83" s="63"/>
      <c r="AL83" s="63"/>
      <c r="AM83" s="63" t="str">
        <f>IF(COUNTIF('NCR Indicators'!K:K,"*"&amp;wacor_data_dictionary[[#This Row],[field_id]]&amp;"*")&gt;=1,"Yes","No")</f>
        <v>No</v>
      </c>
      <c r="AO83" s="63" t="s">
        <v>577</v>
      </c>
      <c r="AQ83" s="106"/>
      <c r="AR83" s="63"/>
      <c r="AS83" s="63"/>
      <c r="AT83"/>
      <c r="AU83"/>
    </row>
    <row r="84" spans="1:47" ht="269.25" customHeight="1" x14ac:dyDescent="0.2">
      <c r="A84" s="38" t="s">
        <v>173</v>
      </c>
      <c r="B84" s="43" t="s">
        <v>377</v>
      </c>
      <c r="C84" s="47" t="s">
        <v>1437</v>
      </c>
      <c r="E84" s="43" t="s">
        <v>1782</v>
      </c>
      <c r="F84" s="43" t="s">
        <v>1783</v>
      </c>
      <c r="G84" s="38" t="s">
        <v>1440</v>
      </c>
      <c r="H84" s="43" t="s">
        <v>1441</v>
      </c>
      <c r="I84" s="44" t="s">
        <v>1442</v>
      </c>
      <c r="J84" s="44" t="s">
        <v>629</v>
      </c>
      <c r="K84" s="43"/>
      <c r="L84" s="38"/>
      <c r="M84" s="43" t="s">
        <v>1784</v>
      </c>
      <c r="N84" s="43"/>
      <c r="O84" s="38" t="s">
        <v>1601</v>
      </c>
      <c r="Q84" s="43" t="str">
        <f>_xlfn.TEXTJOIN(", ",TRUE,wacor_data_dictionary[[#This Row],[Cardiobase Angioplasty]:[Development]])</f>
        <v>HMDC, Redcap</v>
      </c>
      <c r="T84" s="38" t="s">
        <v>554</v>
      </c>
      <c r="AA84" s="38" t="s">
        <v>580</v>
      </c>
      <c r="AC84" s="43" t="s">
        <v>1446</v>
      </c>
      <c r="AF84" s="44" t="s">
        <v>282</v>
      </c>
      <c r="AH84" s="38" t="s">
        <v>1532</v>
      </c>
      <c r="AI84" s="63" t="s">
        <v>1785</v>
      </c>
      <c r="AJ84" s="63">
        <v>1</v>
      </c>
      <c r="AK84" s="63"/>
      <c r="AL84" s="63"/>
      <c r="AM84" s="63" t="s">
        <v>1449</v>
      </c>
      <c r="AN84" s="47" t="s">
        <v>1786</v>
      </c>
      <c r="AO84" s="47" t="s">
        <v>576</v>
      </c>
      <c r="AP84" s="134"/>
      <c r="AQ84" s="106"/>
      <c r="AR84" s="63"/>
      <c r="AS84" s="63"/>
      <c r="AT84"/>
      <c r="AU84"/>
    </row>
    <row r="85" spans="1:47" ht="156.75" x14ac:dyDescent="0.2">
      <c r="A85" s="38" t="s">
        <v>231</v>
      </c>
      <c r="B85" s="43" t="s">
        <v>378</v>
      </c>
      <c r="C85" s="47" t="s">
        <v>1437</v>
      </c>
      <c r="E85" s="43" t="s">
        <v>1787</v>
      </c>
      <c r="F85" s="43" t="s">
        <v>1788</v>
      </c>
      <c r="G85" s="38" t="s">
        <v>1440</v>
      </c>
      <c r="H85" s="43" t="s">
        <v>1463</v>
      </c>
      <c r="I85" s="44" t="s">
        <v>1442</v>
      </c>
      <c r="J85" s="44" t="s">
        <v>629</v>
      </c>
      <c r="K85" s="43"/>
      <c r="L85" s="38"/>
      <c r="M85" s="43" t="s">
        <v>1789</v>
      </c>
      <c r="N85" s="43" t="s">
        <v>1437</v>
      </c>
      <c r="O85" s="38" t="s">
        <v>1790</v>
      </c>
      <c r="Q85" s="43" t="str">
        <f>_xlfn.TEXTJOIN(", ",TRUE,wacor_data_dictionary[[#This Row],[Cardiobase Angioplasty]:[Development]])</f>
        <v>Redcap</v>
      </c>
      <c r="AA85" s="38" t="s">
        <v>580</v>
      </c>
      <c r="AC85" s="43"/>
      <c r="AF85" s="121">
        <v>3</v>
      </c>
      <c r="AH85" s="38" t="s">
        <v>1532</v>
      </c>
      <c r="AJ85" s="63">
        <v>1</v>
      </c>
      <c r="AK85" s="63"/>
      <c r="AL85" s="63"/>
      <c r="AM85" s="63" t="s">
        <v>1449</v>
      </c>
      <c r="AO85" s="63" t="s">
        <v>577</v>
      </c>
      <c r="AP85" s="134"/>
      <c r="AQ85" s="106"/>
      <c r="AR85" s="63"/>
      <c r="AS85" s="63"/>
      <c r="AT85"/>
      <c r="AU85"/>
    </row>
    <row r="86" spans="1:47" ht="132.75" customHeight="1" x14ac:dyDescent="0.2">
      <c r="A86" s="38" t="s">
        <v>379</v>
      </c>
      <c r="B86" s="43" t="s">
        <v>380</v>
      </c>
      <c r="C86" s="47" t="s">
        <v>1437</v>
      </c>
      <c r="E86" s="43" t="s">
        <v>1791</v>
      </c>
      <c r="F86" s="43" t="s">
        <v>1792</v>
      </c>
      <c r="G86" s="38" t="s">
        <v>1514</v>
      </c>
      <c r="H86" s="43" t="s">
        <v>1463</v>
      </c>
      <c r="I86" s="44" t="s">
        <v>1442</v>
      </c>
      <c r="J86" s="44" t="s">
        <v>629</v>
      </c>
      <c r="K86" s="43"/>
      <c r="L86" s="38"/>
      <c r="M86" s="43" t="s">
        <v>1793</v>
      </c>
      <c r="N86" s="43"/>
      <c r="O86" s="38" t="s">
        <v>1760</v>
      </c>
      <c r="Q86" s="43" t="str">
        <f>_xlfn.TEXTJOIN(", ",TRUE,wacor_data_dictionary[[#This Row],[Cardiobase Angioplasty]:[Development]])</f>
        <v>Redcap</v>
      </c>
      <c r="AA86" s="38" t="s">
        <v>580</v>
      </c>
      <c r="AC86" s="43"/>
      <c r="AJ86" s="63">
        <v>1</v>
      </c>
      <c r="AK86" s="63"/>
      <c r="AL86" s="63"/>
      <c r="AM86" s="63" t="s">
        <v>1437</v>
      </c>
      <c r="AO86" s="63" t="s">
        <v>577</v>
      </c>
      <c r="AQ86" s="106"/>
      <c r="AR86" s="63"/>
      <c r="AS86" s="63"/>
      <c r="AT86"/>
      <c r="AU86"/>
    </row>
    <row r="87" spans="1:47" ht="128.25" x14ac:dyDescent="0.2">
      <c r="A87" s="38" t="s">
        <v>234</v>
      </c>
      <c r="B87" s="43" t="s">
        <v>381</v>
      </c>
      <c r="C87" s="47" t="s">
        <v>1437</v>
      </c>
      <c r="E87" s="43" t="s">
        <v>1794</v>
      </c>
      <c r="F87" s="43" t="s">
        <v>1795</v>
      </c>
      <c r="G87" s="38" t="s">
        <v>1440</v>
      </c>
      <c r="H87" s="43" t="s">
        <v>1463</v>
      </c>
      <c r="I87" s="44" t="s">
        <v>1442</v>
      </c>
      <c r="J87" s="44" t="s">
        <v>629</v>
      </c>
      <c r="K87" s="43"/>
      <c r="L87" s="38"/>
      <c r="M87" s="43" t="s">
        <v>1796</v>
      </c>
      <c r="N87" s="43" t="s">
        <v>1437</v>
      </c>
      <c r="O87" s="38" t="s">
        <v>1767</v>
      </c>
      <c r="Q87" s="43" t="str">
        <f>_xlfn.TEXTJOIN(", ",TRUE,wacor_data_dictionary[[#This Row],[Cardiobase Angioplasty]:[Development]])</f>
        <v>Redcap</v>
      </c>
      <c r="AA87" s="38" t="s">
        <v>580</v>
      </c>
      <c r="AC87" s="43"/>
      <c r="AJ87" s="63">
        <v>1</v>
      </c>
      <c r="AK87" s="63"/>
      <c r="AL87" s="63"/>
      <c r="AM87" s="63" t="s">
        <v>1437</v>
      </c>
      <c r="AO87" s="63" t="s">
        <v>577</v>
      </c>
      <c r="AP87" s="134"/>
      <c r="AQ87" s="106"/>
      <c r="AR87" s="63"/>
      <c r="AS87" s="63"/>
      <c r="AT87"/>
      <c r="AU87"/>
    </row>
    <row r="88" spans="1:47" ht="201" customHeight="1" x14ac:dyDescent="0.2">
      <c r="A88" s="38" t="s">
        <v>382</v>
      </c>
      <c r="B88" s="43" t="s">
        <v>383</v>
      </c>
      <c r="C88" s="47" t="s">
        <v>1437</v>
      </c>
      <c r="E88" s="43" t="s">
        <v>1514</v>
      </c>
      <c r="F88" s="43" t="s">
        <v>1797</v>
      </c>
      <c r="G88" s="38" t="s">
        <v>1514</v>
      </c>
      <c r="H88" s="43" t="s">
        <v>1798</v>
      </c>
      <c r="I88" s="44" t="s">
        <v>1530</v>
      </c>
      <c r="J88" s="44" t="s">
        <v>642</v>
      </c>
      <c r="K88" s="43"/>
      <c r="L88" s="38"/>
      <c r="M88" s="43" t="s">
        <v>1799</v>
      </c>
      <c r="N88" s="43"/>
      <c r="O88" s="38" t="s">
        <v>1445</v>
      </c>
      <c r="Q88" s="43" t="str">
        <f>_xlfn.TEXTJOIN(", ",TRUE,wacor_data_dictionary[[#This Row],[Cardiobase Angioplasty]:[Development]])</f>
        <v>HMDC, Redcap</v>
      </c>
      <c r="T88" s="38" t="s">
        <v>554</v>
      </c>
      <c r="AA88" s="38" t="s">
        <v>580</v>
      </c>
      <c r="AC88" s="43" t="s">
        <v>1446</v>
      </c>
      <c r="AD88" s="58">
        <v>602543</v>
      </c>
      <c r="AF88" s="44" t="s">
        <v>282</v>
      </c>
      <c r="AH88" s="38" t="s">
        <v>1585</v>
      </c>
      <c r="AJ88" s="63">
        <v>1</v>
      </c>
      <c r="AK88" s="63"/>
      <c r="AL88" s="63"/>
      <c r="AM88" s="63" t="str">
        <f>IF(COUNTIF('NCR Indicators'!K:K,"*"&amp;wacor_data_dictionary[[#This Row],[field_id]]&amp;"*")&gt;=1,"Yes","No")</f>
        <v>No</v>
      </c>
      <c r="AO88" s="106" t="s">
        <v>574</v>
      </c>
      <c r="AQ88" s="106"/>
      <c r="AR88" s="63"/>
      <c r="AS88" s="63"/>
      <c r="AT88"/>
      <c r="AU88"/>
    </row>
    <row r="89" spans="1:47" ht="85.5" x14ac:dyDescent="0.2">
      <c r="A89" s="38" t="s">
        <v>384</v>
      </c>
      <c r="B89" s="43" t="s">
        <v>385</v>
      </c>
      <c r="C89" s="47" t="s">
        <v>1437</v>
      </c>
      <c r="E89" s="43" t="s">
        <v>1582</v>
      </c>
      <c r="F89" s="43" t="s">
        <v>1800</v>
      </c>
      <c r="G89" s="38" t="s">
        <v>1440</v>
      </c>
      <c r="H89" s="43" t="s">
        <v>1441</v>
      </c>
      <c r="I89" s="44" t="s">
        <v>1442</v>
      </c>
      <c r="J89" s="44" t="s">
        <v>629</v>
      </c>
      <c r="K89" s="43"/>
      <c r="L89" s="38"/>
      <c r="M89" s="43" t="s">
        <v>1801</v>
      </c>
      <c r="N89" s="43"/>
      <c r="O89" s="38" t="s">
        <v>559</v>
      </c>
      <c r="Q89" s="43" t="str">
        <f>_xlfn.TEXTJOIN(", ",TRUE,wacor_data_dictionary[[#This Row],[Cardiobase Angioplasty]:[Development]])</f>
        <v>Derived</v>
      </c>
      <c r="R89" s="63"/>
      <c r="S89" s="63"/>
      <c r="T89" s="63"/>
      <c r="U89" s="63"/>
      <c r="V89" s="63"/>
      <c r="W89" s="63"/>
      <c r="X89" s="63" t="s">
        <v>559</v>
      </c>
      <c r="Y89" s="63"/>
      <c r="Z89" s="63"/>
      <c r="AA89" s="63"/>
      <c r="AB89" s="63"/>
      <c r="AC89" s="43"/>
      <c r="AF89" s="44">
        <v>3</v>
      </c>
      <c r="AH89" s="38" t="s">
        <v>1532</v>
      </c>
      <c r="AJ89" s="63">
        <v>1</v>
      </c>
      <c r="AK89" s="63"/>
      <c r="AL89" s="63"/>
      <c r="AM89" s="63" t="str">
        <f>IF(COUNTIF('NCR Indicators'!K:K,"*"&amp;wacor_data_dictionary[[#This Row],[field_id]]&amp;"*")&gt;=1,"Yes","No")</f>
        <v>No</v>
      </c>
      <c r="AO89" s="47" t="s">
        <v>576</v>
      </c>
      <c r="AQ89" s="106"/>
      <c r="AR89" s="63"/>
      <c r="AS89" s="63"/>
      <c r="AT89"/>
      <c r="AU89"/>
    </row>
    <row r="90" spans="1:47" ht="85.5" x14ac:dyDescent="0.2">
      <c r="A90" s="38" t="s">
        <v>388</v>
      </c>
      <c r="B90" s="43" t="s">
        <v>389</v>
      </c>
      <c r="C90" s="47" t="s">
        <v>1437</v>
      </c>
      <c r="E90" s="43" t="s">
        <v>1514</v>
      </c>
      <c r="F90" s="47" t="s">
        <v>1802</v>
      </c>
      <c r="G90" s="38" t="s">
        <v>684</v>
      </c>
      <c r="H90" s="43" t="s">
        <v>1803</v>
      </c>
      <c r="I90" s="44" t="s">
        <v>1514</v>
      </c>
      <c r="J90" s="44" t="s">
        <v>1514</v>
      </c>
      <c r="K90" s="43"/>
      <c r="L90" s="38"/>
      <c r="M90" s="47" t="s">
        <v>1804</v>
      </c>
      <c r="N90" s="47"/>
      <c r="O90" s="38" t="s">
        <v>559</v>
      </c>
      <c r="Q90" s="43" t="str">
        <f>_xlfn.TEXTJOIN(", ",TRUE,wacor_data_dictionary[[#This Row],[Cardiobase Angioplasty]:[Development]])</f>
        <v>HMDC, Derived</v>
      </c>
      <c r="T90" s="38" t="s">
        <v>554</v>
      </c>
      <c r="X90" s="38" t="s">
        <v>559</v>
      </c>
      <c r="AC90" s="43" t="s">
        <v>1446</v>
      </c>
      <c r="AF90" s="44" t="s">
        <v>282</v>
      </c>
      <c r="AH90" s="38" t="s">
        <v>1532</v>
      </c>
      <c r="AI90" s="63" t="s">
        <v>1805</v>
      </c>
      <c r="AJ90" s="63">
        <v>1</v>
      </c>
      <c r="AK90" s="63">
        <v>1</v>
      </c>
      <c r="AL90" s="63"/>
      <c r="AM90" s="63" t="str">
        <f>IF(COUNTIF('NCR Indicators'!K:K,"*"&amp;wacor_data_dictionary[[#This Row],[field_id]]&amp;"*")&gt;=1,"Yes","No")</f>
        <v>No</v>
      </c>
      <c r="AN90" s="47" t="s">
        <v>1806</v>
      </c>
      <c r="AO90" s="47" t="s">
        <v>578</v>
      </c>
      <c r="AQ90" s="106"/>
      <c r="AR90" s="63"/>
      <c r="AS90" s="63"/>
      <c r="AT90"/>
      <c r="AU90"/>
    </row>
    <row r="91" spans="1:47" ht="85.5" x14ac:dyDescent="0.2">
      <c r="A91" s="38" t="s">
        <v>390</v>
      </c>
      <c r="B91" s="43" t="s">
        <v>391</v>
      </c>
      <c r="C91" s="47" t="s">
        <v>1437</v>
      </c>
      <c r="E91" s="43" t="s">
        <v>1807</v>
      </c>
      <c r="F91" s="43" t="s">
        <v>1808</v>
      </c>
      <c r="G91" s="38" t="s">
        <v>1440</v>
      </c>
      <c r="H91" s="43" t="s">
        <v>1441</v>
      </c>
      <c r="I91" s="44" t="s">
        <v>1442</v>
      </c>
      <c r="J91" s="44" t="s">
        <v>629</v>
      </c>
      <c r="K91" s="43"/>
      <c r="L91" s="38"/>
      <c r="M91" s="43" t="s">
        <v>1664</v>
      </c>
      <c r="N91" s="43"/>
      <c r="O91" s="38" t="s">
        <v>1445</v>
      </c>
      <c r="Q91" s="43" t="str">
        <f>_xlfn.TEXTJOIN(", ",TRUE,wacor_data_dictionary[[#This Row],[Cardiobase Angioplasty]:[Development]])</f>
        <v>Cardiobase Angioplasty, Redcap</v>
      </c>
      <c r="R91" s="63" t="s">
        <v>549</v>
      </c>
      <c r="S91" s="63"/>
      <c r="T91" s="63"/>
      <c r="U91" s="63"/>
      <c r="V91" s="63"/>
      <c r="W91" s="63"/>
      <c r="X91" s="63"/>
      <c r="Y91" s="63"/>
      <c r="Z91" s="63"/>
      <c r="AA91" s="63" t="s">
        <v>580</v>
      </c>
      <c r="AB91" s="63"/>
      <c r="AC91" s="43"/>
      <c r="AJ91" s="63">
        <v>1</v>
      </c>
      <c r="AK91" s="63"/>
      <c r="AL91" s="63"/>
      <c r="AM91" s="63" t="str">
        <f>IF(COUNTIF('NCR Indicators'!K:K,"*"&amp;wacor_data_dictionary[[#This Row],[field_id]]&amp;"*")&gt;=1,"Yes","No")</f>
        <v>No</v>
      </c>
      <c r="AN91" s="47" t="s">
        <v>1809</v>
      </c>
      <c r="AO91" s="47" t="s">
        <v>576</v>
      </c>
      <c r="AQ91" s="106"/>
      <c r="AR91" s="63"/>
      <c r="AS91" s="63"/>
      <c r="AT91"/>
      <c r="AU91"/>
    </row>
    <row r="92" spans="1:47" ht="109.5" customHeight="1" x14ac:dyDescent="0.2">
      <c r="A92" s="38" t="s">
        <v>392</v>
      </c>
      <c r="B92" s="43" t="s">
        <v>393</v>
      </c>
      <c r="C92" s="47" t="s">
        <v>1437</v>
      </c>
      <c r="E92" s="43" t="s">
        <v>1810</v>
      </c>
      <c r="F92" s="43" t="s">
        <v>1811</v>
      </c>
      <c r="G92" s="38" t="s">
        <v>1440</v>
      </c>
      <c r="H92" s="43" t="s">
        <v>1441</v>
      </c>
      <c r="I92" s="44" t="s">
        <v>1442</v>
      </c>
      <c r="J92" s="44" t="s">
        <v>629</v>
      </c>
      <c r="K92" s="43"/>
      <c r="L92" s="38"/>
      <c r="M92" s="43" t="s">
        <v>1812</v>
      </c>
      <c r="N92" s="43"/>
      <c r="O92" s="38" t="s">
        <v>1445</v>
      </c>
      <c r="Q92" s="43" t="str">
        <f>_xlfn.TEXTJOIN(", ",TRUE,wacor_data_dictionary[[#This Row],[Cardiobase Angioplasty]:[Development]])</f>
        <v>Cardiobase Angioplasty, Redcap</v>
      </c>
      <c r="R92" s="63" t="s">
        <v>549</v>
      </c>
      <c r="S92" s="63"/>
      <c r="T92" s="63"/>
      <c r="U92" s="63"/>
      <c r="V92" s="63"/>
      <c r="W92" s="63"/>
      <c r="X92" s="63"/>
      <c r="Y92" s="63"/>
      <c r="Z92" s="63"/>
      <c r="AA92" s="63" t="s">
        <v>580</v>
      </c>
      <c r="AB92" s="63"/>
      <c r="AC92" s="43"/>
      <c r="AJ92" s="63">
        <v>1</v>
      </c>
      <c r="AK92" s="63"/>
      <c r="AL92" s="63"/>
      <c r="AM92" s="63" t="str">
        <f>IF(COUNTIF('NCR Indicators'!K:K,"*"&amp;wacor_data_dictionary[[#This Row],[field_id]]&amp;"*")&gt;=1,"Yes","No")</f>
        <v>No</v>
      </c>
      <c r="AN92" s="47" t="s">
        <v>1813</v>
      </c>
      <c r="AO92" s="47" t="s">
        <v>576</v>
      </c>
      <c r="AQ92" s="106"/>
      <c r="AR92" s="63"/>
      <c r="AS92" s="63"/>
      <c r="AT92"/>
      <c r="AU92"/>
    </row>
    <row r="93" spans="1:47" ht="242.25" x14ac:dyDescent="0.2">
      <c r="A93" s="38" t="s">
        <v>394</v>
      </c>
      <c r="B93" s="43" t="s">
        <v>395</v>
      </c>
      <c r="C93" s="47" t="s">
        <v>1437</v>
      </c>
      <c r="E93" s="43" t="s">
        <v>1814</v>
      </c>
      <c r="F93" s="43" t="s">
        <v>1815</v>
      </c>
      <c r="G93" s="38" t="s">
        <v>1440</v>
      </c>
      <c r="H93" s="43" t="s">
        <v>1816</v>
      </c>
      <c r="I93" s="44" t="s">
        <v>629</v>
      </c>
      <c r="J93" s="44" t="s">
        <v>674</v>
      </c>
      <c r="K93" s="43"/>
      <c r="L93" s="38"/>
      <c r="M93" s="43" t="s">
        <v>1817</v>
      </c>
      <c r="N93" s="43"/>
      <c r="O93" s="38" t="s">
        <v>1445</v>
      </c>
      <c r="Q93" s="43" t="str">
        <f>_xlfn.TEXTJOIN(", ",TRUE,wacor_data_dictionary[[#This Row],[Cardiobase Angioplasty]:[Development]])</f>
        <v>Cardiobase Angioplasty, Redcap</v>
      </c>
      <c r="R93" s="63" t="s">
        <v>549</v>
      </c>
      <c r="S93" s="63"/>
      <c r="T93" s="63"/>
      <c r="U93" s="63"/>
      <c r="V93" s="63"/>
      <c r="W93" s="63"/>
      <c r="X93" s="63"/>
      <c r="Y93" s="63"/>
      <c r="Z93" s="63"/>
      <c r="AA93" s="63" t="s">
        <v>580</v>
      </c>
      <c r="AB93" s="63"/>
      <c r="AC93" s="43" t="s">
        <v>1446</v>
      </c>
      <c r="AF93" s="44">
        <v>1</v>
      </c>
      <c r="AG93" s="40">
        <v>44764</v>
      </c>
      <c r="AJ93" s="63">
        <v>1</v>
      </c>
      <c r="AK93" s="63"/>
      <c r="AL93" s="63"/>
      <c r="AM93" s="63" t="str">
        <f>IF(COUNTIF('NCR Indicators'!K:K,"*"&amp;wacor_data_dictionary[[#This Row],[field_id]]&amp;"*")&gt;=1,"Yes","No")</f>
        <v>No</v>
      </c>
      <c r="AO93" s="47" t="s">
        <v>576</v>
      </c>
      <c r="AQ93" s="106"/>
      <c r="AR93" s="63"/>
      <c r="AS93" s="63"/>
      <c r="AT93"/>
      <c r="AU93"/>
    </row>
    <row r="94" spans="1:47" ht="213.75" x14ac:dyDescent="0.2">
      <c r="A94" s="38" t="s">
        <v>396</v>
      </c>
      <c r="B94" s="43" t="s">
        <v>397</v>
      </c>
      <c r="C94" s="47" t="s">
        <v>1437</v>
      </c>
      <c r="E94" s="43" t="s">
        <v>1818</v>
      </c>
      <c r="F94" s="43" t="s">
        <v>1819</v>
      </c>
      <c r="G94" s="38" t="s">
        <v>1440</v>
      </c>
      <c r="H94" s="43" t="s">
        <v>1441</v>
      </c>
      <c r="I94" s="44" t="s">
        <v>1442</v>
      </c>
      <c r="J94" s="44" t="s">
        <v>629</v>
      </c>
      <c r="K94" s="43"/>
      <c r="L94" s="38"/>
      <c r="M94" s="43" t="s">
        <v>1820</v>
      </c>
      <c r="N94" s="43"/>
      <c r="O94" s="38" t="s">
        <v>1445</v>
      </c>
      <c r="Q94" s="43" t="str">
        <f>_xlfn.TEXTJOIN(", ",TRUE,wacor_data_dictionary[[#This Row],[Cardiobase Angioplasty]:[Development]])</f>
        <v>Cardiobase Angioplasty, Redcap</v>
      </c>
      <c r="R94" s="63" t="s">
        <v>549</v>
      </c>
      <c r="S94" s="63"/>
      <c r="T94" s="63"/>
      <c r="U94" s="63"/>
      <c r="V94" s="63"/>
      <c r="W94" s="63"/>
      <c r="X94" s="63"/>
      <c r="Y94" s="63"/>
      <c r="Z94" s="63"/>
      <c r="AA94" s="63" t="s">
        <v>580</v>
      </c>
      <c r="AB94" s="63"/>
      <c r="AC94" s="43" t="s">
        <v>1821</v>
      </c>
      <c r="AJ94" s="63">
        <v>1</v>
      </c>
      <c r="AK94" s="63"/>
      <c r="AL94" s="63"/>
      <c r="AM94" s="63" t="str">
        <f>IF(COUNTIF('NCR Indicators'!K:K,"*"&amp;wacor_data_dictionary[[#This Row],[field_id]]&amp;"*")&gt;=1,"Yes","No")</f>
        <v>No</v>
      </c>
      <c r="AN94" s="47" t="s">
        <v>1822</v>
      </c>
      <c r="AO94" s="47" t="s">
        <v>576</v>
      </c>
      <c r="AQ94" s="106"/>
      <c r="AR94" s="63"/>
      <c r="AS94" s="63"/>
      <c r="AT94"/>
      <c r="AU94"/>
    </row>
    <row r="95" spans="1:47" ht="342" x14ac:dyDescent="0.2">
      <c r="A95" s="38" t="s">
        <v>398</v>
      </c>
      <c r="B95" s="43" t="s">
        <v>399</v>
      </c>
      <c r="C95" s="47" t="s">
        <v>1437</v>
      </c>
      <c r="E95" s="43" t="s">
        <v>1823</v>
      </c>
      <c r="F95" s="43" t="s">
        <v>1819</v>
      </c>
      <c r="G95" s="38" t="s">
        <v>1440</v>
      </c>
      <c r="H95" s="43" t="s">
        <v>1824</v>
      </c>
      <c r="I95" s="44" t="s">
        <v>629</v>
      </c>
      <c r="J95" s="44" t="s">
        <v>663</v>
      </c>
      <c r="K95" s="43"/>
      <c r="L95" s="38"/>
      <c r="M95" s="43" t="s">
        <v>1825</v>
      </c>
      <c r="N95" s="43"/>
      <c r="O95" s="38" t="s">
        <v>1445</v>
      </c>
      <c r="Q95" s="43" t="str">
        <f>_xlfn.TEXTJOIN(", ",TRUE,wacor_data_dictionary[[#This Row],[Cardiobase Angioplasty]:[Development]])</f>
        <v>Cardiobase Angioplasty, Redcap</v>
      </c>
      <c r="R95" s="63" t="s">
        <v>549</v>
      </c>
      <c r="S95" s="63"/>
      <c r="T95" s="63"/>
      <c r="U95" s="63"/>
      <c r="V95" s="63"/>
      <c r="W95" s="63"/>
      <c r="X95" s="63"/>
      <c r="Y95" s="63"/>
      <c r="Z95" s="63"/>
      <c r="AA95" s="63" t="s">
        <v>580</v>
      </c>
      <c r="AB95" s="63"/>
      <c r="AC95" s="43" t="s">
        <v>1446</v>
      </c>
      <c r="AF95" s="44">
        <v>1</v>
      </c>
      <c r="AG95" s="40">
        <v>44764</v>
      </c>
      <c r="AH95" s="38" t="s">
        <v>1585</v>
      </c>
      <c r="AJ95" s="63">
        <v>1</v>
      </c>
      <c r="AK95" s="63"/>
      <c r="AL95" s="63"/>
      <c r="AM95" s="63" t="str">
        <f>IF(COUNTIF('NCR Indicators'!K:K,"*"&amp;wacor_data_dictionary[[#This Row],[field_id]]&amp;"*")&gt;=1,"Yes","No")</f>
        <v>No</v>
      </c>
      <c r="AN95" s="47" t="s">
        <v>1826</v>
      </c>
      <c r="AO95" s="47" t="s">
        <v>576</v>
      </c>
      <c r="AQ95" s="106"/>
      <c r="AR95" s="63"/>
      <c r="AS95" s="63"/>
      <c r="AT95"/>
      <c r="AU95"/>
    </row>
    <row r="96" spans="1:47" ht="128.25" x14ac:dyDescent="0.2">
      <c r="A96" s="38" t="s">
        <v>400</v>
      </c>
      <c r="B96" s="43" t="s">
        <v>391</v>
      </c>
      <c r="C96" s="47" t="s">
        <v>1437</v>
      </c>
      <c r="E96" s="43" t="s">
        <v>1807</v>
      </c>
      <c r="F96" s="43" t="s">
        <v>1827</v>
      </c>
      <c r="G96" s="38" t="s">
        <v>1440</v>
      </c>
      <c r="H96" s="43" t="s">
        <v>1441</v>
      </c>
      <c r="I96" s="44" t="s">
        <v>1442</v>
      </c>
      <c r="J96" s="44" t="s">
        <v>629</v>
      </c>
      <c r="K96" s="43"/>
      <c r="L96" s="38"/>
      <c r="M96" s="43" t="s">
        <v>1514</v>
      </c>
      <c r="N96" s="43"/>
      <c r="O96" s="38" t="s">
        <v>1445</v>
      </c>
      <c r="Q96" s="43" t="str">
        <f>_xlfn.TEXTJOIN(", ",TRUE,wacor_data_dictionary[[#This Row],[Cardiobase Angioplasty]:[Development]])</f>
        <v>Cardiobase Angioplasty, Redcap</v>
      </c>
      <c r="R96" s="63" t="s">
        <v>549</v>
      </c>
      <c r="S96" s="63"/>
      <c r="T96" s="63"/>
      <c r="U96" s="63"/>
      <c r="V96" s="63"/>
      <c r="W96" s="63"/>
      <c r="X96" s="63"/>
      <c r="Y96" s="63"/>
      <c r="Z96" s="63"/>
      <c r="AA96" s="63" t="s">
        <v>580</v>
      </c>
      <c r="AB96" s="63"/>
      <c r="AC96" s="43"/>
      <c r="AJ96" s="63">
        <v>1</v>
      </c>
      <c r="AK96" s="63"/>
      <c r="AL96" s="63"/>
      <c r="AM96" s="63" t="str">
        <f>IF(COUNTIF('NCR Indicators'!K:K,"*"&amp;wacor_data_dictionary[[#This Row],[field_id]]&amp;"*")&gt;=1,"Yes","No")</f>
        <v>No</v>
      </c>
      <c r="AO96" s="47" t="s">
        <v>576</v>
      </c>
      <c r="AQ96" s="106"/>
      <c r="AR96" s="63"/>
      <c r="AS96" s="63"/>
      <c r="AT96"/>
      <c r="AU96"/>
    </row>
    <row r="97" spans="1:47" ht="294.75" customHeight="1" x14ac:dyDescent="0.2">
      <c r="A97" s="38" t="s">
        <v>401</v>
      </c>
      <c r="B97" s="43" t="s">
        <v>393</v>
      </c>
      <c r="C97" s="47" t="s">
        <v>1437</v>
      </c>
      <c r="E97" s="43" t="s">
        <v>1810</v>
      </c>
      <c r="F97" s="43" t="s">
        <v>1828</v>
      </c>
      <c r="G97" s="38" t="s">
        <v>1440</v>
      </c>
      <c r="H97" s="43" t="s">
        <v>1441</v>
      </c>
      <c r="I97" s="44" t="s">
        <v>1442</v>
      </c>
      <c r="J97" s="44" t="s">
        <v>629</v>
      </c>
      <c r="K97" s="43"/>
      <c r="L97" s="38"/>
      <c r="N97" s="43"/>
      <c r="O97" s="38" t="s">
        <v>1445</v>
      </c>
      <c r="Q97" s="43" t="str">
        <f>_xlfn.TEXTJOIN(", ",TRUE,wacor_data_dictionary[[#This Row],[Cardiobase Angioplasty]:[Development]])</f>
        <v>Cardiobase Angioplasty, Redcap</v>
      </c>
      <c r="R97" s="63" t="s">
        <v>549</v>
      </c>
      <c r="S97" s="63"/>
      <c r="T97" s="63"/>
      <c r="U97" s="63"/>
      <c r="V97" s="63"/>
      <c r="W97" s="63"/>
      <c r="X97" s="63"/>
      <c r="Y97" s="63"/>
      <c r="Z97" s="63"/>
      <c r="AA97" s="63" t="s">
        <v>580</v>
      </c>
      <c r="AB97" s="63"/>
      <c r="AC97" s="43"/>
      <c r="AJ97" s="63">
        <v>1</v>
      </c>
      <c r="AK97" s="63"/>
      <c r="AL97" s="63"/>
      <c r="AM97" s="63" t="str">
        <f>IF(COUNTIF('NCR Indicators'!K:K,"*"&amp;wacor_data_dictionary[[#This Row],[field_id]]&amp;"*")&gt;=1,"Yes","No")</f>
        <v>No</v>
      </c>
      <c r="AO97" s="47" t="s">
        <v>576</v>
      </c>
      <c r="AQ97" s="106"/>
      <c r="AR97" s="63"/>
      <c r="AS97" s="63"/>
      <c r="AT97"/>
      <c r="AU97"/>
    </row>
    <row r="98" spans="1:47" ht="242.25" x14ac:dyDescent="0.2">
      <c r="A98" s="38" t="s">
        <v>402</v>
      </c>
      <c r="B98" s="43" t="s">
        <v>395</v>
      </c>
      <c r="C98" s="47" t="s">
        <v>1437</v>
      </c>
      <c r="E98" s="43" t="s">
        <v>1814</v>
      </c>
      <c r="F98" s="43" t="s">
        <v>1829</v>
      </c>
      <c r="G98" s="38" t="s">
        <v>1440</v>
      </c>
      <c r="H98" s="43" t="s">
        <v>1830</v>
      </c>
      <c r="I98" s="44" t="s">
        <v>629</v>
      </c>
      <c r="J98" s="44" t="s">
        <v>674</v>
      </c>
      <c r="K98" s="43"/>
      <c r="L98" s="38"/>
      <c r="M98" s="43" t="s">
        <v>1831</v>
      </c>
      <c r="N98" s="43"/>
      <c r="O98" s="38" t="s">
        <v>1445</v>
      </c>
      <c r="Q98" s="43" t="str">
        <f>_xlfn.TEXTJOIN(", ",TRUE,wacor_data_dictionary[[#This Row],[Cardiobase Angioplasty]:[Development]])</f>
        <v>Cardiobase Angioplasty, Redcap</v>
      </c>
      <c r="R98" s="63" t="s">
        <v>549</v>
      </c>
      <c r="S98" s="63"/>
      <c r="T98" s="63"/>
      <c r="U98" s="63"/>
      <c r="V98" s="63"/>
      <c r="W98" s="63"/>
      <c r="X98" s="63"/>
      <c r="Y98" s="63"/>
      <c r="Z98" s="63"/>
      <c r="AA98" s="63" t="s">
        <v>580</v>
      </c>
      <c r="AB98" s="63"/>
      <c r="AC98" s="43" t="s">
        <v>1446</v>
      </c>
      <c r="AF98" s="44">
        <v>1</v>
      </c>
      <c r="AG98" s="40">
        <v>44764</v>
      </c>
      <c r="AJ98" s="63">
        <v>1</v>
      </c>
      <c r="AK98" s="63"/>
      <c r="AL98" s="63"/>
      <c r="AM98" s="63" t="str">
        <f>IF(COUNTIF('NCR Indicators'!K:K,"*"&amp;wacor_data_dictionary[[#This Row],[field_id]]&amp;"*")&gt;=1,"Yes","No")</f>
        <v>No</v>
      </c>
      <c r="AO98" s="47" t="s">
        <v>576</v>
      </c>
      <c r="AQ98" s="106"/>
      <c r="AR98" s="63"/>
      <c r="AS98" s="63"/>
      <c r="AT98"/>
      <c r="AU98"/>
    </row>
    <row r="99" spans="1:47" ht="228" x14ac:dyDescent="0.2">
      <c r="A99" s="38" t="s">
        <v>403</v>
      </c>
      <c r="B99" s="43" t="s">
        <v>397</v>
      </c>
      <c r="C99" s="47" t="s">
        <v>1437</v>
      </c>
      <c r="E99" s="43" t="s">
        <v>1832</v>
      </c>
      <c r="F99" s="43" t="s">
        <v>1833</v>
      </c>
      <c r="G99" s="38" t="s">
        <v>1440</v>
      </c>
      <c r="H99" s="43" t="s">
        <v>1441</v>
      </c>
      <c r="I99" s="44" t="s">
        <v>1442</v>
      </c>
      <c r="J99" s="44" t="s">
        <v>629</v>
      </c>
      <c r="K99" s="43"/>
      <c r="L99" s="38"/>
      <c r="M99" s="43" t="str">
        <f>M94</f>
        <v>The cardiobase angioplasty lesion extract contains this column (Lesion Success).  Values are not yet mapped (?).   May not be suitable as not fully reconciled to NCR definition.
The cardiobase extract has two fields : PERCENTAGE_PRE_STENOSIS, PERCENTAGE_POST_STENOSIS (moderately populated (Sep 22).  Needs end user validation.
TIMI Flow (referred to in the definition as part 2 of the criterion is also in the cardiobase angioplasty lesion extract in the column TIMI_FLOW and TIMI_FLOW_PRE</v>
      </c>
      <c r="N99" s="43"/>
      <c r="O99" s="38" t="s">
        <v>1445</v>
      </c>
      <c r="Q99" s="43" t="str">
        <f>_xlfn.TEXTJOIN(", ",TRUE,wacor_data_dictionary[[#This Row],[Cardiobase Angioplasty]:[Development]])</f>
        <v>Cardiobase Angioplasty, Redcap</v>
      </c>
      <c r="R99" s="63" t="s">
        <v>549</v>
      </c>
      <c r="S99" s="63"/>
      <c r="T99" s="63"/>
      <c r="U99" s="63"/>
      <c r="V99" s="63"/>
      <c r="W99" s="63"/>
      <c r="X99" s="63"/>
      <c r="Y99" s="63"/>
      <c r="Z99" s="63"/>
      <c r="AA99" s="63" t="s">
        <v>580</v>
      </c>
      <c r="AB99" s="63"/>
      <c r="AC99" s="43" t="str">
        <f>AC94</f>
        <v>10 = potential data source identified</v>
      </c>
      <c r="AJ99" s="63">
        <v>1</v>
      </c>
      <c r="AK99" s="63"/>
      <c r="AL99" s="63"/>
      <c r="AM99" s="63" t="str">
        <f>IF(COUNTIF('NCR Indicators'!K:K,"*"&amp;wacor_data_dictionary[[#This Row],[field_id]]&amp;"*")&gt;=1,"Yes","No")</f>
        <v>No</v>
      </c>
      <c r="AO99" s="47" t="s">
        <v>576</v>
      </c>
      <c r="AQ99" s="106"/>
      <c r="AR99" s="63"/>
      <c r="AS99" s="63"/>
      <c r="AT99"/>
      <c r="AU99"/>
    </row>
    <row r="100" spans="1:47" ht="111" customHeight="1" x14ac:dyDescent="0.2">
      <c r="A100" s="38" t="s">
        <v>404</v>
      </c>
      <c r="B100" s="43" t="s">
        <v>399</v>
      </c>
      <c r="C100" s="47" t="s">
        <v>1437</v>
      </c>
      <c r="E100" s="43" t="s">
        <v>1823</v>
      </c>
      <c r="F100" s="43" t="s">
        <v>1833</v>
      </c>
      <c r="G100" s="38" t="s">
        <v>1440</v>
      </c>
      <c r="H100" s="43" t="s">
        <v>1824</v>
      </c>
      <c r="I100" s="44" t="s">
        <v>629</v>
      </c>
      <c r="J100" s="44" t="s">
        <v>663</v>
      </c>
      <c r="K100" s="43"/>
      <c r="L100" s="38"/>
      <c r="M100" s="43" t="s">
        <v>1834</v>
      </c>
      <c r="N100" s="43"/>
      <c r="O100" s="38" t="s">
        <v>1445</v>
      </c>
      <c r="Q100" s="43" t="str">
        <f>_xlfn.TEXTJOIN(", ",TRUE,wacor_data_dictionary[[#This Row],[Cardiobase Angioplasty]:[Development]])</f>
        <v>Cardiobase Angioplasty, Redcap</v>
      </c>
      <c r="R100" s="63" t="s">
        <v>549</v>
      </c>
      <c r="S100" s="63"/>
      <c r="T100" s="63"/>
      <c r="U100" s="63"/>
      <c r="V100" s="63"/>
      <c r="W100" s="63"/>
      <c r="X100" s="63"/>
      <c r="Y100" s="63"/>
      <c r="Z100" s="63"/>
      <c r="AA100" s="63" t="s">
        <v>580</v>
      </c>
      <c r="AB100" s="63"/>
      <c r="AC100" s="43" t="s">
        <v>1446</v>
      </c>
      <c r="AF100" s="44">
        <v>1</v>
      </c>
      <c r="AG100" s="40">
        <v>44764</v>
      </c>
      <c r="AJ100" s="63">
        <v>1</v>
      </c>
      <c r="AK100" s="63"/>
      <c r="AL100" s="63"/>
      <c r="AM100" s="63" t="str">
        <f>IF(COUNTIF('NCR Indicators'!K:K,"*"&amp;wacor_data_dictionary[[#This Row],[field_id]]&amp;"*")&gt;=1,"Yes","No")</f>
        <v>No</v>
      </c>
      <c r="AO100" s="47" t="s">
        <v>576</v>
      </c>
      <c r="AQ100" s="106"/>
      <c r="AR100" s="63"/>
      <c r="AS100" s="63"/>
      <c r="AT100"/>
      <c r="AU100"/>
    </row>
    <row r="101" spans="1:47" ht="170.25" customHeight="1" x14ac:dyDescent="0.2">
      <c r="A101" s="38" t="s">
        <v>405</v>
      </c>
      <c r="B101" s="43" t="s">
        <v>391</v>
      </c>
      <c r="C101" s="47" t="s">
        <v>1437</v>
      </c>
      <c r="E101" s="43" t="s">
        <v>1807</v>
      </c>
      <c r="F101" s="43" t="s">
        <v>1835</v>
      </c>
      <c r="G101" s="38" t="s">
        <v>1440</v>
      </c>
      <c r="H101" s="43" t="s">
        <v>1441</v>
      </c>
      <c r="I101" s="44" t="s">
        <v>1442</v>
      </c>
      <c r="J101" s="44" t="s">
        <v>629</v>
      </c>
      <c r="K101" s="43"/>
      <c r="L101" s="38"/>
      <c r="M101" s="43" t="s">
        <v>1514</v>
      </c>
      <c r="N101" s="43"/>
      <c r="O101" s="38" t="s">
        <v>1445</v>
      </c>
      <c r="Q101" s="43" t="str">
        <f>_xlfn.TEXTJOIN(", ",TRUE,wacor_data_dictionary[[#This Row],[Cardiobase Angioplasty]:[Development]])</f>
        <v>Cardiobase Angioplasty, Redcap</v>
      </c>
      <c r="R101" s="63" t="s">
        <v>549</v>
      </c>
      <c r="S101" s="63"/>
      <c r="T101" s="63"/>
      <c r="U101" s="63"/>
      <c r="V101" s="63"/>
      <c r="W101" s="63"/>
      <c r="X101" s="63"/>
      <c r="Y101" s="63"/>
      <c r="Z101" s="63"/>
      <c r="AA101" s="63" t="s">
        <v>580</v>
      </c>
      <c r="AB101" s="63"/>
      <c r="AC101" s="43"/>
      <c r="AJ101" s="63">
        <v>1</v>
      </c>
      <c r="AK101" s="63"/>
      <c r="AL101" s="63"/>
      <c r="AM101" s="63" t="str">
        <f>IF(COUNTIF('NCR Indicators'!K:K,"*"&amp;wacor_data_dictionary[[#This Row],[field_id]]&amp;"*")&gt;=1,"Yes","No")</f>
        <v>No</v>
      </c>
      <c r="AO101" s="47" t="s">
        <v>576</v>
      </c>
      <c r="AQ101" s="106"/>
      <c r="AR101" s="63"/>
      <c r="AS101" s="63"/>
      <c r="AT101"/>
      <c r="AU101"/>
    </row>
    <row r="102" spans="1:47" ht="99.75" x14ac:dyDescent="0.2">
      <c r="A102" s="38" t="s">
        <v>406</v>
      </c>
      <c r="B102" s="43" t="s">
        <v>393</v>
      </c>
      <c r="C102" s="47" t="s">
        <v>1437</v>
      </c>
      <c r="E102" s="43" t="s">
        <v>1810</v>
      </c>
      <c r="F102" s="43" t="s">
        <v>1836</v>
      </c>
      <c r="G102" s="38" t="s">
        <v>1440</v>
      </c>
      <c r="H102" s="43" t="s">
        <v>1441</v>
      </c>
      <c r="I102" s="44" t="s">
        <v>1442</v>
      </c>
      <c r="J102" s="44" t="s">
        <v>629</v>
      </c>
      <c r="K102" s="43"/>
      <c r="L102" s="38"/>
      <c r="M102" s="43" t="s">
        <v>1514</v>
      </c>
      <c r="N102" s="43"/>
      <c r="O102" s="38" t="s">
        <v>1445</v>
      </c>
      <c r="Q102" s="43" t="str">
        <f>_xlfn.TEXTJOIN(", ",TRUE,wacor_data_dictionary[[#This Row],[Cardiobase Angioplasty]:[Development]])</f>
        <v>Cardiobase Angioplasty, Redcap</v>
      </c>
      <c r="R102" s="63" t="s">
        <v>549</v>
      </c>
      <c r="S102" s="63"/>
      <c r="T102" s="63"/>
      <c r="U102" s="63"/>
      <c r="V102" s="63"/>
      <c r="W102" s="63"/>
      <c r="X102" s="63"/>
      <c r="Y102" s="63"/>
      <c r="Z102" s="63"/>
      <c r="AA102" s="63" t="s">
        <v>580</v>
      </c>
      <c r="AB102" s="63"/>
      <c r="AC102" s="43"/>
      <c r="AJ102" s="63">
        <v>1</v>
      </c>
      <c r="AK102" s="63"/>
      <c r="AL102" s="63"/>
      <c r="AM102" s="63" t="str">
        <f>IF(COUNTIF('NCR Indicators'!K:K,"*"&amp;wacor_data_dictionary[[#This Row],[field_id]]&amp;"*")&gt;=1,"Yes","No")</f>
        <v>No</v>
      </c>
      <c r="AO102" s="47" t="s">
        <v>576</v>
      </c>
      <c r="AQ102" s="106"/>
      <c r="AR102" s="63"/>
      <c r="AS102" s="63"/>
      <c r="AT102"/>
      <c r="AU102"/>
    </row>
    <row r="103" spans="1:47" ht="242.25" x14ac:dyDescent="0.2">
      <c r="A103" s="38" t="s">
        <v>407</v>
      </c>
      <c r="B103" s="43" t="s">
        <v>395</v>
      </c>
      <c r="C103" s="47" t="s">
        <v>1437</v>
      </c>
      <c r="E103" s="43" t="s">
        <v>1814</v>
      </c>
      <c r="F103" s="43" t="s">
        <v>1829</v>
      </c>
      <c r="G103" s="38" t="s">
        <v>1440</v>
      </c>
      <c r="H103" s="43" t="s">
        <v>1830</v>
      </c>
      <c r="I103" s="44" t="s">
        <v>629</v>
      </c>
      <c r="J103" s="44" t="s">
        <v>674</v>
      </c>
      <c r="K103" s="43"/>
      <c r="L103" s="38"/>
      <c r="M103" s="43" t="s">
        <v>1831</v>
      </c>
      <c r="N103" s="43"/>
      <c r="O103" s="38" t="s">
        <v>1445</v>
      </c>
      <c r="Q103" s="43" t="str">
        <f>_xlfn.TEXTJOIN(", ",TRUE,wacor_data_dictionary[[#This Row],[Cardiobase Angioplasty]:[Development]])</f>
        <v>Cardiobase Angioplasty, Redcap</v>
      </c>
      <c r="R103" s="63" t="s">
        <v>549</v>
      </c>
      <c r="S103" s="63"/>
      <c r="T103" s="63"/>
      <c r="U103" s="63"/>
      <c r="V103" s="63"/>
      <c r="W103" s="63"/>
      <c r="X103" s="63"/>
      <c r="Y103" s="63"/>
      <c r="Z103" s="63"/>
      <c r="AA103" s="63" t="s">
        <v>580</v>
      </c>
      <c r="AB103" s="63"/>
      <c r="AC103" s="43" t="s">
        <v>1446</v>
      </c>
      <c r="AF103" s="44">
        <v>1</v>
      </c>
      <c r="AG103" s="40">
        <v>44764</v>
      </c>
      <c r="AJ103" s="63">
        <v>1</v>
      </c>
      <c r="AK103" s="63"/>
      <c r="AL103" s="63"/>
      <c r="AM103" s="63" t="str">
        <f>IF(COUNTIF('NCR Indicators'!K:K,"*"&amp;wacor_data_dictionary[[#This Row],[field_id]]&amp;"*")&gt;=1,"Yes","No")</f>
        <v>No</v>
      </c>
      <c r="AO103" s="47" t="s">
        <v>576</v>
      </c>
      <c r="AQ103" s="106"/>
      <c r="AR103" s="63"/>
      <c r="AS103" s="63"/>
      <c r="AT103"/>
      <c r="AU103"/>
    </row>
    <row r="104" spans="1:47" ht="228" x14ac:dyDescent="0.2">
      <c r="A104" s="38" t="s">
        <v>408</v>
      </c>
      <c r="B104" s="43" t="s">
        <v>397</v>
      </c>
      <c r="C104" s="47" t="s">
        <v>1437</v>
      </c>
      <c r="E104" s="43" t="s">
        <v>1832</v>
      </c>
      <c r="F104" s="43" t="s">
        <v>1837</v>
      </c>
      <c r="G104" s="38" t="s">
        <v>1440</v>
      </c>
      <c r="H104" s="43" t="s">
        <v>1441</v>
      </c>
      <c r="I104" s="44" t="s">
        <v>1442</v>
      </c>
      <c r="J104" s="44" t="s">
        <v>629</v>
      </c>
      <c r="K104" s="43"/>
      <c r="L104" s="38"/>
      <c r="M104" s="43" t="str">
        <f>M94</f>
        <v>The cardiobase angioplasty lesion extract contains this column (Lesion Success).  Values are not yet mapped (?).   May not be suitable as not fully reconciled to NCR definition.
The cardiobase extract has two fields : PERCENTAGE_PRE_STENOSIS, PERCENTAGE_POST_STENOSIS (moderately populated (Sep 22).  Needs end user validation.
TIMI Flow (referred to in the definition as part 2 of the criterion is also in the cardiobase angioplasty lesion extract in the column TIMI_FLOW and TIMI_FLOW_PRE</v>
      </c>
      <c r="N104" s="43"/>
      <c r="O104" s="38" t="s">
        <v>1445</v>
      </c>
      <c r="Q104" s="43" t="str">
        <f>_xlfn.TEXTJOIN(", ",TRUE,wacor_data_dictionary[[#This Row],[Cardiobase Angioplasty]:[Development]])</f>
        <v>Cardiobase Angioplasty, Redcap</v>
      </c>
      <c r="R104" s="63" t="s">
        <v>549</v>
      </c>
      <c r="S104" s="63"/>
      <c r="T104" s="63"/>
      <c r="U104" s="63"/>
      <c r="V104" s="63"/>
      <c r="W104" s="63"/>
      <c r="X104" s="63"/>
      <c r="Y104" s="63"/>
      <c r="Z104" s="63"/>
      <c r="AA104" s="63" t="s">
        <v>580</v>
      </c>
      <c r="AB104" s="63"/>
      <c r="AC104" s="43" t="str">
        <f>AC94</f>
        <v>10 = potential data source identified</v>
      </c>
      <c r="AJ104" s="63">
        <v>1</v>
      </c>
      <c r="AK104" s="63"/>
      <c r="AL104" s="63"/>
      <c r="AM104" s="63" t="str">
        <f>IF(COUNTIF('NCR Indicators'!K:K,"*"&amp;wacor_data_dictionary[[#This Row],[field_id]]&amp;"*")&gt;=1,"Yes","No")</f>
        <v>No</v>
      </c>
      <c r="AO104" s="47" t="s">
        <v>576</v>
      </c>
      <c r="AQ104" s="106"/>
      <c r="AR104" s="63"/>
      <c r="AS104" s="63"/>
      <c r="AT104"/>
      <c r="AU104"/>
    </row>
    <row r="105" spans="1:47" ht="342" x14ac:dyDescent="0.2">
      <c r="A105" s="38" t="s">
        <v>409</v>
      </c>
      <c r="B105" s="43" t="s">
        <v>399</v>
      </c>
      <c r="C105" s="47" t="s">
        <v>1437</v>
      </c>
      <c r="E105" s="43" t="s">
        <v>1823</v>
      </c>
      <c r="F105" s="43" t="s">
        <v>1837</v>
      </c>
      <c r="G105" s="38" t="s">
        <v>1440</v>
      </c>
      <c r="H105" s="43" t="s">
        <v>1824</v>
      </c>
      <c r="I105" s="44" t="s">
        <v>629</v>
      </c>
      <c r="J105" s="44" t="s">
        <v>663</v>
      </c>
      <c r="K105" s="43"/>
      <c r="L105" s="38"/>
      <c r="M105" s="43" t="s">
        <v>1834</v>
      </c>
      <c r="N105" s="43"/>
      <c r="O105" s="38" t="s">
        <v>1445</v>
      </c>
      <c r="Q105" s="43" t="str">
        <f>_xlfn.TEXTJOIN(", ",TRUE,wacor_data_dictionary[[#This Row],[Cardiobase Angioplasty]:[Development]])</f>
        <v>Cardiobase Angioplasty, Redcap</v>
      </c>
      <c r="R105" s="63" t="s">
        <v>549</v>
      </c>
      <c r="S105" s="63"/>
      <c r="T105" s="63"/>
      <c r="U105" s="63"/>
      <c r="V105" s="63"/>
      <c r="W105" s="63"/>
      <c r="X105" s="63"/>
      <c r="Y105" s="63"/>
      <c r="Z105" s="63"/>
      <c r="AA105" s="63" t="s">
        <v>580</v>
      </c>
      <c r="AB105" s="63"/>
      <c r="AC105" s="43" t="s">
        <v>1446</v>
      </c>
      <c r="AF105" s="44">
        <v>1</v>
      </c>
      <c r="AG105" s="40">
        <v>44764</v>
      </c>
      <c r="AJ105" s="63">
        <v>1</v>
      </c>
      <c r="AK105" s="63"/>
      <c r="AL105" s="63"/>
      <c r="AM105" s="63" t="str">
        <f>IF(COUNTIF('NCR Indicators'!K:K,"*"&amp;wacor_data_dictionary[[#This Row],[field_id]]&amp;"*")&gt;=1,"Yes","No")</f>
        <v>No</v>
      </c>
      <c r="AO105" s="47" t="s">
        <v>576</v>
      </c>
      <c r="AQ105" s="106"/>
      <c r="AR105" s="63"/>
      <c r="AS105" s="63"/>
      <c r="AT105"/>
      <c r="AU105"/>
    </row>
    <row r="106" spans="1:47" ht="128.25" x14ac:dyDescent="0.2">
      <c r="A106" s="38" t="s">
        <v>410</v>
      </c>
      <c r="B106" s="43" t="s">
        <v>391</v>
      </c>
      <c r="C106" s="47" t="s">
        <v>1437</v>
      </c>
      <c r="E106" s="43" t="s">
        <v>1807</v>
      </c>
      <c r="F106" s="43" t="s">
        <v>1838</v>
      </c>
      <c r="G106" s="38" t="s">
        <v>1440</v>
      </c>
      <c r="H106" s="43" t="s">
        <v>1441</v>
      </c>
      <c r="I106" s="44" t="s">
        <v>1442</v>
      </c>
      <c r="J106" s="44" t="s">
        <v>629</v>
      </c>
      <c r="K106" s="43"/>
      <c r="L106" s="38"/>
      <c r="M106" s="43" t="s">
        <v>1514</v>
      </c>
      <c r="N106" s="43"/>
      <c r="O106" s="38" t="s">
        <v>1445</v>
      </c>
      <c r="Q106" s="43" t="str">
        <f>_xlfn.TEXTJOIN(", ",TRUE,wacor_data_dictionary[[#This Row],[Cardiobase Angioplasty]:[Development]])</f>
        <v>Cardiobase Angioplasty, Redcap</v>
      </c>
      <c r="R106" s="63" t="s">
        <v>549</v>
      </c>
      <c r="S106" s="63"/>
      <c r="T106" s="63"/>
      <c r="U106" s="63"/>
      <c r="V106" s="63"/>
      <c r="W106" s="63"/>
      <c r="X106" s="63"/>
      <c r="Y106" s="63"/>
      <c r="Z106" s="63"/>
      <c r="AA106" s="63" t="s">
        <v>580</v>
      </c>
      <c r="AB106" s="63"/>
      <c r="AC106" s="43"/>
      <c r="AJ106" s="63">
        <v>1</v>
      </c>
      <c r="AK106" s="63"/>
      <c r="AL106" s="63"/>
      <c r="AM106" s="63" t="str">
        <f>IF(COUNTIF('NCR Indicators'!K:K,"*"&amp;wacor_data_dictionary[[#This Row],[field_id]]&amp;"*")&gt;=1,"Yes","No")</f>
        <v>No</v>
      </c>
      <c r="AO106" s="47" t="s">
        <v>576</v>
      </c>
      <c r="AQ106" s="106"/>
      <c r="AR106" s="63"/>
      <c r="AS106" s="63"/>
      <c r="AT106"/>
      <c r="AU106"/>
    </row>
    <row r="107" spans="1:47" ht="99.75" x14ac:dyDescent="0.2">
      <c r="A107" s="38" t="s">
        <v>411</v>
      </c>
      <c r="B107" s="43" t="s">
        <v>393</v>
      </c>
      <c r="C107" s="47" t="s">
        <v>1437</v>
      </c>
      <c r="E107" s="43" t="s">
        <v>1810</v>
      </c>
      <c r="F107" s="43" t="s">
        <v>1839</v>
      </c>
      <c r="G107" s="38" t="s">
        <v>1440</v>
      </c>
      <c r="H107" s="43" t="s">
        <v>1441</v>
      </c>
      <c r="I107" s="44" t="s">
        <v>1442</v>
      </c>
      <c r="J107" s="44" t="s">
        <v>629</v>
      </c>
      <c r="K107" s="43"/>
      <c r="L107" s="38"/>
      <c r="M107" s="43" t="s">
        <v>1514</v>
      </c>
      <c r="N107" s="43"/>
      <c r="O107" s="38" t="s">
        <v>1445</v>
      </c>
      <c r="Q107" s="43" t="str">
        <f>_xlfn.TEXTJOIN(", ",TRUE,wacor_data_dictionary[[#This Row],[Cardiobase Angioplasty]:[Development]])</f>
        <v>Cardiobase Angioplasty, Redcap</v>
      </c>
      <c r="R107" s="63" t="s">
        <v>549</v>
      </c>
      <c r="S107" s="63"/>
      <c r="T107" s="63"/>
      <c r="U107" s="63"/>
      <c r="V107" s="63"/>
      <c r="W107" s="63"/>
      <c r="X107" s="63"/>
      <c r="Y107" s="63"/>
      <c r="Z107" s="63"/>
      <c r="AA107" s="63" t="s">
        <v>580</v>
      </c>
      <c r="AB107" s="63"/>
      <c r="AC107" s="43"/>
      <c r="AJ107" s="63">
        <v>1</v>
      </c>
      <c r="AK107" s="63"/>
      <c r="AL107" s="63"/>
      <c r="AM107" s="63" t="str">
        <f>IF(COUNTIF('NCR Indicators'!K:K,"*"&amp;wacor_data_dictionary[[#This Row],[field_id]]&amp;"*")&gt;=1,"Yes","No")</f>
        <v>No</v>
      </c>
      <c r="AO107" s="47" t="s">
        <v>576</v>
      </c>
      <c r="AQ107" s="106"/>
      <c r="AR107" s="63"/>
      <c r="AS107" s="63"/>
      <c r="AT107"/>
      <c r="AU107"/>
    </row>
    <row r="108" spans="1:47" ht="242.25" x14ac:dyDescent="0.2">
      <c r="A108" s="38" t="s">
        <v>412</v>
      </c>
      <c r="B108" s="43" t="s">
        <v>395</v>
      </c>
      <c r="C108" s="47" t="s">
        <v>1437</v>
      </c>
      <c r="E108" s="43" t="s">
        <v>1814</v>
      </c>
      <c r="F108" s="43" t="s">
        <v>1829</v>
      </c>
      <c r="G108" s="38" t="s">
        <v>1440</v>
      </c>
      <c r="H108" s="43" t="s">
        <v>1830</v>
      </c>
      <c r="I108" s="44" t="s">
        <v>629</v>
      </c>
      <c r="J108" s="44" t="s">
        <v>674</v>
      </c>
      <c r="K108" s="43"/>
      <c r="L108" s="38"/>
      <c r="M108" s="43" t="s">
        <v>1831</v>
      </c>
      <c r="N108" s="43"/>
      <c r="O108" s="38" t="s">
        <v>1445</v>
      </c>
      <c r="Q108" s="43" t="str">
        <f>_xlfn.TEXTJOIN(", ",TRUE,wacor_data_dictionary[[#This Row],[Cardiobase Angioplasty]:[Development]])</f>
        <v>Cardiobase Angioplasty, Redcap</v>
      </c>
      <c r="R108" s="63" t="s">
        <v>549</v>
      </c>
      <c r="S108" s="63"/>
      <c r="T108" s="63"/>
      <c r="U108" s="63"/>
      <c r="V108" s="63"/>
      <c r="W108" s="63"/>
      <c r="X108" s="63"/>
      <c r="Y108" s="63"/>
      <c r="Z108" s="63"/>
      <c r="AA108" s="63" t="s">
        <v>580</v>
      </c>
      <c r="AB108" s="63"/>
      <c r="AC108" s="43" t="s">
        <v>1446</v>
      </c>
      <c r="AF108" s="44">
        <v>1</v>
      </c>
      <c r="AG108" s="40">
        <v>44764</v>
      </c>
      <c r="AJ108" s="63">
        <v>1</v>
      </c>
      <c r="AK108" s="63"/>
      <c r="AL108" s="63"/>
      <c r="AM108" s="63" t="str">
        <f>IF(COUNTIF('NCR Indicators'!K:K,"*"&amp;wacor_data_dictionary[[#This Row],[field_id]]&amp;"*")&gt;=1,"Yes","No")</f>
        <v>No</v>
      </c>
      <c r="AO108" s="47" t="s">
        <v>576</v>
      </c>
      <c r="AQ108" s="106"/>
      <c r="AR108" s="63"/>
      <c r="AS108" s="63"/>
      <c r="AT108"/>
      <c r="AU108"/>
    </row>
    <row r="109" spans="1:47" ht="228" x14ac:dyDescent="0.2">
      <c r="A109" s="38" t="s">
        <v>413</v>
      </c>
      <c r="B109" s="43" t="s">
        <v>397</v>
      </c>
      <c r="C109" s="47" t="s">
        <v>1437</v>
      </c>
      <c r="E109" s="43" t="s">
        <v>1832</v>
      </c>
      <c r="F109" s="43" t="s">
        <v>1840</v>
      </c>
      <c r="G109" s="38" t="s">
        <v>1440</v>
      </c>
      <c r="H109" s="43" t="s">
        <v>1441</v>
      </c>
      <c r="I109" s="44" t="s">
        <v>1442</v>
      </c>
      <c r="J109" s="44" t="s">
        <v>629</v>
      </c>
      <c r="K109" s="43"/>
      <c r="L109" s="38"/>
      <c r="M109" s="43" t="str">
        <f>M94</f>
        <v>The cardiobase angioplasty lesion extract contains this column (Lesion Success).  Values are not yet mapped (?).   May not be suitable as not fully reconciled to NCR definition.
The cardiobase extract has two fields : PERCENTAGE_PRE_STENOSIS, PERCENTAGE_POST_STENOSIS (moderately populated (Sep 22).  Needs end user validation.
TIMI Flow (referred to in the definition as part 2 of the criterion is also in the cardiobase angioplasty lesion extract in the column TIMI_FLOW and TIMI_FLOW_PRE</v>
      </c>
      <c r="N109" s="43"/>
      <c r="O109" s="38" t="s">
        <v>1445</v>
      </c>
      <c r="Q109" s="43" t="str">
        <f>_xlfn.TEXTJOIN(", ",TRUE,wacor_data_dictionary[[#This Row],[Cardiobase Angioplasty]:[Development]])</f>
        <v>Cardiobase Angioplasty, Redcap</v>
      </c>
      <c r="R109" s="63" t="s">
        <v>549</v>
      </c>
      <c r="S109" s="63"/>
      <c r="T109" s="63"/>
      <c r="U109" s="63"/>
      <c r="V109" s="63"/>
      <c r="W109" s="63"/>
      <c r="X109" s="63"/>
      <c r="Y109" s="63"/>
      <c r="Z109" s="63"/>
      <c r="AA109" s="63" t="s">
        <v>580</v>
      </c>
      <c r="AB109" s="63"/>
      <c r="AC109" s="43" t="str">
        <f>AC94</f>
        <v>10 = potential data source identified</v>
      </c>
      <c r="AJ109" s="63">
        <v>1</v>
      </c>
      <c r="AK109" s="63"/>
      <c r="AL109" s="63"/>
      <c r="AM109" s="63" t="str">
        <f>IF(COUNTIF('NCR Indicators'!K:K,"*"&amp;wacor_data_dictionary[[#This Row],[field_id]]&amp;"*")&gt;=1,"Yes","No")</f>
        <v>No</v>
      </c>
      <c r="AO109" s="47" t="s">
        <v>576</v>
      </c>
      <c r="AQ109" s="106"/>
      <c r="AR109" s="63"/>
      <c r="AS109" s="63"/>
      <c r="AT109"/>
      <c r="AU109"/>
    </row>
    <row r="110" spans="1:47" ht="342" x14ac:dyDescent="0.2">
      <c r="A110" s="38" t="s">
        <v>414</v>
      </c>
      <c r="B110" s="43" t="s">
        <v>399</v>
      </c>
      <c r="C110" s="47" t="s">
        <v>1437</v>
      </c>
      <c r="E110" s="43" t="s">
        <v>1823</v>
      </c>
      <c r="F110" s="43" t="s">
        <v>1840</v>
      </c>
      <c r="G110" s="38" t="s">
        <v>1440</v>
      </c>
      <c r="H110" s="43" t="s">
        <v>1824</v>
      </c>
      <c r="I110" s="44" t="s">
        <v>629</v>
      </c>
      <c r="J110" s="44" t="s">
        <v>663</v>
      </c>
      <c r="K110" s="43"/>
      <c r="L110" s="38"/>
      <c r="M110" s="43" t="s">
        <v>1834</v>
      </c>
      <c r="N110" s="43"/>
      <c r="O110" s="38" t="s">
        <v>1445</v>
      </c>
      <c r="Q110" s="43" t="str">
        <f>_xlfn.TEXTJOIN(", ",TRUE,wacor_data_dictionary[[#This Row],[Cardiobase Angioplasty]:[Development]])</f>
        <v>Cardiobase Angioplasty, Redcap</v>
      </c>
      <c r="R110" s="63" t="s">
        <v>549</v>
      </c>
      <c r="S110" s="63"/>
      <c r="T110" s="63"/>
      <c r="U110" s="63"/>
      <c r="V110" s="63"/>
      <c r="W110" s="63"/>
      <c r="X110" s="63"/>
      <c r="Y110" s="63"/>
      <c r="Z110" s="63"/>
      <c r="AA110" s="63" t="s">
        <v>580</v>
      </c>
      <c r="AB110" s="63"/>
      <c r="AC110" s="43" t="s">
        <v>1446</v>
      </c>
      <c r="AF110" s="44">
        <v>1</v>
      </c>
      <c r="AG110" s="40">
        <v>44764</v>
      </c>
      <c r="AJ110" s="63">
        <v>1</v>
      </c>
      <c r="AK110" s="63"/>
      <c r="AL110" s="63"/>
      <c r="AM110" s="63" t="str">
        <f>IF(COUNTIF('NCR Indicators'!K:K,"*"&amp;wacor_data_dictionary[[#This Row],[field_id]]&amp;"*")&gt;=1,"Yes","No")</f>
        <v>No</v>
      </c>
      <c r="AO110" s="47" t="s">
        <v>576</v>
      </c>
      <c r="AQ110" s="106"/>
      <c r="AR110" s="63"/>
      <c r="AS110" s="63"/>
      <c r="AT110"/>
      <c r="AU110"/>
    </row>
    <row r="111" spans="1:47" ht="128.25" x14ac:dyDescent="0.2">
      <c r="A111" s="38" t="s">
        <v>415</v>
      </c>
      <c r="B111" s="43" t="s">
        <v>391</v>
      </c>
      <c r="C111" s="47" t="s">
        <v>1437</v>
      </c>
      <c r="E111" s="43" t="s">
        <v>1807</v>
      </c>
      <c r="F111" s="43" t="s">
        <v>1841</v>
      </c>
      <c r="G111" s="38" t="s">
        <v>1440</v>
      </c>
      <c r="H111" s="43" t="s">
        <v>1441</v>
      </c>
      <c r="I111" s="44" t="s">
        <v>1442</v>
      </c>
      <c r="J111" s="44" t="s">
        <v>629</v>
      </c>
      <c r="K111" s="43"/>
      <c r="L111" s="38"/>
      <c r="M111" s="43" t="s">
        <v>1514</v>
      </c>
      <c r="N111" s="43"/>
      <c r="O111" s="38" t="s">
        <v>1445</v>
      </c>
      <c r="Q111" s="43" t="str">
        <f>_xlfn.TEXTJOIN(", ",TRUE,wacor_data_dictionary[[#This Row],[Cardiobase Angioplasty]:[Development]])</f>
        <v>Cardiobase Angioplasty, Redcap</v>
      </c>
      <c r="R111" s="63" t="s">
        <v>549</v>
      </c>
      <c r="S111" s="63"/>
      <c r="T111" s="63"/>
      <c r="U111" s="63"/>
      <c r="V111" s="63"/>
      <c r="W111" s="63"/>
      <c r="X111" s="63"/>
      <c r="Y111" s="63"/>
      <c r="Z111" s="63"/>
      <c r="AA111" s="63" t="s">
        <v>580</v>
      </c>
      <c r="AB111" s="63"/>
      <c r="AC111" s="43"/>
      <c r="AJ111" s="63">
        <v>1</v>
      </c>
      <c r="AK111" s="63"/>
      <c r="AL111" s="63"/>
      <c r="AM111" s="63" t="str">
        <f>IF(COUNTIF('NCR Indicators'!K:K,"*"&amp;wacor_data_dictionary[[#This Row],[field_id]]&amp;"*")&gt;=1,"Yes","No")</f>
        <v>No</v>
      </c>
      <c r="AO111" s="47" t="s">
        <v>576</v>
      </c>
      <c r="AQ111" s="106"/>
      <c r="AR111" s="63"/>
      <c r="AS111" s="63"/>
      <c r="AT111"/>
      <c r="AU111"/>
    </row>
    <row r="112" spans="1:47" ht="99.75" x14ac:dyDescent="0.2">
      <c r="A112" s="38" t="s">
        <v>416</v>
      </c>
      <c r="B112" s="43" t="s">
        <v>393</v>
      </c>
      <c r="C112" s="47" t="s">
        <v>1437</v>
      </c>
      <c r="E112" s="43" t="s">
        <v>1810</v>
      </c>
      <c r="F112" s="43" t="s">
        <v>1842</v>
      </c>
      <c r="G112" s="38" t="s">
        <v>1440</v>
      </c>
      <c r="H112" s="43" t="s">
        <v>1441</v>
      </c>
      <c r="I112" s="44" t="s">
        <v>1442</v>
      </c>
      <c r="J112" s="44" t="s">
        <v>629</v>
      </c>
      <c r="K112" s="43"/>
      <c r="L112" s="38"/>
      <c r="M112" s="43" t="s">
        <v>1514</v>
      </c>
      <c r="N112" s="43"/>
      <c r="O112" s="38" t="s">
        <v>1445</v>
      </c>
      <c r="Q112" s="43" t="str">
        <f>_xlfn.TEXTJOIN(", ",TRUE,wacor_data_dictionary[[#This Row],[Cardiobase Angioplasty]:[Development]])</f>
        <v>Cardiobase Angioplasty, Redcap</v>
      </c>
      <c r="R112" s="63" t="s">
        <v>549</v>
      </c>
      <c r="S112" s="63"/>
      <c r="T112" s="63"/>
      <c r="U112" s="63"/>
      <c r="V112" s="63"/>
      <c r="W112" s="63"/>
      <c r="X112" s="63"/>
      <c r="Y112" s="63"/>
      <c r="Z112" s="63"/>
      <c r="AA112" s="63" t="s">
        <v>580</v>
      </c>
      <c r="AB112" s="63"/>
      <c r="AC112" s="43"/>
      <c r="AJ112" s="63">
        <v>1</v>
      </c>
      <c r="AK112" s="63"/>
      <c r="AL112" s="63"/>
      <c r="AM112" s="63" t="str">
        <f>IF(COUNTIF('NCR Indicators'!K:K,"*"&amp;wacor_data_dictionary[[#This Row],[field_id]]&amp;"*")&gt;=1,"Yes","No")</f>
        <v>No</v>
      </c>
      <c r="AO112" s="47" t="s">
        <v>576</v>
      </c>
      <c r="AQ112" s="106"/>
      <c r="AR112" s="63"/>
      <c r="AS112" s="63"/>
      <c r="AT112"/>
      <c r="AU112"/>
    </row>
    <row r="113" spans="1:47" ht="242.25" x14ac:dyDescent="0.2">
      <c r="A113" s="38" t="s">
        <v>417</v>
      </c>
      <c r="B113" s="43" t="s">
        <v>395</v>
      </c>
      <c r="C113" s="47" t="s">
        <v>1437</v>
      </c>
      <c r="E113" s="43" t="s">
        <v>1814</v>
      </c>
      <c r="F113" s="43" t="s">
        <v>1829</v>
      </c>
      <c r="G113" s="38" t="s">
        <v>1440</v>
      </c>
      <c r="H113" s="43" t="s">
        <v>1830</v>
      </c>
      <c r="I113" s="44" t="s">
        <v>629</v>
      </c>
      <c r="J113" s="44" t="s">
        <v>674</v>
      </c>
      <c r="K113" s="43"/>
      <c r="L113" s="38"/>
      <c r="M113" s="43" t="s">
        <v>1831</v>
      </c>
      <c r="N113" s="43"/>
      <c r="O113" s="38" t="s">
        <v>1445</v>
      </c>
      <c r="Q113" s="43" t="str">
        <f>_xlfn.TEXTJOIN(", ",TRUE,wacor_data_dictionary[[#This Row],[Cardiobase Angioplasty]:[Development]])</f>
        <v>Cardiobase Angioplasty, Redcap</v>
      </c>
      <c r="R113" s="63" t="s">
        <v>549</v>
      </c>
      <c r="S113" s="63"/>
      <c r="T113" s="63"/>
      <c r="U113" s="63"/>
      <c r="V113" s="63"/>
      <c r="W113" s="63"/>
      <c r="X113" s="63"/>
      <c r="Y113" s="63"/>
      <c r="Z113" s="63"/>
      <c r="AA113" s="63" t="s">
        <v>580</v>
      </c>
      <c r="AB113" s="63"/>
      <c r="AC113" s="43" t="s">
        <v>1446</v>
      </c>
      <c r="AF113" s="44">
        <v>1</v>
      </c>
      <c r="AG113" s="40">
        <v>44764</v>
      </c>
      <c r="AJ113" s="63">
        <v>1</v>
      </c>
      <c r="AK113" s="63"/>
      <c r="AL113" s="63"/>
      <c r="AM113" s="63" t="str">
        <f>IF(COUNTIF('NCR Indicators'!K:K,"*"&amp;wacor_data_dictionary[[#This Row],[field_id]]&amp;"*")&gt;=1,"Yes","No")</f>
        <v>No</v>
      </c>
      <c r="AO113" s="47" t="s">
        <v>576</v>
      </c>
      <c r="AQ113" s="106"/>
      <c r="AR113" s="63"/>
      <c r="AS113" s="63"/>
      <c r="AT113"/>
      <c r="AU113"/>
    </row>
    <row r="114" spans="1:47" ht="56.25" customHeight="1" x14ac:dyDescent="0.2">
      <c r="A114" s="38" t="s">
        <v>418</v>
      </c>
      <c r="B114" s="43" t="s">
        <v>397</v>
      </c>
      <c r="C114" s="47" t="s">
        <v>1437</v>
      </c>
      <c r="E114" s="43" t="s">
        <v>1832</v>
      </c>
      <c r="F114" s="43" t="s">
        <v>1843</v>
      </c>
      <c r="G114" s="38" t="s">
        <v>1440</v>
      </c>
      <c r="H114" s="43" t="s">
        <v>1441</v>
      </c>
      <c r="I114" s="44" t="s">
        <v>1442</v>
      </c>
      <c r="J114" s="44" t="s">
        <v>629</v>
      </c>
      <c r="K114" s="43"/>
      <c r="L114" s="38"/>
      <c r="M114" s="43" t="str">
        <f>M94</f>
        <v>The cardiobase angioplasty lesion extract contains this column (Lesion Success).  Values are not yet mapped (?).   May not be suitable as not fully reconciled to NCR definition.
The cardiobase extract has two fields : PERCENTAGE_PRE_STENOSIS, PERCENTAGE_POST_STENOSIS (moderately populated (Sep 22).  Needs end user validation.
TIMI Flow (referred to in the definition as part 2 of the criterion is also in the cardiobase angioplasty lesion extract in the column TIMI_FLOW and TIMI_FLOW_PRE</v>
      </c>
      <c r="N114" s="43"/>
      <c r="O114" s="38" t="s">
        <v>1445</v>
      </c>
      <c r="Q114" s="43" t="str">
        <f>_xlfn.TEXTJOIN(", ",TRUE,wacor_data_dictionary[[#This Row],[Cardiobase Angioplasty]:[Development]])</f>
        <v>Cardiobase Angioplasty, Redcap</v>
      </c>
      <c r="R114" s="63" t="s">
        <v>549</v>
      </c>
      <c r="S114" s="63"/>
      <c r="T114" s="63"/>
      <c r="U114" s="63"/>
      <c r="V114" s="63"/>
      <c r="W114" s="63"/>
      <c r="X114" s="63"/>
      <c r="Y114" s="63"/>
      <c r="Z114" s="63"/>
      <c r="AA114" s="63" t="s">
        <v>580</v>
      </c>
      <c r="AB114" s="63"/>
      <c r="AC114" s="43" t="str">
        <f>AC94</f>
        <v>10 = potential data source identified</v>
      </c>
      <c r="AJ114" s="63">
        <v>1</v>
      </c>
      <c r="AK114" s="63"/>
      <c r="AL114" s="63"/>
      <c r="AM114" s="63" t="str">
        <f>IF(COUNTIF('NCR Indicators'!K:K,"*"&amp;wacor_data_dictionary[[#This Row],[field_id]]&amp;"*")&gt;=1,"Yes","No")</f>
        <v>No</v>
      </c>
      <c r="AO114" s="47" t="s">
        <v>576</v>
      </c>
      <c r="AQ114" s="106"/>
      <c r="AR114" s="63"/>
      <c r="AS114" s="63"/>
      <c r="AT114"/>
      <c r="AU114"/>
    </row>
    <row r="115" spans="1:47" ht="44.25" customHeight="1" x14ac:dyDescent="0.2">
      <c r="A115" s="38" t="s">
        <v>419</v>
      </c>
      <c r="B115" s="43" t="s">
        <v>399</v>
      </c>
      <c r="C115" s="47" t="s">
        <v>1437</v>
      </c>
      <c r="E115" s="43" t="s">
        <v>1823</v>
      </c>
      <c r="F115" s="43" t="s">
        <v>1843</v>
      </c>
      <c r="G115" s="38" t="s">
        <v>1440</v>
      </c>
      <c r="H115" s="43" t="s">
        <v>1824</v>
      </c>
      <c r="I115" s="44" t="s">
        <v>629</v>
      </c>
      <c r="J115" s="44" t="s">
        <v>663</v>
      </c>
      <c r="K115" s="43"/>
      <c r="L115" s="38"/>
      <c r="M115" s="43" t="s">
        <v>1834</v>
      </c>
      <c r="N115" s="43"/>
      <c r="O115" s="38" t="s">
        <v>1445</v>
      </c>
      <c r="Q115" s="43" t="str">
        <f>_xlfn.TEXTJOIN(", ",TRUE,wacor_data_dictionary[[#This Row],[Cardiobase Angioplasty]:[Development]])</f>
        <v>Cardiobase Angioplasty, Redcap</v>
      </c>
      <c r="R115" s="63" t="s">
        <v>549</v>
      </c>
      <c r="S115" s="63"/>
      <c r="T115" s="63"/>
      <c r="U115" s="63"/>
      <c r="V115" s="63"/>
      <c r="W115" s="63"/>
      <c r="X115" s="63"/>
      <c r="Y115" s="63"/>
      <c r="Z115" s="63"/>
      <c r="AA115" s="63" t="s">
        <v>580</v>
      </c>
      <c r="AB115" s="63"/>
      <c r="AC115" s="43" t="s">
        <v>1446</v>
      </c>
      <c r="AF115" s="44">
        <v>1</v>
      </c>
      <c r="AG115" s="40">
        <v>44764</v>
      </c>
      <c r="AJ115" s="63">
        <v>1</v>
      </c>
      <c r="AK115" s="63"/>
      <c r="AL115" s="63"/>
      <c r="AM115" s="63" t="str">
        <f>IF(COUNTIF('NCR Indicators'!K:K,"*"&amp;wacor_data_dictionary[[#This Row],[field_id]]&amp;"*")&gt;=1,"Yes","No")</f>
        <v>No</v>
      </c>
      <c r="AO115" s="47" t="s">
        <v>576</v>
      </c>
      <c r="AQ115" s="106"/>
      <c r="AR115" s="63"/>
      <c r="AS115" s="63"/>
      <c r="AT115"/>
      <c r="AU115"/>
    </row>
    <row r="116" spans="1:47" ht="409.5" x14ac:dyDescent="0.2">
      <c r="A116" s="38" t="s">
        <v>420</v>
      </c>
      <c r="B116" s="43" t="s">
        <v>421</v>
      </c>
      <c r="C116" s="47" t="s">
        <v>1437</v>
      </c>
      <c r="E116" s="43" t="s">
        <v>1844</v>
      </c>
      <c r="F116" s="43" t="s">
        <v>1845</v>
      </c>
      <c r="G116" s="38" t="s">
        <v>1514</v>
      </c>
      <c r="H116" s="43" t="s">
        <v>1846</v>
      </c>
      <c r="I116" s="44" t="s">
        <v>1530</v>
      </c>
      <c r="J116" s="44" t="s">
        <v>629</v>
      </c>
      <c r="K116" s="43"/>
      <c r="L116" s="38"/>
      <c r="M116" s="47" t="s">
        <v>1847</v>
      </c>
      <c r="N116" s="43"/>
      <c r="O116" s="38" t="s">
        <v>1848</v>
      </c>
      <c r="Q116" s="43" t="str">
        <f>_xlfn.TEXTJOIN(", ",TRUE,wacor_data_dictionary[[#This Row],[Cardiobase Angioplasty]:[Development]])</f>
        <v>HMDC, EDDC, Redcap</v>
      </c>
      <c r="T116" s="38" t="s">
        <v>554</v>
      </c>
      <c r="U116" s="38" t="s">
        <v>167</v>
      </c>
      <c r="AA116" s="38" t="s">
        <v>580</v>
      </c>
      <c r="AC116" s="43"/>
      <c r="AF116" s="44" t="s">
        <v>292</v>
      </c>
      <c r="AH116" s="38" t="s">
        <v>1532</v>
      </c>
      <c r="AI116" s="47" t="s">
        <v>1849</v>
      </c>
      <c r="AJ116" s="63">
        <v>1</v>
      </c>
      <c r="AK116" s="63"/>
      <c r="AL116" s="63"/>
      <c r="AM116" s="63" t="str">
        <f>IF(COUNTIF('NCR Indicators'!K:K,"*"&amp;wacor_data_dictionary[[#This Row],[field_id]]&amp;"*")&gt;=1,"Yes","No")</f>
        <v>No</v>
      </c>
      <c r="AN116" s="47" t="s">
        <v>1850</v>
      </c>
      <c r="AO116" s="47" t="s">
        <v>1535</v>
      </c>
      <c r="AQ116" s="106"/>
      <c r="AR116" s="63"/>
      <c r="AS116" s="63"/>
      <c r="AT116"/>
      <c r="AU116"/>
    </row>
    <row r="117" spans="1:47" ht="256.5" x14ac:dyDescent="0.2">
      <c r="A117" s="38" t="s">
        <v>243</v>
      </c>
      <c r="B117" s="43" t="s">
        <v>422</v>
      </c>
      <c r="C117" s="47" t="s">
        <v>1437</v>
      </c>
      <c r="E117" s="47" t="s">
        <v>1851</v>
      </c>
      <c r="F117" s="43" t="s">
        <v>1852</v>
      </c>
      <c r="G117" s="38" t="s">
        <v>1440</v>
      </c>
      <c r="H117" s="43" t="s">
        <v>1853</v>
      </c>
      <c r="I117" s="44" t="s">
        <v>629</v>
      </c>
      <c r="J117" s="44" t="s">
        <v>642</v>
      </c>
      <c r="K117" s="43"/>
      <c r="L117" s="38"/>
      <c r="M117" s="43" t="s">
        <v>1118</v>
      </c>
      <c r="N117" s="43" t="s">
        <v>1437</v>
      </c>
      <c r="O117" s="38" t="s">
        <v>1629</v>
      </c>
      <c r="Q117" s="43" t="str">
        <f>_xlfn.TEXTJOIN(", ",TRUE,wacor_data_dictionary[[#This Row],[Cardiobase Angioplasty]:[Development]])</f>
        <v>Deaths registry, Redcap</v>
      </c>
      <c r="Y117" s="38" t="s">
        <v>561</v>
      </c>
      <c r="AA117" s="38" t="s">
        <v>580</v>
      </c>
      <c r="AC117" s="43"/>
      <c r="AF117" s="44" t="s">
        <v>274</v>
      </c>
      <c r="AJ117" s="63">
        <v>1</v>
      </c>
      <c r="AK117" s="63"/>
      <c r="AL117" s="63"/>
      <c r="AM117" s="63" t="str">
        <f>IF(COUNTIF('NCR Indicators'!K:K,"*"&amp;wacor_data_dictionary[[#This Row],[field_id]]&amp;"*")&gt;=1,"Yes","No")</f>
        <v>No</v>
      </c>
      <c r="AO117" s="47" t="s">
        <v>1535</v>
      </c>
      <c r="AP117" s="134"/>
      <c r="AQ117" s="106"/>
      <c r="AR117" s="63"/>
      <c r="AS117" s="63"/>
      <c r="AT117"/>
      <c r="AU117"/>
    </row>
    <row r="118" spans="1:47" ht="270.75" x14ac:dyDescent="0.2">
      <c r="A118" s="38" t="s">
        <v>423</v>
      </c>
      <c r="B118" s="43" t="s">
        <v>424</v>
      </c>
      <c r="C118" s="47" t="s">
        <v>1437</v>
      </c>
      <c r="E118" s="43" t="s">
        <v>1854</v>
      </c>
      <c r="F118" s="43" t="s">
        <v>1855</v>
      </c>
      <c r="G118" s="38" t="s">
        <v>1440</v>
      </c>
      <c r="H118" s="43" t="s">
        <v>1856</v>
      </c>
      <c r="I118" s="44" t="s">
        <v>629</v>
      </c>
      <c r="J118" s="44" t="s">
        <v>637</v>
      </c>
      <c r="K118" s="43"/>
      <c r="M118" s="43" t="s">
        <v>1857</v>
      </c>
      <c r="N118" s="43" t="s">
        <v>1437</v>
      </c>
      <c r="O118" s="38" t="s">
        <v>1858</v>
      </c>
      <c r="Q118" s="43" t="str">
        <f>_xlfn.TEXTJOIN(", ",TRUE,wacor_data_dictionary[[#This Row],[Cardiobase Angioplasty]:[Development]])</f>
        <v>Deaths registry, Redcap</v>
      </c>
      <c r="Y118" s="38" t="s">
        <v>561</v>
      </c>
      <c r="AA118" s="38" t="s">
        <v>580</v>
      </c>
      <c r="AC118" s="43"/>
      <c r="AF118" s="44" t="s">
        <v>274</v>
      </c>
      <c r="AH118" s="38" t="s">
        <v>1859</v>
      </c>
      <c r="AJ118" s="63">
        <v>1</v>
      </c>
      <c r="AK118" s="63"/>
      <c r="AL118" s="63"/>
      <c r="AM118" s="63" t="str">
        <f>IF(COUNTIF('NCR Indicators'!K:K,"*"&amp;wacor_data_dictionary[[#This Row],[field_id]]&amp;"*")&gt;=1,"Yes","No")</f>
        <v>No</v>
      </c>
      <c r="AO118" s="47" t="s">
        <v>578</v>
      </c>
      <c r="AQ118" s="106"/>
      <c r="AR118" s="63"/>
      <c r="AS118" s="63"/>
      <c r="AT118"/>
      <c r="AU118"/>
    </row>
    <row r="119" spans="1:47" ht="28.5" x14ac:dyDescent="0.2">
      <c r="A119" s="38" t="s">
        <v>425</v>
      </c>
      <c r="B119" s="43" t="s">
        <v>426</v>
      </c>
      <c r="C119" s="47" t="s">
        <v>1437</v>
      </c>
      <c r="E119" s="43" t="s">
        <v>1514</v>
      </c>
      <c r="F119" s="43" t="s">
        <v>1546</v>
      </c>
      <c r="G119" s="38" t="s">
        <v>634</v>
      </c>
      <c r="H119" s="43" t="s">
        <v>1514</v>
      </c>
      <c r="I119" s="44" t="s">
        <v>1514</v>
      </c>
      <c r="J119" s="44" t="s">
        <v>1514</v>
      </c>
      <c r="K119" s="43"/>
      <c r="L119" s="38"/>
      <c r="M119" s="43" t="s">
        <v>1514</v>
      </c>
      <c r="N119" s="43"/>
      <c r="O119" s="38" t="s">
        <v>1445</v>
      </c>
      <c r="Q119" s="43" t="str">
        <f>_xlfn.TEXTJOIN(", ",TRUE,wacor_data_dictionary[[#This Row],[Cardiobase Angioplasty]:[Development]])</f>
        <v/>
      </c>
      <c r="AC119" s="43" t="s">
        <v>1446</v>
      </c>
      <c r="AF119" s="44">
        <v>1</v>
      </c>
      <c r="AG119" s="40">
        <v>44764</v>
      </c>
      <c r="AJ119" s="63">
        <v>1</v>
      </c>
      <c r="AK119" s="63"/>
      <c r="AL119" s="63"/>
      <c r="AM119" s="63" t="str">
        <f>IF(COUNTIF('NCR Indicators'!K:K,"*"&amp;wacor_data_dictionary[[#This Row],[field_id]]&amp;"*")&gt;=1,"Yes","No")</f>
        <v>No</v>
      </c>
      <c r="AO119" s="140" t="s">
        <v>575</v>
      </c>
      <c r="AQ119" s="106"/>
      <c r="AR119" s="63"/>
      <c r="AS119" s="63"/>
      <c r="AT119"/>
      <c r="AU119"/>
    </row>
    <row r="120" spans="1:47" ht="111" customHeight="1" x14ac:dyDescent="0.2">
      <c r="A120" s="38" t="s">
        <v>427</v>
      </c>
      <c r="B120" s="43" t="s">
        <v>428</v>
      </c>
      <c r="C120" s="47" t="s">
        <v>1437</v>
      </c>
      <c r="E120" s="43" t="s">
        <v>1514</v>
      </c>
      <c r="F120" s="43" t="s">
        <v>1860</v>
      </c>
      <c r="G120" s="38" t="s">
        <v>634</v>
      </c>
      <c r="H120" s="43" t="s">
        <v>1861</v>
      </c>
      <c r="I120" s="44" t="s">
        <v>1514</v>
      </c>
      <c r="J120" s="44" t="s">
        <v>1514</v>
      </c>
      <c r="K120" s="43"/>
      <c r="L120" s="38"/>
      <c r="M120" s="43" t="s">
        <v>1514</v>
      </c>
      <c r="N120" s="43"/>
      <c r="O120" s="38" t="s">
        <v>1723</v>
      </c>
      <c r="Q120" s="43" t="str">
        <f>_xlfn.TEXTJOIN(", ",TRUE,wacor_data_dictionary[[#This Row],[Cardiobase Angioplasty]:[Development]])</f>
        <v/>
      </c>
      <c r="AC120" s="43"/>
      <c r="AJ120" s="63">
        <v>1</v>
      </c>
      <c r="AK120" s="63"/>
      <c r="AL120" s="63"/>
      <c r="AM120" s="63" t="str">
        <f>IF(COUNTIF('NCR Indicators'!K:K,"*"&amp;wacor_data_dictionary[[#This Row],[field_id]]&amp;"*")&gt;=1,"Yes","No")</f>
        <v>No</v>
      </c>
      <c r="AO120" s="63" t="s">
        <v>574</v>
      </c>
      <c r="AQ120" s="106"/>
      <c r="AR120" s="63"/>
      <c r="AS120" s="63"/>
      <c r="AT120"/>
      <c r="AU120"/>
    </row>
    <row r="121" spans="1:47" ht="28.5" x14ac:dyDescent="0.2">
      <c r="A121" s="38" t="s">
        <v>429</v>
      </c>
      <c r="B121" s="43" t="s">
        <v>430</v>
      </c>
      <c r="C121" s="47" t="s">
        <v>1437</v>
      </c>
      <c r="E121" s="43" t="s">
        <v>1862</v>
      </c>
      <c r="F121" s="43" t="s">
        <v>1739</v>
      </c>
      <c r="G121" s="38" t="s">
        <v>1863</v>
      </c>
      <c r="H121" s="43" t="s">
        <v>1514</v>
      </c>
      <c r="I121" s="44" t="s">
        <v>1514</v>
      </c>
      <c r="J121" s="44" t="s">
        <v>1514</v>
      </c>
      <c r="K121" s="43"/>
      <c r="L121" s="38"/>
      <c r="M121" s="43" t="s">
        <v>1514</v>
      </c>
      <c r="N121" s="43"/>
      <c r="O121" s="38" t="s">
        <v>1525</v>
      </c>
      <c r="Q121" s="43" t="str">
        <f>_xlfn.TEXTJOIN(", ",TRUE,wacor_data_dictionary[[#This Row],[Cardiobase Angioplasty]:[Development]])</f>
        <v>Derived</v>
      </c>
      <c r="R121" s="63"/>
      <c r="S121" s="63"/>
      <c r="T121" s="63"/>
      <c r="U121" s="63"/>
      <c r="V121" s="63"/>
      <c r="W121" s="63"/>
      <c r="X121" s="63" t="s">
        <v>559</v>
      </c>
      <c r="Y121" s="63"/>
      <c r="Z121" s="63"/>
      <c r="AA121" s="63"/>
      <c r="AB121" s="63"/>
      <c r="AC121" s="43"/>
      <c r="AJ121" s="63">
        <v>0</v>
      </c>
      <c r="AK121" s="63"/>
      <c r="AL121" s="63"/>
      <c r="AM121" s="63" t="str">
        <f>IF(COUNTIF('NCR Indicators'!K:K,"*"&amp;wacor_data_dictionary[[#This Row],[field_id]]&amp;"*")&gt;=1,"Yes","No")</f>
        <v>No</v>
      </c>
      <c r="AO121" s="63" t="s">
        <v>575</v>
      </c>
      <c r="AQ121" s="106"/>
      <c r="AR121" s="63"/>
      <c r="AS121" s="63"/>
      <c r="AT121"/>
      <c r="AU121"/>
    </row>
    <row r="122" spans="1:47" ht="71.25" x14ac:dyDescent="0.2">
      <c r="A122" s="38" t="s">
        <v>431</v>
      </c>
      <c r="B122" s="43" t="s">
        <v>432</v>
      </c>
      <c r="C122" s="47" t="s">
        <v>1437</v>
      </c>
      <c r="E122" s="47" t="s">
        <v>1864</v>
      </c>
      <c r="F122" s="47" t="s">
        <v>1865</v>
      </c>
      <c r="G122" s="38" t="s">
        <v>1514</v>
      </c>
      <c r="H122" s="43" t="s">
        <v>1866</v>
      </c>
      <c r="I122" s="44">
        <v>0</v>
      </c>
      <c r="J122" s="44" t="s">
        <v>629</v>
      </c>
      <c r="K122" s="43"/>
      <c r="L122" s="38"/>
      <c r="M122" s="43" t="s">
        <v>762</v>
      </c>
      <c r="N122" s="43"/>
      <c r="O122" s="38" t="s">
        <v>1867</v>
      </c>
      <c r="Q122" s="43" t="str">
        <f>_xlfn.TEXTJOIN(", ",TRUE,wacor_data_dictionary[[#This Row],[Cardiobase Angioplasty]:[Development]])</f>
        <v>Cardiobase RiskScore, Redcap</v>
      </c>
      <c r="S122" s="38" t="s">
        <v>551</v>
      </c>
      <c r="AA122" s="38" t="s">
        <v>580</v>
      </c>
      <c r="AC122" s="43"/>
      <c r="AJ122" s="63">
        <v>1</v>
      </c>
      <c r="AK122" s="63"/>
      <c r="AL122" s="63"/>
      <c r="AM122" s="63" t="str">
        <f>IF(COUNTIF('NCR Indicators'!K:K,"*"&amp;wacor_data_dictionary[[#This Row],[field_id]]&amp;"*")&gt;=1,"Yes","No")</f>
        <v>No</v>
      </c>
      <c r="AN122" s="47" t="s">
        <v>1868</v>
      </c>
      <c r="AO122" s="47" t="s">
        <v>575</v>
      </c>
      <c r="AQ122" s="106"/>
      <c r="AR122" s="63"/>
      <c r="AS122" s="63"/>
      <c r="AT122"/>
      <c r="AU122"/>
    </row>
    <row r="123" spans="1:47" ht="285" x14ac:dyDescent="0.2">
      <c r="A123" s="38" t="s">
        <v>433</v>
      </c>
      <c r="B123" s="43" t="s">
        <v>434</v>
      </c>
      <c r="C123" s="47" t="s">
        <v>1437</v>
      </c>
      <c r="E123" s="47" t="s">
        <v>1869</v>
      </c>
      <c r="F123" s="43" t="s">
        <v>1870</v>
      </c>
      <c r="G123" s="38" t="s">
        <v>1440</v>
      </c>
      <c r="H123" s="43" t="s">
        <v>1846</v>
      </c>
      <c r="I123" s="44">
        <v>-1</v>
      </c>
      <c r="J123" s="44" t="s">
        <v>629</v>
      </c>
      <c r="K123" s="43"/>
      <c r="L123" s="38"/>
      <c r="M123" s="47" t="s">
        <v>1871</v>
      </c>
      <c r="N123" s="43"/>
      <c r="O123" s="38" t="s">
        <v>1848</v>
      </c>
      <c r="Q123" s="43" t="str">
        <f>_xlfn.TEXTJOIN(", ",TRUE,wacor_data_dictionary[[#This Row],[Cardiobase Angioplasty]:[Development]])</f>
        <v>HMDC, Redcap</v>
      </c>
      <c r="T123" s="38" t="s">
        <v>554</v>
      </c>
      <c r="AA123" s="38" t="s">
        <v>580</v>
      </c>
      <c r="AC123" s="43" t="s">
        <v>1446</v>
      </c>
      <c r="AF123" s="121" t="s">
        <v>272</v>
      </c>
      <c r="AH123" s="38" t="s">
        <v>1532</v>
      </c>
      <c r="AJ123" s="63">
        <v>1</v>
      </c>
      <c r="AK123" s="63"/>
      <c r="AL123" s="63"/>
      <c r="AM123" s="63" t="str">
        <f>IF(COUNTIF('NCR Indicators'!K:K,"*"&amp;wacor_data_dictionary[[#This Row],[field_id]]&amp;"*")&gt;=1,"Yes","No")</f>
        <v>No</v>
      </c>
      <c r="AO123" s="63" t="s">
        <v>1535</v>
      </c>
      <c r="AQ123" s="106"/>
      <c r="AR123" s="63"/>
      <c r="AS123" s="63"/>
      <c r="AT123"/>
      <c r="AU123"/>
    </row>
    <row r="124" spans="1:47" ht="171" x14ac:dyDescent="0.2">
      <c r="A124" s="38" t="s">
        <v>435</v>
      </c>
      <c r="B124" s="43" t="s">
        <v>1132</v>
      </c>
      <c r="C124" s="47" t="s">
        <v>1437</v>
      </c>
      <c r="E124" s="47" t="s">
        <v>1872</v>
      </c>
      <c r="F124" s="43" t="s">
        <v>1873</v>
      </c>
      <c r="G124" s="38" t="s">
        <v>1440</v>
      </c>
      <c r="H124" s="47" t="s">
        <v>1778</v>
      </c>
      <c r="I124" s="44" t="s">
        <v>1530</v>
      </c>
      <c r="J124" s="44" t="s">
        <v>637</v>
      </c>
      <c r="K124" s="43"/>
      <c r="L124" s="38"/>
      <c r="M124" s="43" t="s">
        <v>1874</v>
      </c>
      <c r="N124" s="43"/>
      <c r="O124" s="38" t="s">
        <v>1875</v>
      </c>
      <c r="Q124" s="43" t="str">
        <f>_xlfn.TEXTJOIN(", ",TRUE,wacor_data_dictionary[[#This Row],[Cardiobase Angioplasty]:[Development]])</f>
        <v>HMDC, Redcap</v>
      </c>
      <c r="T124" s="38" t="s">
        <v>554</v>
      </c>
      <c r="AA124" s="151" t="s">
        <v>580</v>
      </c>
      <c r="AC124" s="43" t="s">
        <v>1484</v>
      </c>
      <c r="AF124" s="44" t="s">
        <v>272</v>
      </c>
      <c r="AH124" s="38" t="s">
        <v>1532</v>
      </c>
      <c r="AJ124" s="63">
        <v>1</v>
      </c>
      <c r="AK124" s="63"/>
      <c r="AL124" s="63"/>
      <c r="AM124" s="63" t="str">
        <f>IF(COUNTIF('NCR Indicators'!K:K,"*"&amp;wacor_data_dictionary[[#This Row],[field_id]]&amp;"*")&gt;=1,"Yes","No")</f>
        <v>No</v>
      </c>
      <c r="AO124" s="63" t="s">
        <v>1535</v>
      </c>
      <c r="AQ124" s="106"/>
      <c r="AR124" s="63"/>
      <c r="AS124" s="63"/>
      <c r="AT124"/>
      <c r="AU124"/>
    </row>
    <row r="125" spans="1:47" ht="42.75" x14ac:dyDescent="0.2">
      <c r="A125" s="38" t="s">
        <v>437</v>
      </c>
      <c r="B125" s="43" t="s">
        <v>438</v>
      </c>
      <c r="C125" s="47" t="s">
        <v>1437</v>
      </c>
      <c r="E125" s="43" t="s">
        <v>1876</v>
      </c>
      <c r="F125" s="43" t="s">
        <v>1877</v>
      </c>
      <c r="G125" s="38" t="s">
        <v>1440</v>
      </c>
      <c r="H125" s="43" t="s">
        <v>1878</v>
      </c>
      <c r="I125" s="44" t="s">
        <v>1514</v>
      </c>
      <c r="J125" s="44" t="s">
        <v>1514</v>
      </c>
      <c r="K125" s="43"/>
      <c r="L125" s="38"/>
      <c r="M125" s="43" t="s">
        <v>804</v>
      </c>
      <c r="N125" s="43"/>
      <c r="O125" s="38" t="s">
        <v>1514</v>
      </c>
      <c r="Q125" s="43" t="str">
        <f>_xlfn.TEXTJOIN(", ",TRUE,wacor_data_dictionary[[#This Row],[Cardiobase Angioplasty]:[Development]])</f>
        <v>Cardiobase Angioplasty, Redcap</v>
      </c>
      <c r="R125" s="38" t="s">
        <v>549</v>
      </c>
      <c r="AA125" s="38" t="s">
        <v>580</v>
      </c>
      <c r="AC125" s="43"/>
      <c r="AJ125" s="63">
        <v>1</v>
      </c>
      <c r="AK125" s="63"/>
      <c r="AL125" s="63"/>
      <c r="AM125" s="63" t="str">
        <f>IF(COUNTIF('NCR Indicators'!K:K,"*"&amp;wacor_data_dictionary[[#This Row],[field_id]]&amp;"*")&gt;=1,"Yes","No")</f>
        <v>No</v>
      </c>
      <c r="AO125" s="47" t="s">
        <v>576</v>
      </c>
      <c r="AQ125" s="106"/>
      <c r="AR125" s="63"/>
      <c r="AS125" s="63"/>
      <c r="AT125"/>
      <c r="AU125"/>
    </row>
    <row r="126" spans="1:47" ht="57" x14ac:dyDescent="0.2">
      <c r="A126" s="38" t="s">
        <v>439</v>
      </c>
      <c r="B126" s="43" t="s">
        <v>440</v>
      </c>
      <c r="C126" s="47" t="s">
        <v>1437</v>
      </c>
      <c r="E126" s="43" t="s">
        <v>1879</v>
      </c>
      <c r="F126" s="43" t="s">
        <v>1880</v>
      </c>
      <c r="G126" s="38" t="s">
        <v>1440</v>
      </c>
      <c r="H126" s="43" t="s">
        <v>1463</v>
      </c>
      <c r="I126" s="44" t="s">
        <v>1442</v>
      </c>
      <c r="J126" s="44" t="s">
        <v>629</v>
      </c>
      <c r="K126" s="43"/>
      <c r="L126" s="38"/>
      <c r="M126" s="43" t="s">
        <v>791</v>
      </c>
      <c r="N126" s="43"/>
      <c r="O126" s="38" t="s">
        <v>1445</v>
      </c>
      <c r="Q126" s="43" t="str">
        <f>_xlfn.TEXTJOIN(", ",TRUE,wacor_data_dictionary[[#This Row],[Cardiobase Angioplasty]:[Development]])</f>
        <v>Redcap</v>
      </c>
      <c r="AA126" s="38" t="s">
        <v>580</v>
      </c>
      <c r="AC126" s="43"/>
      <c r="AJ126" s="63">
        <v>1</v>
      </c>
      <c r="AK126" s="63"/>
      <c r="AL126" s="63"/>
      <c r="AM126" s="63" t="str">
        <f>IF(COUNTIF('NCR Indicators'!K:K,"*"&amp;wacor_data_dictionary[[#This Row],[field_id]]&amp;"*")&gt;=1,"Yes","No")</f>
        <v>No</v>
      </c>
      <c r="AO126" s="140" t="s">
        <v>575</v>
      </c>
      <c r="AQ126" s="106"/>
      <c r="AR126" s="63"/>
      <c r="AS126" s="63"/>
      <c r="AT126"/>
      <c r="AU126"/>
    </row>
    <row r="127" spans="1:47" ht="85.5" x14ac:dyDescent="0.2">
      <c r="A127" s="38" t="s">
        <v>441</v>
      </c>
      <c r="B127" s="43" t="s">
        <v>442</v>
      </c>
      <c r="C127" s="47" t="s">
        <v>1437</v>
      </c>
      <c r="E127" s="43" t="s">
        <v>1514</v>
      </c>
      <c r="F127" s="43" t="s">
        <v>1881</v>
      </c>
      <c r="G127" s="38" t="s">
        <v>1514</v>
      </c>
      <c r="H127" s="43" t="s">
        <v>1514</v>
      </c>
      <c r="I127" s="44" t="s">
        <v>1514</v>
      </c>
      <c r="J127" s="44" t="s">
        <v>1514</v>
      </c>
      <c r="K127" s="43"/>
      <c r="L127" s="38"/>
      <c r="M127" s="43" t="s">
        <v>1514</v>
      </c>
      <c r="N127" s="43"/>
      <c r="O127" s="38" t="s">
        <v>1445</v>
      </c>
      <c r="Q127" s="43" t="str">
        <f>_xlfn.TEXTJOIN(", ",TRUE,wacor_data_dictionary[[#This Row],[Cardiobase Angioplasty]:[Development]])</f>
        <v/>
      </c>
      <c r="AC127" s="43"/>
      <c r="AJ127" s="63">
        <v>1</v>
      </c>
      <c r="AK127" s="63"/>
      <c r="AL127" s="63"/>
      <c r="AM127" s="63" t="str">
        <f>IF(COUNTIF('NCR Indicators'!K:K,"*"&amp;wacor_data_dictionary[[#This Row],[field_id]]&amp;"*")&gt;=1,"Yes","No")</f>
        <v>No</v>
      </c>
      <c r="AO127" s="63" t="s">
        <v>574</v>
      </c>
      <c r="AQ127" s="106"/>
      <c r="AR127" s="63"/>
      <c r="AS127" s="63"/>
      <c r="AT127"/>
      <c r="AU127"/>
    </row>
    <row r="128" spans="1:47" ht="99.75" x14ac:dyDescent="0.2">
      <c r="A128" s="38" t="s">
        <v>175</v>
      </c>
      <c r="B128" s="43" t="s">
        <v>245</v>
      </c>
      <c r="C128" s="47" t="s">
        <v>1437</v>
      </c>
      <c r="E128" s="47" t="s">
        <v>1882</v>
      </c>
      <c r="F128" s="43" t="s">
        <v>1883</v>
      </c>
      <c r="G128" s="38" t="s">
        <v>1440</v>
      </c>
      <c r="H128" s="43" t="s">
        <v>1846</v>
      </c>
      <c r="I128" s="44" t="s">
        <v>1530</v>
      </c>
      <c r="J128" s="44" t="s">
        <v>629</v>
      </c>
      <c r="K128" s="43"/>
      <c r="L128" s="38"/>
      <c r="M128" s="43" t="s">
        <v>1884</v>
      </c>
      <c r="N128" s="43"/>
      <c r="O128" s="38" t="s">
        <v>1531</v>
      </c>
      <c r="Q128" s="43" t="str">
        <f>_xlfn.TEXTJOIN(", ",TRUE,wacor_data_dictionary[[#This Row],[Cardiobase Angioplasty]:[Development]])</f>
        <v>HMDC, Redcap</v>
      </c>
      <c r="T128" s="38" t="s">
        <v>554</v>
      </c>
      <c r="AA128" s="38" t="s">
        <v>580</v>
      </c>
      <c r="AC128" s="43"/>
      <c r="AF128" s="44" t="s">
        <v>282</v>
      </c>
      <c r="AH128" s="38" t="s">
        <v>1532</v>
      </c>
      <c r="AI128" s="63" t="s">
        <v>1885</v>
      </c>
      <c r="AJ128" s="63">
        <v>1</v>
      </c>
      <c r="AK128" s="63">
        <v>1</v>
      </c>
      <c r="AL128" s="63"/>
      <c r="AM128" s="63" t="str">
        <f>IF(COUNTIF('NCR Indicators'!K:K,"*"&amp;wacor_data_dictionary[[#This Row],[field_id]]&amp;"*")&gt;=1,"Yes","No")</f>
        <v>Yes</v>
      </c>
      <c r="AN128" s="47" t="s">
        <v>1534</v>
      </c>
      <c r="AO128" s="47" t="s">
        <v>1535</v>
      </c>
      <c r="AP128" s="134"/>
      <c r="AQ128" s="106"/>
      <c r="AR128" s="63"/>
      <c r="AS128" s="63"/>
      <c r="AT128"/>
      <c r="AU128"/>
    </row>
    <row r="129" spans="1:47" ht="71.25" x14ac:dyDescent="0.2">
      <c r="A129" s="38" t="s">
        <v>443</v>
      </c>
      <c r="B129" s="43" t="s">
        <v>245</v>
      </c>
      <c r="C129" s="47" t="s">
        <v>1437</v>
      </c>
      <c r="E129" s="43" t="s">
        <v>1514</v>
      </c>
      <c r="F129" s="43" t="s">
        <v>1886</v>
      </c>
      <c r="G129" s="38" t="s">
        <v>1440</v>
      </c>
      <c r="H129" s="43" t="s">
        <v>1529</v>
      </c>
      <c r="I129" s="44" t="s">
        <v>1530</v>
      </c>
      <c r="J129" s="44" t="s">
        <v>629</v>
      </c>
      <c r="K129" s="43"/>
      <c r="L129" s="38"/>
      <c r="M129" s="43" t="s">
        <v>1514</v>
      </c>
      <c r="N129" s="43"/>
      <c r="O129" s="38" t="s">
        <v>1514</v>
      </c>
      <c r="Q129" s="43" t="str">
        <f>_xlfn.TEXTJOIN(", ",TRUE,wacor_data_dictionary[[#This Row],[Cardiobase Angioplasty]:[Development]])</f>
        <v>HMDC, Redcap</v>
      </c>
      <c r="T129" s="38" t="s">
        <v>554</v>
      </c>
      <c r="AA129" s="38" t="s">
        <v>580</v>
      </c>
      <c r="AC129" s="43"/>
      <c r="AF129" s="44" t="s">
        <v>292</v>
      </c>
      <c r="AH129" s="38">
        <f>AH121</f>
        <v>0</v>
      </c>
      <c r="AI129" s="63" t="s">
        <v>1887</v>
      </c>
      <c r="AJ129" s="63">
        <v>1</v>
      </c>
      <c r="AK129" s="63"/>
      <c r="AL129" s="63"/>
      <c r="AM129" s="63" t="str">
        <f>IF(COUNTIF('NCR Indicators'!K:K,"*"&amp;wacor_data_dictionary[[#This Row],[field_id]]&amp;"*")&gt;=1,"Yes","No")</f>
        <v>No</v>
      </c>
      <c r="AN129" s="47" t="s">
        <v>1534</v>
      </c>
      <c r="AO129" s="47" t="s">
        <v>1535</v>
      </c>
      <c r="AQ129" s="106"/>
      <c r="AR129" s="63"/>
      <c r="AS129" s="63"/>
      <c r="AT129"/>
      <c r="AU129"/>
    </row>
    <row r="130" spans="1:47" ht="71.25" x14ac:dyDescent="0.2">
      <c r="A130" s="38" t="s">
        <v>444</v>
      </c>
      <c r="B130" s="43" t="s">
        <v>245</v>
      </c>
      <c r="C130" s="47" t="s">
        <v>1437</v>
      </c>
      <c r="E130" s="43" t="s">
        <v>1514</v>
      </c>
      <c r="F130" s="43" t="s">
        <v>1888</v>
      </c>
      <c r="G130" s="38" t="s">
        <v>1440</v>
      </c>
      <c r="H130" s="43" t="s">
        <v>1529</v>
      </c>
      <c r="I130" s="44" t="s">
        <v>1530</v>
      </c>
      <c r="J130" s="44" t="s">
        <v>629</v>
      </c>
      <c r="K130" s="43"/>
      <c r="L130" s="38"/>
      <c r="M130" s="43" t="s">
        <v>1514</v>
      </c>
      <c r="N130" s="43"/>
      <c r="O130" s="38" t="s">
        <v>1514</v>
      </c>
      <c r="Q130" s="43" t="str">
        <f>_xlfn.TEXTJOIN(", ",TRUE,wacor_data_dictionary[[#This Row],[Cardiobase Angioplasty]:[Development]])</f>
        <v>HMDC</v>
      </c>
      <c r="T130" s="38" t="s">
        <v>554</v>
      </c>
      <c r="AC130" s="43"/>
      <c r="AF130" s="44" t="s">
        <v>292</v>
      </c>
      <c r="AH130" s="38">
        <f>AH122</f>
        <v>0</v>
      </c>
      <c r="AI130" s="63" t="s">
        <v>1889</v>
      </c>
      <c r="AJ130" s="63">
        <v>1</v>
      </c>
      <c r="AK130" s="63"/>
      <c r="AL130" s="63"/>
      <c r="AM130" s="63" t="str">
        <f>IF(COUNTIF('NCR Indicators'!K:K,"*"&amp;wacor_data_dictionary[[#This Row],[field_id]]&amp;"*")&gt;=1,"Yes","No")</f>
        <v>No</v>
      </c>
      <c r="AN130" s="47" t="s">
        <v>1534</v>
      </c>
      <c r="AO130" s="47" t="s">
        <v>1535</v>
      </c>
      <c r="AQ130" s="106"/>
      <c r="AR130" s="63"/>
      <c r="AS130" s="63"/>
      <c r="AT130"/>
      <c r="AU130"/>
    </row>
    <row r="131" spans="1:47" ht="71.25" x14ac:dyDescent="0.2">
      <c r="A131" s="38" t="s">
        <v>445</v>
      </c>
      <c r="B131" s="43" t="s">
        <v>245</v>
      </c>
      <c r="C131" s="47" t="s">
        <v>1437</v>
      </c>
      <c r="E131" s="43" t="s">
        <v>1514</v>
      </c>
      <c r="F131" s="43" t="s">
        <v>1890</v>
      </c>
      <c r="G131" s="38" t="s">
        <v>1440</v>
      </c>
      <c r="H131" s="43" t="s">
        <v>1529</v>
      </c>
      <c r="I131" s="44" t="s">
        <v>1530</v>
      </c>
      <c r="J131" s="44" t="s">
        <v>629</v>
      </c>
      <c r="K131" s="43"/>
      <c r="L131" s="38"/>
      <c r="M131" s="43" t="s">
        <v>1514</v>
      </c>
      <c r="N131" s="43"/>
      <c r="O131" s="38" t="s">
        <v>1514</v>
      </c>
      <c r="Q131" s="43" t="str">
        <f>_xlfn.TEXTJOIN(", ",TRUE,wacor_data_dictionary[[#This Row],[Cardiobase Angioplasty]:[Development]])</f>
        <v>HMDC</v>
      </c>
      <c r="T131" s="38" t="s">
        <v>554</v>
      </c>
      <c r="AC131" s="43"/>
      <c r="AF131" s="44" t="str">
        <f>AF123</f>
        <v>2c</v>
      </c>
      <c r="AH131" s="38" t="str">
        <f>AH123</f>
        <v>PL</v>
      </c>
      <c r="AI131" s="63" t="s">
        <v>1891</v>
      </c>
      <c r="AJ131" s="63">
        <v>1</v>
      </c>
      <c r="AK131" s="63"/>
      <c r="AL131" s="63"/>
      <c r="AM131" s="63" t="str">
        <f>IF(COUNTIF('NCR Indicators'!K:K,"*"&amp;wacor_data_dictionary[[#This Row],[field_id]]&amp;"*")&gt;=1,"Yes","No")</f>
        <v>No</v>
      </c>
      <c r="AN131" s="47" t="s">
        <v>1534</v>
      </c>
      <c r="AO131" s="47" t="s">
        <v>1535</v>
      </c>
      <c r="AQ131" s="106"/>
      <c r="AR131" s="63"/>
      <c r="AS131" s="63"/>
      <c r="AT131"/>
      <c r="AU131"/>
    </row>
    <row r="132" spans="1:47" ht="71.25" x14ac:dyDescent="0.2">
      <c r="A132" s="38" t="s">
        <v>446</v>
      </c>
      <c r="B132" s="43" t="s">
        <v>245</v>
      </c>
      <c r="C132" s="47" t="s">
        <v>1437</v>
      </c>
      <c r="E132" s="43" t="s">
        <v>1514</v>
      </c>
      <c r="F132" s="43" t="s">
        <v>1892</v>
      </c>
      <c r="G132" s="38" t="s">
        <v>1440</v>
      </c>
      <c r="H132" s="43" t="s">
        <v>1529</v>
      </c>
      <c r="I132" s="44" t="s">
        <v>1530</v>
      </c>
      <c r="J132" s="44" t="s">
        <v>629</v>
      </c>
      <c r="K132" s="43"/>
      <c r="L132" s="38"/>
      <c r="M132" s="43" t="s">
        <v>1514</v>
      </c>
      <c r="N132" s="43"/>
      <c r="O132" s="38" t="s">
        <v>1514</v>
      </c>
      <c r="Q132" s="43" t="str">
        <f>_xlfn.TEXTJOIN(", ",TRUE,wacor_data_dictionary[[#This Row],[Cardiobase Angioplasty]:[Development]])</f>
        <v>HMDC</v>
      </c>
      <c r="T132" s="38" t="s">
        <v>554</v>
      </c>
      <c r="AC132" s="43"/>
      <c r="AF132" s="44" t="str">
        <f>AF124</f>
        <v>2c</v>
      </c>
      <c r="AH132" s="38" t="str">
        <f>AH124</f>
        <v>PL</v>
      </c>
      <c r="AI132" s="63" t="s">
        <v>1893</v>
      </c>
      <c r="AJ132" s="63">
        <v>1</v>
      </c>
      <c r="AK132" s="63"/>
      <c r="AL132" s="63"/>
      <c r="AM132" s="63" t="str">
        <f>IF(COUNTIF('NCR Indicators'!K:K,"*"&amp;wacor_data_dictionary[[#This Row],[field_id]]&amp;"*")&gt;=1,"Yes","No")</f>
        <v>No</v>
      </c>
      <c r="AN132" s="47" t="s">
        <v>1534</v>
      </c>
      <c r="AO132" s="47" t="s">
        <v>1535</v>
      </c>
      <c r="AQ132" s="106"/>
      <c r="AR132" s="63"/>
      <c r="AS132" s="63"/>
      <c r="AT132"/>
      <c r="AU132"/>
    </row>
    <row r="133" spans="1:47" ht="71.25" x14ac:dyDescent="0.2">
      <c r="A133" s="38" t="s">
        <v>447</v>
      </c>
      <c r="B133" s="43" t="s">
        <v>245</v>
      </c>
      <c r="C133" s="47" t="s">
        <v>1437</v>
      </c>
      <c r="E133" s="43" t="s">
        <v>1514</v>
      </c>
      <c r="F133" s="43" t="s">
        <v>1894</v>
      </c>
      <c r="G133" s="38" t="s">
        <v>1440</v>
      </c>
      <c r="H133" s="43" t="s">
        <v>1529</v>
      </c>
      <c r="I133" s="44" t="s">
        <v>1530</v>
      </c>
      <c r="J133" s="44" t="s">
        <v>629</v>
      </c>
      <c r="K133" s="43"/>
      <c r="L133" s="38"/>
      <c r="M133" s="43" t="s">
        <v>1514</v>
      </c>
      <c r="N133" s="43"/>
      <c r="O133" s="38" t="s">
        <v>1514</v>
      </c>
      <c r="Q133" s="43" t="str">
        <f>_xlfn.TEXTJOIN(", ",TRUE,wacor_data_dictionary[[#This Row],[Cardiobase Angioplasty]:[Development]])</f>
        <v>HMDC</v>
      </c>
      <c r="T133" s="38" t="s">
        <v>554</v>
      </c>
      <c r="AC133" s="43"/>
      <c r="AF133" s="44">
        <f>AF125</f>
        <v>0</v>
      </c>
      <c r="AH133" s="38">
        <f>AH125</f>
        <v>0</v>
      </c>
      <c r="AI133" s="63" t="s">
        <v>1895</v>
      </c>
      <c r="AJ133" s="63">
        <v>1</v>
      </c>
      <c r="AK133" s="63"/>
      <c r="AL133" s="63"/>
      <c r="AM133" s="63" t="str">
        <f>IF(COUNTIF('NCR Indicators'!K:K,"*"&amp;wacor_data_dictionary[[#This Row],[field_id]]&amp;"*")&gt;=1,"Yes","No")</f>
        <v>No</v>
      </c>
      <c r="AN133" s="47" t="s">
        <v>1534</v>
      </c>
      <c r="AO133" s="47" t="s">
        <v>1535</v>
      </c>
      <c r="AQ133" s="106"/>
      <c r="AR133" s="63"/>
      <c r="AS133" s="63"/>
      <c r="AT133"/>
      <c r="AU133"/>
    </row>
    <row r="134" spans="1:47" ht="409.5" x14ac:dyDescent="0.2">
      <c r="A134" s="38" t="s">
        <v>448</v>
      </c>
      <c r="B134" s="43" t="s">
        <v>449</v>
      </c>
      <c r="C134" s="47" t="s">
        <v>1437</v>
      </c>
      <c r="E134" s="47" t="s">
        <v>1896</v>
      </c>
      <c r="F134" s="43" t="s">
        <v>1897</v>
      </c>
      <c r="G134" s="38" t="s">
        <v>1514</v>
      </c>
      <c r="H134" s="43" t="s">
        <v>1463</v>
      </c>
      <c r="I134" s="44" t="s">
        <v>1442</v>
      </c>
      <c r="J134" s="44" t="s">
        <v>629</v>
      </c>
      <c r="K134" s="43"/>
      <c r="L134" s="47" t="s">
        <v>1660</v>
      </c>
      <c r="M134" s="43" t="s">
        <v>1898</v>
      </c>
      <c r="N134" s="43"/>
      <c r="O134" s="38" t="s">
        <v>1445</v>
      </c>
      <c r="Q134" s="43" t="str">
        <f>_xlfn.TEXTJOIN(", ",TRUE,wacor_data_dictionary[[#This Row],[Cardiobase Angioplasty]:[Development]])</f>
        <v>Cardiobase Angioplasty, HMDC, Redcap</v>
      </c>
      <c r="R134" s="38" t="s">
        <v>549</v>
      </c>
      <c r="T134" s="38" t="s">
        <v>554</v>
      </c>
      <c r="AA134" s="38" t="s">
        <v>580</v>
      </c>
      <c r="AC134" s="43" t="s">
        <v>1446</v>
      </c>
      <c r="AD134" s="58">
        <v>344424</v>
      </c>
      <c r="AF134" s="44" t="s">
        <v>282</v>
      </c>
      <c r="AH134" s="38" t="s">
        <v>1532</v>
      </c>
      <c r="AI134" s="47" t="s">
        <v>1899</v>
      </c>
      <c r="AJ134" s="63">
        <v>1</v>
      </c>
      <c r="AK134" s="63"/>
      <c r="AL134" s="47" t="s">
        <v>1665</v>
      </c>
      <c r="AM134" s="63" t="str">
        <f>IF(COUNTIF('NCR Indicators'!K:K,"*"&amp;wacor_data_dictionary[[#This Row],[field_id]]&amp;"*")&gt;=1,"Yes","No")</f>
        <v>No</v>
      </c>
      <c r="AN134" s="47" t="s">
        <v>1900</v>
      </c>
      <c r="AO134" s="141" t="s">
        <v>575</v>
      </c>
      <c r="AP134" s="106" t="s">
        <v>1437</v>
      </c>
      <c r="AQ134" s="106"/>
      <c r="AR134" s="63"/>
      <c r="AS134" s="63"/>
      <c r="AT134"/>
      <c r="AU134"/>
    </row>
    <row r="135" spans="1:47" ht="409.5" x14ac:dyDescent="0.2">
      <c r="A135" s="38" t="s">
        <v>123</v>
      </c>
      <c r="B135" s="43" t="s">
        <v>450</v>
      </c>
      <c r="C135" s="47" t="s">
        <v>1437</v>
      </c>
      <c r="E135" s="47" t="s">
        <v>1901</v>
      </c>
      <c r="F135" s="47" t="s">
        <v>1902</v>
      </c>
      <c r="G135" s="38" t="s">
        <v>1440</v>
      </c>
      <c r="H135" s="43" t="s">
        <v>1903</v>
      </c>
      <c r="I135" s="44" t="s">
        <v>629</v>
      </c>
      <c r="J135" s="44" t="s">
        <v>687</v>
      </c>
      <c r="K135" s="43"/>
      <c r="L135" s="38"/>
      <c r="M135" s="43" t="s">
        <v>871</v>
      </c>
      <c r="N135" s="43" t="s">
        <v>1904</v>
      </c>
      <c r="O135" s="38" t="s">
        <v>1445</v>
      </c>
      <c r="Q135" s="43" t="str">
        <f>_xlfn.TEXTJOIN(", ",TRUE,wacor_data_dictionary[[#This Row],[Cardiobase Angioplasty]:[Development]])</f>
        <v>Cardiobase Angioplasty, Redcap</v>
      </c>
      <c r="R135" s="38" t="s">
        <v>549</v>
      </c>
      <c r="AA135" s="38" t="s">
        <v>580</v>
      </c>
      <c r="AC135" s="43"/>
      <c r="AF135" s="44">
        <v>3</v>
      </c>
      <c r="AH135" s="38" t="s">
        <v>1447</v>
      </c>
      <c r="AJ135" s="63">
        <v>1</v>
      </c>
      <c r="AK135" s="63"/>
      <c r="AL135" s="63"/>
      <c r="AM135" s="63" t="s">
        <v>1437</v>
      </c>
      <c r="AN135" s="63" t="s">
        <v>1905</v>
      </c>
      <c r="AO135" s="63" t="s">
        <v>576</v>
      </c>
      <c r="AQ135" s="106"/>
      <c r="AR135" s="63"/>
      <c r="AS135" s="63"/>
      <c r="AT135"/>
      <c r="AU135"/>
    </row>
    <row r="136" spans="1:47" ht="99.75" x14ac:dyDescent="0.2">
      <c r="A136" s="38" t="s">
        <v>177</v>
      </c>
      <c r="B136" s="43" t="s">
        <v>451</v>
      </c>
      <c r="C136" s="47" t="s">
        <v>1437</v>
      </c>
      <c r="E136" s="43" t="s">
        <v>1906</v>
      </c>
      <c r="F136" s="43" t="s">
        <v>1907</v>
      </c>
      <c r="G136" s="38" t="s">
        <v>1440</v>
      </c>
      <c r="H136" s="43" t="s">
        <v>1846</v>
      </c>
      <c r="I136" s="44" t="s">
        <v>1530</v>
      </c>
      <c r="J136" s="44" t="s">
        <v>629</v>
      </c>
      <c r="K136" s="43"/>
      <c r="L136" s="38"/>
      <c r="M136" s="43" t="s">
        <v>1908</v>
      </c>
      <c r="N136" s="43"/>
      <c r="O136" s="38" t="s">
        <v>1531</v>
      </c>
      <c r="Q136" s="43" t="str">
        <f>_xlfn.TEXTJOIN(", ",TRUE,wacor_data_dictionary[[#This Row],[Cardiobase Angioplasty]:[Development]])</f>
        <v>HMDC, Redcap</v>
      </c>
      <c r="T136" s="38" t="s">
        <v>554</v>
      </c>
      <c r="AA136" s="38" t="s">
        <v>580</v>
      </c>
      <c r="AC136" s="43"/>
      <c r="AF136" s="44" t="s">
        <v>282</v>
      </c>
      <c r="AH136" s="38" t="s">
        <v>1532</v>
      </c>
      <c r="AI136" s="63" t="s">
        <v>1909</v>
      </c>
      <c r="AJ136" s="63">
        <v>1</v>
      </c>
      <c r="AK136" s="63">
        <v>1</v>
      </c>
      <c r="AL136" s="63"/>
      <c r="AM136" s="63" t="s">
        <v>1449</v>
      </c>
      <c r="AN136" s="47" t="s">
        <v>1534</v>
      </c>
      <c r="AO136" s="47" t="s">
        <v>1535</v>
      </c>
      <c r="AP136" s="134"/>
      <c r="AQ136" s="106"/>
      <c r="AR136" s="63"/>
      <c r="AS136" s="63"/>
      <c r="AT136"/>
      <c r="AU136"/>
    </row>
    <row r="137" spans="1:47" ht="71.25" x14ac:dyDescent="0.2">
      <c r="A137" s="38" t="s">
        <v>452</v>
      </c>
      <c r="B137" s="43" t="s">
        <v>451</v>
      </c>
      <c r="C137" s="47" t="s">
        <v>1437</v>
      </c>
      <c r="E137" s="43" t="s">
        <v>1514</v>
      </c>
      <c r="F137" s="43" t="s">
        <v>1910</v>
      </c>
      <c r="G137" s="38" t="s">
        <v>1440</v>
      </c>
      <c r="H137" s="43" t="s">
        <v>1529</v>
      </c>
      <c r="I137" s="44" t="s">
        <v>1530</v>
      </c>
      <c r="J137" s="44" t="s">
        <v>629</v>
      </c>
      <c r="K137" s="43"/>
      <c r="L137" s="38"/>
      <c r="M137" s="43" t="s">
        <v>1514</v>
      </c>
      <c r="N137" s="43"/>
      <c r="O137" s="38" t="s">
        <v>1514</v>
      </c>
      <c r="Q137" s="43" t="str">
        <f>_xlfn.TEXTJOIN(", ",TRUE,wacor_data_dictionary[[#This Row],[Cardiobase Angioplasty]:[Development]])</f>
        <v>HMDC, Redcap</v>
      </c>
      <c r="T137" s="38" t="s">
        <v>554</v>
      </c>
      <c r="AA137" s="38" t="s">
        <v>580</v>
      </c>
      <c r="AC137" s="43"/>
      <c r="AF137" s="44" t="s">
        <v>282</v>
      </c>
      <c r="AH137" s="38">
        <f>AH129</f>
        <v>0</v>
      </c>
      <c r="AI137" s="63" t="s">
        <v>1911</v>
      </c>
      <c r="AJ137" s="63">
        <v>1</v>
      </c>
      <c r="AK137" s="63">
        <v>1</v>
      </c>
      <c r="AL137" s="63"/>
      <c r="AM137" s="63" t="str">
        <f>IF(COUNTIF('NCR Indicators'!K:K,"*"&amp;wacor_data_dictionary[[#This Row],[field_id]]&amp;"*")&gt;=1,"Yes","No")</f>
        <v>No</v>
      </c>
      <c r="AN137" s="47" t="s">
        <v>1534</v>
      </c>
      <c r="AO137" s="47" t="s">
        <v>1535</v>
      </c>
      <c r="AQ137" s="106"/>
      <c r="AR137" s="63"/>
      <c r="AS137" s="63"/>
      <c r="AT137"/>
      <c r="AU137"/>
    </row>
    <row r="138" spans="1:47" ht="71.25" x14ac:dyDescent="0.2">
      <c r="A138" s="38" t="s">
        <v>453</v>
      </c>
      <c r="B138" s="43" t="s">
        <v>451</v>
      </c>
      <c r="C138" s="47" t="s">
        <v>1437</v>
      </c>
      <c r="E138" s="43" t="s">
        <v>1514</v>
      </c>
      <c r="F138" s="43" t="s">
        <v>1912</v>
      </c>
      <c r="G138" s="38" t="s">
        <v>1440</v>
      </c>
      <c r="H138" s="43" t="s">
        <v>1529</v>
      </c>
      <c r="I138" s="44" t="s">
        <v>1530</v>
      </c>
      <c r="J138" s="44" t="s">
        <v>629</v>
      </c>
      <c r="K138" s="43"/>
      <c r="L138" s="38"/>
      <c r="M138" s="43" t="s">
        <v>1514</v>
      </c>
      <c r="N138" s="43"/>
      <c r="O138" s="38" t="s">
        <v>1514</v>
      </c>
      <c r="Q138" s="43" t="str">
        <f>_xlfn.TEXTJOIN(", ",TRUE,wacor_data_dictionary[[#This Row],[Cardiobase Angioplasty]:[Development]])</f>
        <v>HMDC</v>
      </c>
      <c r="T138" s="38" t="s">
        <v>554</v>
      </c>
      <c r="AC138" s="43"/>
      <c r="AF138" s="44" t="s">
        <v>282</v>
      </c>
      <c r="AH138" s="38">
        <f>AH130</f>
        <v>0</v>
      </c>
      <c r="AI138" s="63" t="s">
        <v>1913</v>
      </c>
      <c r="AJ138" s="63">
        <v>1</v>
      </c>
      <c r="AK138" s="63">
        <v>1</v>
      </c>
      <c r="AL138" s="63"/>
      <c r="AM138" s="63" t="str">
        <f>IF(COUNTIF('NCR Indicators'!K:K,"*"&amp;wacor_data_dictionary[[#This Row],[field_id]]&amp;"*")&gt;=1,"Yes","No")</f>
        <v>No</v>
      </c>
      <c r="AN138" s="47" t="s">
        <v>1534</v>
      </c>
      <c r="AO138" s="47" t="s">
        <v>1535</v>
      </c>
      <c r="AQ138" s="106"/>
      <c r="AR138" s="63"/>
      <c r="AS138" s="63"/>
      <c r="AT138"/>
      <c r="AU138"/>
    </row>
    <row r="139" spans="1:47" ht="71.25" x14ac:dyDescent="0.2">
      <c r="A139" s="38" t="s">
        <v>454</v>
      </c>
      <c r="B139" s="43" t="s">
        <v>451</v>
      </c>
      <c r="C139" s="47" t="s">
        <v>1437</v>
      </c>
      <c r="E139" s="43" t="s">
        <v>1514</v>
      </c>
      <c r="F139" s="43" t="s">
        <v>1914</v>
      </c>
      <c r="G139" s="38" t="s">
        <v>1440</v>
      </c>
      <c r="H139" s="43" t="s">
        <v>1529</v>
      </c>
      <c r="I139" s="44" t="s">
        <v>1530</v>
      </c>
      <c r="J139" s="44" t="s">
        <v>629</v>
      </c>
      <c r="K139" s="43"/>
      <c r="L139" s="38"/>
      <c r="N139" s="43"/>
      <c r="O139" s="38" t="s">
        <v>1514</v>
      </c>
      <c r="Q139" s="43" t="str">
        <f>_xlfn.TEXTJOIN(", ",TRUE,wacor_data_dictionary[[#This Row],[Cardiobase Angioplasty]:[Development]])</f>
        <v>HMDC</v>
      </c>
      <c r="T139" s="38" t="s">
        <v>554</v>
      </c>
      <c r="AC139" s="43"/>
      <c r="AF139" s="44" t="str">
        <f>AF131</f>
        <v>2c</v>
      </c>
      <c r="AH139" s="38" t="str">
        <f>AH131</f>
        <v>PL</v>
      </c>
      <c r="AI139" s="63" t="s">
        <v>1915</v>
      </c>
      <c r="AJ139" s="63">
        <v>1</v>
      </c>
      <c r="AK139" s="63">
        <v>1</v>
      </c>
      <c r="AL139" s="63"/>
      <c r="AM139" s="63" t="str">
        <f>IF(COUNTIF('NCR Indicators'!K:K,"*"&amp;wacor_data_dictionary[[#This Row],[field_id]]&amp;"*")&gt;=1,"Yes","No")</f>
        <v>No</v>
      </c>
      <c r="AN139" s="47" t="s">
        <v>1534</v>
      </c>
      <c r="AO139" s="47" t="s">
        <v>1535</v>
      </c>
      <c r="AQ139" s="106"/>
      <c r="AR139" s="63"/>
      <c r="AS139" s="63"/>
      <c r="AT139"/>
      <c r="AU139"/>
    </row>
    <row r="140" spans="1:47" ht="71.25" x14ac:dyDescent="0.2">
      <c r="A140" s="38" t="s">
        <v>455</v>
      </c>
      <c r="B140" s="43" t="s">
        <v>451</v>
      </c>
      <c r="C140" s="47" t="s">
        <v>1437</v>
      </c>
      <c r="E140" s="43" t="s">
        <v>1514</v>
      </c>
      <c r="F140" s="43" t="s">
        <v>1916</v>
      </c>
      <c r="G140" s="38" t="s">
        <v>1440</v>
      </c>
      <c r="H140" s="43" t="s">
        <v>1529</v>
      </c>
      <c r="I140" s="44" t="s">
        <v>1530</v>
      </c>
      <c r="J140" s="44" t="s">
        <v>629</v>
      </c>
      <c r="K140" s="43"/>
      <c r="L140" s="38"/>
      <c r="M140" s="43" t="s">
        <v>1514</v>
      </c>
      <c r="N140" s="43"/>
      <c r="O140" s="38" t="s">
        <v>1514</v>
      </c>
      <c r="Q140" s="43" t="str">
        <f>_xlfn.TEXTJOIN(", ",TRUE,wacor_data_dictionary[[#This Row],[Cardiobase Angioplasty]:[Development]])</f>
        <v>HMDC</v>
      </c>
      <c r="T140" s="38" t="s">
        <v>554</v>
      </c>
      <c r="AC140" s="43"/>
      <c r="AF140" s="44" t="str">
        <f>AF132</f>
        <v>2c</v>
      </c>
      <c r="AH140" s="38" t="str">
        <f>AH132</f>
        <v>PL</v>
      </c>
      <c r="AI140" s="63" t="s">
        <v>1917</v>
      </c>
      <c r="AJ140" s="63">
        <v>1</v>
      </c>
      <c r="AK140" s="63">
        <v>1</v>
      </c>
      <c r="AL140" s="63"/>
      <c r="AM140" s="63" t="str">
        <f>IF(COUNTIF('NCR Indicators'!K:K,"*"&amp;wacor_data_dictionary[[#This Row],[field_id]]&amp;"*")&gt;=1,"Yes","No")</f>
        <v>No</v>
      </c>
      <c r="AN140" s="47" t="s">
        <v>1534</v>
      </c>
      <c r="AO140" s="47" t="s">
        <v>1535</v>
      </c>
      <c r="AQ140" s="106"/>
      <c r="AR140" s="63"/>
      <c r="AS140" s="63"/>
      <c r="AT140"/>
      <c r="AU140"/>
    </row>
    <row r="141" spans="1:47" ht="71.25" x14ac:dyDescent="0.2">
      <c r="A141" s="38" t="s">
        <v>456</v>
      </c>
      <c r="B141" s="43" t="s">
        <v>451</v>
      </c>
      <c r="C141" s="47" t="s">
        <v>1437</v>
      </c>
      <c r="E141" s="43" t="s">
        <v>1514</v>
      </c>
      <c r="F141" s="43" t="s">
        <v>1918</v>
      </c>
      <c r="G141" s="38" t="s">
        <v>1440</v>
      </c>
      <c r="H141" s="43" t="s">
        <v>1529</v>
      </c>
      <c r="I141" s="44" t="s">
        <v>1530</v>
      </c>
      <c r="J141" s="44" t="s">
        <v>629</v>
      </c>
      <c r="K141" s="43"/>
      <c r="L141" s="38"/>
      <c r="M141" s="43" t="s">
        <v>1514</v>
      </c>
      <c r="N141" s="43"/>
      <c r="O141" s="38" t="s">
        <v>1514</v>
      </c>
      <c r="Q141" s="43" t="str">
        <f>_xlfn.TEXTJOIN(", ",TRUE,wacor_data_dictionary[[#This Row],[Cardiobase Angioplasty]:[Development]])</f>
        <v>HMDC</v>
      </c>
      <c r="T141" s="38" t="s">
        <v>554</v>
      </c>
      <c r="AC141" s="43"/>
      <c r="AF141" s="44">
        <f>AF133</f>
        <v>0</v>
      </c>
      <c r="AH141" s="38">
        <f>AH133</f>
        <v>0</v>
      </c>
      <c r="AI141" s="63" t="s">
        <v>1919</v>
      </c>
      <c r="AJ141" s="63">
        <v>1</v>
      </c>
      <c r="AK141" s="63">
        <v>1</v>
      </c>
      <c r="AL141" s="63"/>
      <c r="AM141" s="63" t="str">
        <f>IF(COUNTIF('NCR Indicators'!K:K,"*"&amp;wacor_data_dictionary[[#This Row],[field_id]]&amp;"*")&gt;=1,"Yes","No")</f>
        <v>No</v>
      </c>
      <c r="AN141" s="47" t="s">
        <v>1534</v>
      </c>
      <c r="AO141" s="47" t="s">
        <v>1535</v>
      </c>
      <c r="AQ141" s="106"/>
      <c r="AR141" s="63"/>
      <c r="AS141" s="63"/>
      <c r="AT141"/>
      <c r="AU141"/>
    </row>
    <row r="142" spans="1:47" ht="42.75" x14ac:dyDescent="0.2">
      <c r="A142" s="63" t="s">
        <v>457</v>
      </c>
      <c r="B142" s="47" t="s">
        <v>458</v>
      </c>
      <c r="C142" s="63" t="s">
        <v>1437</v>
      </c>
      <c r="D142" s="47" t="s">
        <v>1920</v>
      </c>
      <c r="E142" s="47"/>
      <c r="F142" s="47"/>
      <c r="G142" s="63" t="s">
        <v>665</v>
      </c>
      <c r="H142" s="47" t="s">
        <v>1921</v>
      </c>
      <c r="I142" s="121">
        <v>0</v>
      </c>
      <c r="J142" s="121">
        <v>9999</v>
      </c>
      <c r="K142" s="47"/>
      <c r="L142" s="63"/>
      <c r="M142" s="47"/>
      <c r="N142" s="47"/>
      <c r="O142" s="47" t="s">
        <v>1922</v>
      </c>
      <c r="P142" s="47" t="s">
        <v>1923</v>
      </c>
      <c r="Q142" s="47" t="str">
        <f>_xlfn.TEXTJOIN(", ",TRUE,wacor_data_dictionary[[#This Row],[Cardiobase Angioplasty]:[Development]])</f>
        <v>Redcap</v>
      </c>
      <c r="R142" s="63"/>
      <c r="S142" s="63"/>
      <c r="T142" s="63"/>
      <c r="U142" s="63"/>
      <c r="V142" s="63"/>
      <c r="W142" s="63"/>
      <c r="X142" s="63"/>
      <c r="Y142" s="63"/>
      <c r="Z142" s="63"/>
      <c r="AA142" s="63" t="s">
        <v>580</v>
      </c>
      <c r="AB142" s="63"/>
      <c r="AC142" s="47"/>
      <c r="AD142" s="63"/>
      <c r="AE142" s="63"/>
      <c r="AF142" s="121"/>
      <c r="AG142" s="63"/>
      <c r="AH142" s="63"/>
      <c r="AI142" s="63"/>
      <c r="AJ142" s="63">
        <v>1</v>
      </c>
      <c r="AK142" s="63"/>
      <c r="AL142" s="63"/>
      <c r="AM142" s="63" t="str">
        <f>IF(COUNTIF('NCR Indicators'!K:K,"*"&amp;wacor_data_dictionary[[#This Row],[field_id]]&amp;"*")&gt;=1,"Yes","No")</f>
        <v>No</v>
      </c>
      <c r="AO142" s="140" t="s">
        <v>575</v>
      </c>
      <c r="AQ142" s="106"/>
      <c r="AR142" s="63"/>
      <c r="AS142" s="63"/>
      <c r="AT142"/>
      <c r="AU142"/>
    </row>
    <row r="143" spans="1:47" ht="128.25" x14ac:dyDescent="0.2">
      <c r="A143" s="38" t="s">
        <v>459</v>
      </c>
      <c r="B143" s="43" t="s">
        <v>460</v>
      </c>
      <c r="C143" s="47" t="s">
        <v>1437</v>
      </c>
      <c r="E143" s="47" t="s">
        <v>1924</v>
      </c>
      <c r="F143" s="47" t="s">
        <v>1925</v>
      </c>
      <c r="G143" s="38" t="s">
        <v>665</v>
      </c>
      <c r="H143" s="43" t="s">
        <v>758</v>
      </c>
      <c r="I143" s="44" t="s">
        <v>728</v>
      </c>
      <c r="J143" s="44" t="s">
        <v>1926</v>
      </c>
      <c r="K143" s="43"/>
      <c r="L143" s="47" t="s">
        <v>1660</v>
      </c>
      <c r="M143" s="43" t="s">
        <v>759</v>
      </c>
      <c r="N143" s="43"/>
      <c r="O143" s="38" t="s">
        <v>1927</v>
      </c>
      <c r="Q143" s="43" t="str">
        <f>_xlfn.TEXTJOIN(", ",TRUE,wacor_data_dictionary[[#This Row],[Cardiobase Angioplasty]:[Development]])</f>
        <v>Cardiobase RiskScore, Redcap</v>
      </c>
      <c r="R143" s="63"/>
      <c r="S143" s="63" t="s">
        <v>551</v>
      </c>
      <c r="T143" s="63"/>
      <c r="U143" s="63"/>
      <c r="V143" s="63"/>
      <c r="W143" s="63"/>
      <c r="X143" s="63"/>
      <c r="Y143" s="63"/>
      <c r="Z143" s="63"/>
      <c r="AA143" s="63" t="s">
        <v>580</v>
      </c>
      <c r="AB143" s="63"/>
      <c r="AC143" s="43"/>
      <c r="AJ143" s="63">
        <v>1</v>
      </c>
      <c r="AK143" s="63"/>
      <c r="AL143" s="63"/>
      <c r="AM143" s="63" t="str">
        <f>IF(COUNTIF('NCR Indicators'!K:K,"*"&amp;wacor_data_dictionary[[#This Row],[field_id]]&amp;"*")&gt;=1,"Yes","No")</f>
        <v>No</v>
      </c>
      <c r="AN143" s="47" t="s">
        <v>1928</v>
      </c>
      <c r="AO143" s="47" t="s">
        <v>575</v>
      </c>
      <c r="AQ143" s="106"/>
      <c r="AR143" s="63"/>
      <c r="AS143" s="63"/>
      <c r="AT143"/>
      <c r="AU143"/>
    </row>
    <row r="144" spans="1:47" ht="71.25" x14ac:dyDescent="0.2">
      <c r="A144" s="38" t="s">
        <v>461</v>
      </c>
      <c r="B144" s="43" t="s">
        <v>462</v>
      </c>
      <c r="C144" s="47" t="s">
        <v>1437</v>
      </c>
      <c r="E144" s="43" t="s">
        <v>1929</v>
      </c>
      <c r="F144" s="43" t="s">
        <v>1439</v>
      </c>
      <c r="G144" s="38" t="s">
        <v>1440</v>
      </c>
      <c r="H144" s="43" t="s">
        <v>877</v>
      </c>
      <c r="I144" s="44" t="s">
        <v>629</v>
      </c>
      <c r="J144" s="44" t="s">
        <v>642</v>
      </c>
      <c r="K144" s="43"/>
      <c r="L144" s="38"/>
      <c r="M144" s="43" t="s">
        <v>878</v>
      </c>
      <c r="N144" s="43"/>
      <c r="O144" s="38" t="s">
        <v>1445</v>
      </c>
      <c r="Q144" s="43" t="str">
        <f>_xlfn.TEXTJOIN(", ",TRUE,wacor_data_dictionary[[#This Row],[Cardiobase Angioplasty]:[Development]])</f>
        <v>Cardiobase Angioplasty, Redcap</v>
      </c>
      <c r="R144" s="38" t="s">
        <v>549</v>
      </c>
      <c r="AA144" s="38" t="s">
        <v>580</v>
      </c>
      <c r="AC144" s="43" t="s">
        <v>1446</v>
      </c>
      <c r="AF144" s="44">
        <v>1</v>
      </c>
      <c r="AG144" s="40">
        <v>44764</v>
      </c>
      <c r="AJ144" s="63">
        <v>1</v>
      </c>
      <c r="AK144" s="63"/>
      <c r="AL144" s="63"/>
      <c r="AM144" s="63" t="str">
        <f>IF(COUNTIF('NCR Indicators'!K:K,"*"&amp;wacor_data_dictionary[[#This Row],[field_id]]&amp;"*")&gt;=1,"Yes","No")</f>
        <v>No</v>
      </c>
      <c r="AO144" s="63" t="s">
        <v>576</v>
      </c>
      <c r="AQ144" s="106"/>
      <c r="AR144" s="63"/>
      <c r="AS144" s="63"/>
      <c r="AT144"/>
      <c r="AU144"/>
    </row>
    <row r="145" spans="1:47" ht="99.75" x14ac:dyDescent="0.2">
      <c r="A145" s="38" t="s">
        <v>463</v>
      </c>
      <c r="B145" s="43" t="s">
        <v>464</v>
      </c>
      <c r="C145" s="47" t="s">
        <v>1437</v>
      </c>
      <c r="E145" s="43" t="s">
        <v>1930</v>
      </c>
      <c r="F145" s="43" t="s">
        <v>1931</v>
      </c>
      <c r="G145" s="38" t="s">
        <v>1440</v>
      </c>
      <c r="H145" s="43" t="s">
        <v>1441</v>
      </c>
      <c r="I145" s="44" t="s">
        <v>1442</v>
      </c>
      <c r="J145" s="44" t="s">
        <v>629</v>
      </c>
      <c r="K145" s="43"/>
      <c r="L145" s="38"/>
      <c r="M145" s="43" t="s">
        <v>1932</v>
      </c>
      <c r="N145" s="43"/>
      <c r="O145" s="38" t="s">
        <v>1601</v>
      </c>
      <c r="Q145" s="43" t="str">
        <f>_xlfn.TEXTJOIN(", ",TRUE,wacor_data_dictionary[[#This Row],[Cardiobase Angioplasty]:[Development]])</f>
        <v>Cardiobase Angioplasty, Redcap</v>
      </c>
      <c r="R145" s="38" t="s">
        <v>549</v>
      </c>
      <c r="AA145" s="38" t="s">
        <v>580</v>
      </c>
      <c r="AC145" s="43" t="s">
        <v>1479</v>
      </c>
      <c r="AJ145" s="63">
        <v>1</v>
      </c>
      <c r="AK145" s="63"/>
      <c r="AL145" s="63"/>
      <c r="AM145" s="63" t="str">
        <f>IF(COUNTIF('NCR Indicators'!K:K,"*"&amp;wacor_data_dictionary[[#This Row],[field_id]]&amp;"*")&gt;=1,"Yes","No")</f>
        <v>No</v>
      </c>
      <c r="AO145" s="63" t="s">
        <v>576</v>
      </c>
      <c r="AQ145" s="106"/>
      <c r="AR145" s="63"/>
      <c r="AS145" s="63"/>
      <c r="AT145"/>
      <c r="AU145"/>
    </row>
    <row r="146" spans="1:47" ht="57" customHeight="1" x14ac:dyDescent="0.2">
      <c r="A146" s="38" t="s">
        <v>465</v>
      </c>
      <c r="B146" s="43" t="s">
        <v>466</v>
      </c>
      <c r="C146" s="47" t="s">
        <v>1437</v>
      </c>
      <c r="E146" s="43" t="s">
        <v>1933</v>
      </c>
      <c r="F146" s="43" t="s">
        <v>1934</v>
      </c>
      <c r="G146" s="38" t="s">
        <v>1440</v>
      </c>
      <c r="H146" s="43" t="s">
        <v>1463</v>
      </c>
      <c r="I146" s="44" t="s">
        <v>1442</v>
      </c>
      <c r="J146" s="44" t="s">
        <v>629</v>
      </c>
      <c r="K146" s="43"/>
      <c r="L146" s="38"/>
      <c r="M146" s="43" t="s">
        <v>1935</v>
      </c>
      <c r="N146" s="43"/>
      <c r="O146" s="38" t="s">
        <v>1445</v>
      </c>
      <c r="Q146" s="43" t="str">
        <f>_xlfn.TEXTJOIN(", ",TRUE,wacor_data_dictionary[[#This Row],[Cardiobase Angioplasty]:[Development]])</f>
        <v/>
      </c>
      <c r="AA146" s="63"/>
      <c r="AC146" s="43"/>
      <c r="AH146" s="38" t="s">
        <v>1585</v>
      </c>
      <c r="AJ146" s="63">
        <v>0</v>
      </c>
      <c r="AK146" s="63"/>
      <c r="AL146" s="63"/>
      <c r="AM146" s="63" t="str">
        <f>IF(COUNTIF('NCR Indicators'!K:K,"*"&amp;wacor_data_dictionary[[#This Row],[field_id]]&amp;"*")&gt;=1,"Yes","No")</f>
        <v>No</v>
      </c>
      <c r="AO146" s="140" t="s">
        <v>575</v>
      </c>
      <c r="AQ146" s="106"/>
      <c r="AR146" s="63"/>
      <c r="AS146" s="63"/>
      <c r="AT146"/>
      <c r="AU146"/>
    </row>
    <row r="147" spans="1:47" ht="99.75" customHeight="1" x14ac:dyDescent="0.2">
      <c r="A147" s="38" t="s">
        <v>467</v>
      </c>
      <c r="B147" s="43" t="s">
        <v>468</v>
      </c>
      <c r="C147" s="47" t="s">
        <v>1437</v>
      </c>
      <c r="E147" s="43" t="s">
        <v>1936</v>
      </c>
      <c r="F147" s="43" t="s">
        <v>1439</v>
      </c>
      <c r="G147" s="38" t="s">
        <v>1440</v>
      </c>
      <c r="H147" s="43" t="s">
        <v>1441</v>
      </c>
      <c r="I147" s="44" t="s">
        <v>1442</v>
      </c>
      <c r="J147" s="44" t="s">
        <v>629</v>
      </c>
      <c r="K147" s="43"/>
      <c r="L147" s="38"/>
      <c r="M147" s="43" t="s">
        <v>1937</v>
      </c>
      <c r="N147" s="43"/>
      <c r="O147" s="38" t="s">
        <v>1445</v>
      </c>
      <c r="Q147" s="43" t="str">
        <f>_xlfn.TEXTJOIN(", ",TRUE,wacor_data_dictionary[[#This Row],[Cardiobase Angioplasty]:[Development]])</f>
        <v>Redcap</v>
      </c>
      <c r="AA147" s="38" t="s">
        <v>580</v>
      </c>
      <c r="AC147" s="43"/>
      <c r="AJ147" s="63">
        <v>1</v>
      </c>
      <c r="AK147" s="63"/>
      <c r="AL147" s="63"/>
      <c r="AM147" s="63" t="str">
        <f>IF(COUNTIF('NCR Indicators'!K:K,"*"&amp;wacor_data_dictionary[[#This Row],[field_id]]&amp;"*")&gt;=1,"Yes","No")</f>
        <v>No</v>
      </c>
      <c r="AO147" s="63" t="s">
        <v>576</v>
      </c>
      <c r="AQ147" s="106"/>
      <c r="AR147" s="63"/>
      <c r="AS147" s="63"/>
      <c r="AT147"/>
      <c r="AU147"/>
    </row>
    <row r="148" spans="1:47" ht="57" x14ac:dyDescent="0.2">
      <c r="A148" s="38" t="s">
        <v>469</v>
      </c>
      <c r="B148" s="43" t="s">
        <v>470</v>
      </c>
      <c r="C148" s="47" t="s">
        <v>1437</v>
      </c>
      <c r="E148" s="43" t="s">
        <v>1938</v>
      </c>
      <c r="F148" s="47" t="s">
        <v>1939</v>
      </c>
      <c r="G148" s="38" t="s">
        <v>1940</v>
      </c>
      <c r="H148" s="43" t="s">
        <v>1514</v>
      </c>
      <c r="I148" s="44" t="s">
        <v>1514</v>
      </c>
      <c r="J148" s="44" t="s">
        <v>1514</v>
      </c>
      <c r="K148" s="43"/>
      <c r="L148" s="38"/>
      <c r="M148" s="43" t="s">
        <v>1941</v>
      </c>
      <c r="N148" s="43"/>
      <c r="O148" s="38" t="s">
        <v>1721</v>
      </c>
      <c r="R148" s="63"/>
      <c r="S148" s="63"/>
      <c r="T148" s="63"/>
      <c r="U148" s="63"/>
      <c r="V148" s="63"/>
      <c r="W148" s="63"/>
      <c r="X148" s="63"/>
      <c r="Y148" s="63"/>
      <c r="Z148" s="63"/>
      <c r="AA148" s="63"/>
      <c r="AB148" s="63"/>
      <c r="AC148" s="43"/>
      <c r="AJ148" s="63">
        <v>0</v>
      </c>
      <c r="AK148" s="63"/>
      <c r="AL148" s="63"/>
      <c r="AM148" s="63" t="str">
        <f>IF(COUNTIF('NCR Indicators'!K:K,"*"&amp;wacor_data_dictionary[[#This Row],[field_id]]&amp;"*")&gt;=1,"Yes","No")</f>
        <v>No</v>
      </c>
      <c r="AO148" s="140" t="s">
        <v>575</v>
      </c>
      <c r="AQ148" s="106"/>
      <c r="AR148" s="63"/>
      <c r="AS148" s="63"/>
      <c r="AT148"/>
      <c r="AU148"/>
    </row>
    <row r="149" spans="1:47" ht="85.5" x14ac:dyDescent="0.2">
      <c r="A149" s="38" t="s">
        <v>471</v>
      </c>
      <c r="B149" s="43" t="s">
        <v>472</v>
      </c>
      <c r="C149" s="47" t="s">
        <v>1437</v>
      </c>
      <c r="E149" s="43" t="s">
        <v>1942</v>
      </c>
      <c r="F149" s="43" t="s">
        <v>1577</v>
      </c>
      <c r="G149" s="38" t="s">
        <v>1440</v>
      </c>
      <c r="H149" s="43" t="s">
        <v>1463</v>
      </c>
      <c r="I149" s="44" t="s">
        <v>1442</v>
      </c>
      <c r="J149" s="44" t="s">
        <v>629</v>
      </c>
      <c r="K149" s="43"/>
      <c r="L149" s="38"/>
      <c r="M149" s="43" t="s">
        <v>1943</v>
      </c>
      <c r="N149" s="43"/>
      <c r="O149" s="38" t="s">
        <v>1445</v>
      </c>
      <c r="Q149" s="43" t="str">
        <f>_xlfn.TEXTJOIN(", ",TRUE,wacor_data_dictionary[[#This Row],[Cardiobase Angioplasty]:[Development]])</f>
        <v>Cardiobase Angioplasty, HMDC, Redcap</v>
      </c>
      <c r="R149" s="38" t="s">
        <v>549</v>
      </c>
      <c r="T149" s="38" t="s">
        <v>554</v>
      </c>
      <c r="AA149" s="38" t="s">
        <v>580</v>
      </c>
      <c r="AC149" s="43" t="s">
        <v>1446</v>
      </c>
      <c r="AF149" s="44" t="s">
        <v>282</v>
      </c>
      <c r="AH149" s="38" t="s">
        <v>1532</v>
      </c>
      <c r="AI149" s="47" t="s">
        <v>1944</v>
      </c>
      <c r="AJ149" s="63">
        <v>1</v>
      </c>
      <c r="AK149" s="63" t="s">
        <v>1664</v>
      </c>
      <c r="AL149" s="63" t="s">
        <v>1673</v>
      </c>
      <c r="AM149" s="63" t="str">
        <f>IF(COUNTIF('NCR Indicators'!K:K,"*"&amp;wacor_data_dictionary[[#This Row],[field_id]]&amp;"*")&gt;=1,"Yes","No")</f>
        <v>No</v>
      </c>
      <c r="AN149" s="47" t="s">
        <v>1945</v>
      </c>
      <c r="AO149" s="140" t="s">
        <v>575</v>
      </c>
      <c r="AP149" s="106" t="s">
        <v>1437</v>
      </c>
      <c r="AQ149" s="106"/>
      <c r="AR149" s="63"/>
      <c r="AS149" s="63"/>
      <c r="AT149"/>
      <c r="AU149"/>
    </row>
    <row r="150" spans="1:47" x14ac:dyDescent="0.2">
      <c r="A150" s="38" t="s">
        <v>473</v>
      </c>
      <c r="B150" s="43" t="s">
        <v>474</v>
      </c>
      <c r="C150" s="47" t="s">
        <v>1437</v>
      </c>
      <c r="E150" s="43" t="s">
        <v>1514</v>
      </c>
      <c r="F150" s="43" t="s">
        <v>1546</v>
      </c>
      <c r="G150" s="38" t="s">
        <v>1946</v>
      </c>
      <c r="H150" s="43" t="s">
        <v>1514</v>
      </c>
      <c r="I150" s="44" t="s">
        <v>1514</v>
      </c>
      <c r="J150" s="44" t="s">
        <v>1514</v>
      </c>
      <c r="K150" s="43"/>
      <c r="L150" s="38"/>
      <c r="M150" s="43" t="s">
        <v>1514</v>
      </c>
      <c r="N150" s="43"/>
      <c r="O150" s="38" t="s">
        <v>1445</v>
      </c>
      <c r="Q150" s="43" t="str">
        <f>_xlfn.TEXTJOIN(", ",TRUE,wacor_data_dictionary[[#This Row],[Cardiobase Angioplasty]:[Development]])</f>
        <v/>
      </c>
      <c r="AC150" s="43"/>
      <c r="AJ150" s="63">
        <v>1</v>
      </c>
      <c r="AK150" s="63"/>
      <c r="AL150" s="63"/>
      <c r="AM150" s="63" t="str">
        <f>IF(COUNTIF('NCR Indicators'!K:K,"*"&amp;wacor_data_dictionary[[#This Row],[field_id]]&amp;"*")&gt;=1,"Yes","No")</f>
        <v>No</v>
      </c>
      <c r="AO150" s="63" t="s">
        <v>572</v>
      </c>
      <c r="AQ150" s="106"/>
      <c r="AR150" s="63"/>
      <c r="AS150" s="63"/>
      <c r="AT150"/>
      <c r="AU150"/>
    </row>
    <row r="151" spans="1:47" ht="313.5" x14ac:dyDescent="0.2">
      <c r="A151" s="38" t="s">
        <v>475</v>
      </c>
      <c r="B151" s="43" t="s">
        <v>476</v>
      </c>
      <c r="C151" s="47" t="s">
        <v>1437</v>
      </c>
      <c r="E151" s="47" t="s">
        <v>1947</v>
      </c>
      <c r="F151" s="47" t="s">
        <v>1948</v>
      </c>
      <c r="G151" s="38" t="s">
        <v>1440</v>
      </c>
      <c r="H151" s="43" t="s">
        <v>1463</v>
      </c>
      <c r="I151" s="44" t="s">
        <v>1442</v>
      </c>
      <c r="J151" s="44" t="s">
        <v>629</v>
      </c>
      <c r="K151" s="43"/>
      <c r="L151" s="38"/>
      <c r="M151" s="74" t="s">
        <v>1949</v>
      </c>
      <c r="N151" s="47" t="s">
        <v>1437</v>
      </c>
      <c r="O151" s="38" t="s">
        <v>1950</v>
      </c>
      <c r="Q151" s="43" t="str">
        <f>_xlfn.TEXTJOIN(", ",TRUE,wacor_data_dictionary[[#This Row],[Cardiobase Angioplasty]:[Development]])</f>
        <v>Cardiobase Angioplasty, HMDC</v>
      </c>
      <c r="R151" s="38" t="s">
        <v>549</v>
      </c>
      <c r="T151" s="38" t="s">
        <v>554</v>
      </c>
      <c r="AC151" s="43" t="s">
        <v>1474</v>
      </c>
      <c r="AD151" s="76">
        <v>746669</v>
      </c>
      <c r="AF151" s="44" t="s">
        <v>334</v>
      </c>
      <c r="AH151" s="38" t="s">
        <v>1532</v>
      </c>
      <c r="AJ151" s="63">
        <v>0</v>
      </c>
      <c r="AK151" s="63"/>
      <c r="AL151" s="63"/>
      <c r="AM151" s="63" t="str">
        <f>IF(COUNTIF('NCR Indicators'!K:K,"*"&amp;wacor_data_dictionary[[#This Row],[field_id]]&amp;"*")&gt;=1,"Yes","No")</f>
        <v>No</v>
      </c>
      <c r="AO151" s="140" t="s">
        <v>575</v>
      </c>
      <c r="AQ151" s="106"/>
      <c r="AR151" s="63"/>
      <c r="AS151" s="63"/>
      <c r="AT151"/>
      <c r="AU151"/>
    </row>
    <row r="152" spans="1:47" ht="409.5" x14ac:dyDescent="0.2">
      <c r="A152" s="38" t="s">
        <v>477</v>
      </c>
      <c r="B152" s="43" t="s">
        <v>478</v>
      </c>
      <c r="C152" s="47" t="s">
        <v>1437</v>
      </c>
      <c r="E152" s="47" t="s">
        <v>1951</v>
      </c>
      <c r="F152" s="43" t="s">
        <v>1952</v>
      </c>
      <c r="G152" s="38" t="s">
        <v>1440</v>
      </c>
      <c r="H152" s="43" t="s">
        <v>1463</v>
      </c>
      <c r="I152" s="44" t="s">
        <v>1442</v>
      </c>
      <c r="J152" s="44" t="s">
        <v>629</v>
      </c>
      <c r="K152" s="43"/>
      <c r="L152" s="38"/>
      <c r="M152" s="74" t="s">
        <v>1953</v>
      </c>
      <c r="N152" s="47"/>
      <c r="O152" s="38" t="s">
        <v>1954</v>
      </c>
      <c r="P152" s="43"/>
      <c r="Q152" s="43" t="str">
        <f>_xlfn.TEXTJOIN(", ",TRUE,wacor_data_dictionary[[#This Row],[Cardiobase Angioplasty]:[Development]])</f>
        <v>Cardiobase Angioplasty, Cardiobase RiskScore, HMDC, Redcap</v>
      </c>
      <c r="R152" s="38" t="s">
        <v>549</v>
      </c>
      <c r="S152" s="43" t="s">
        <v>551</v>
      </c>
      <c r="T152" s="38" t="s">
        <v>554</v>
      </c>
      <c r="AA152" s="38" t="s">
        <v>580</v>
      </c>
      <c r="AC152" s="43" t="s">
        <v>1474</v>
      </c>
      <c r="AD152" s="58"/>
      <c r="AF152" s="44" t="s">
        <v>334</v>
      </c>
      <c r="AH152" s="38" t="s">
        <v>1532</v>
      </c>
      <c r="AJ152" s="63">
        <v>1</v>
      </c>
      <c r="AK152" s="63"/>
      <c r="AL152" s="47" t="s">
        <v>1955</v>
      </c>
      <c r="AM152" s="63" t="str">
        <f>IF(COUNTIF('NCR Indicators'!K:K,"*"&amp;wacor_data_dictionary[[#This Row],[field_id]]&amp;"*")&gt;=1,"Yes","No")</f>
        <v>No</v>
      </c>
      <c r="AN152" s="47" t="s">
        <v>1956</v>
      </c>
      <c r="AO152" s="140" t="s">
        <v>575</v>
      </c>
      <c r="AQ152" s="106"/>
      <c r="AR152" s="63"/>
      <c r="AS152" s="63"/>
      <c r="AT152"/>
      <c r="AU152"/>
    </row>
    <row r="153" spans="1:47" ht="128.25" x14ac:dyDescent="0.2">
      <c r="A153" s="38" t="s">
        <v>479</v>
      </c>
      <c r="B153" s="43" t="s">
        <v>480</v>
      </c>
      <c r="C153" s="47" t="s">
        <v>1437</v>
      </c>
      <c r="E153" s="47" t="s">
        <v>1957</v>
      </c>
      <c r="F153" s="43" t="s">
        <v>1958</v>
      </c>
      <c r="G153" s="38" t="s">
        <v>647</v>
      </c>
      <c r="H153" s="43" t="s">
        <v>647</v>
      </c>
      <c r="I153" s="44" t="s">
        <v>1514</v>
      </c>
      <c r="J153" s="44" t="s">
        <v>1514</v>
      </c>
      <c r="K153" s="43"/>
      <c r="L153" s="38"/>
      <c r="M153" s="47" t="s">
        <v>1959</v>
      </c>
      <c r="N153" s="43"/>
      <c r="O153" s="38" t="s">
        <v>1531</v>
      </c>
      <c r="Q153" s="43" t="str">
        <f>_xlfn.TEXTJOIN(", ",TRUE,wacor_data_dictionary[[#This Row],[Cardiobase Angioplasty]:[Development]])</f>
        <v>HMDC, Redcap</v>
      </c>
      <c r="T153" s="38" t="s">
        <v>554</v>
      </c>
      <c r="AA153" s="38" t="s">
        <v>580</v>
      </c>
      <c r="AC153" s="43"/>
      <c r="AF153" s="44" t="s">
        <v>282</v>
      </c>
      <c r="AH153" s="38" t="s">
        <v>1532</v>
      </c>
      <c r="AI153" s="63" t="s">
        <v>1960</v>
      </c>
      <c r="AJ153" s="63">
        <v>1</v>
      </c>
      <c r="AK153" s="63">
        <v>1</v>
      </c>
      <c r="AL153" s="63"/>
      <c r="AM153" s="63" t="str">
        <f>IF(COUNTIF('NCR Indicators'!K:K,"*"&amp;wacor_data_dictionary[[#This Row],[field_id]]&amp;"*")&gt;=1,"Yes","No")</f>
        <v>No</v>
      </c>
      <c r="AN153" s="47" t="s">
        <v>1534</v>
      </c>
      <c r="AO153" s="63" t="s">
        <v>1535</v>
      </c>
      <c r="AQ153" s="106"/>
      <c r="AR153" s="63"/>
      <c r="AS153" s="63"/>
      <c r="AT153"/>
      <c r="AU153"/>
    </row>
    <row r="154" spans="1:47" ht="99.75" x14ac:dyDescent="0.2">
      <c r="A154" s="38" t="s">
        <v>481</v>
      </c>
      <c r="B154" s="43" t="s">
        <v>480</v>
      </c>
      <c r="C154" s="47" t="s">
        <v>1437</v>
      </c>
      <c r="E154" s="43" t="s">
        <v>1514</v>
      </c>
      <c r="F154" s="43" t="s">
        <v>1961</v>
      </c>
      <c r="G154" s="38" t="s">
        <v>647</v>
      </c>
      <c r="H154" s="43" t="s">
        <v>647</v>
      </c>
      <c r="I154" s="44" t="s">
        <v>1514</v>
      </c>
      <c r="J154" s="44" t="s">
        <v>1514</v>
      </c>
      <c r="K154" s="43"/>
      <c r="L154" s="38"/>
      <c r="M154" s="43" t="s">
        <v>1514</v>
      </c>
      <c r="N154" s="43"/>
      <c r="O154" s="38" t="s">
        <v>1514</v>
      </c>
      <c r="Q154" s="43" t="str">
        <f>_xlfn.TEXTJOIN(", ",TRUE,wacor_data_dictionary[[#This Row],[Cardiobase Angioplasty]:[Development]])</f>
        <v>HMDC, Redcap</v>
      </c>
      <c r="T154" s="38" t="s">
        <v>554</v>
      </c>
      <c r="AA154" s="38" t="s">
        <v>580</v>
      </c>
      <c r="AC154" s="43"/>
      <c r="AF154" s="44" t="s">
        <v>292</v>
      </c>
      <c r="AH154" s="38" t="str">
        <f>AH146</f>
        <v>BW</v>
      </c>
      <c r="AI154" s="63" t="s">
        <v>1962</v>
      </c>
      <c r="AJ154" s="63">
        <v>1</v>
      </c>
      <c r="AK154" s="63"/>
      <c r="AL154" s="63"/>
      <c r="AM154" s="63" t="str">
        <f>IF(COUNTIF('NCR Indicators'!K:K,"*"&amp;wacor_data_dictionary[[#This Row],[field_id]]&amp;"*")&gt;=1,"Yes","No")</f>
        <v>No</v>
      </c>
      <c r="AN154" s="47" t="s">
        <v>1534</v>
      </c>
      <c r="AO154" s="63" t="s">
        <v>1535</v>
      </c>
      <c r="AQ154" s="106"/>
      <c r="AR154" s="63"/>
      <c r="AS154" s="63"/>
      <c r="AT154"/>
      <c r="AU154"/>
    </row>
    <row r="155" spans="1:47" ht="99.75" x14ac:dyDescent="0.2">
      <c r="A155" s="38" t="s">
        <v>482</v>
      </c>
      <c r="B155" s="43" t="s">
        <v>480</v>
      </c>
      <c r="C155" s="47" t="s">
        <v>1437</v>
      </c>
      <c r="E155" s="43" t="s">
        <v>1514</v>
      </c>
      <c r="F155" s="43" t="s">
        <v>1963</v>
      </c>
      <c r="G155" s="38" t="s">
        <v>647</v>
      </c>
      <c r="H155" s="43" t="s">
        <v>647</v>
      </c>
      <c r="I155" s="44" t="s">
        <v>1514</v>
      </c>
      <c r="J155" s="44" t="s">
        <v>1514</v>
      </c>
      <c r="K155" s="43"/>
      <c r="L155" s="38"/>
      <c r="M155" s="43" t="s">
        <v>1514</v>
      </c>
      <c r="N155" s="43"/>
      <c r="O155" s="38" t="s">
        <v>1514</v>
      </c>
      <c r="Q155" s="43" t="str">
        <f>_xlfn.TEXTJOIN(", ",TRUE,wacor_data_dictionary[[#This Row],[Cardiobase Angioplasty]:[Development]])</f>
        <v>HMDC</v>
      </c>
      <c r="T155" s="38" t="s">
        <v>554</v>
      </c>
      <c r="AC155" s="43"/>
      <c r="AF155" s="44">
        <f>AF147</f>
        <v>0</v>
      </c>
      <c r="AH155" s="38">
        <f>AH147</f>
        <v>0</v>
      </c>
      <c r="AI155" s="63" t="s">
        <v>1964</v>
      </c>
      <c r="AJ155" s="63">
        <v>1</v>
      </c>
      <c r="AK155" s="63"/>
      <c r="AL155" s="63"/>
      <c r="AM155" s="63" t="str">
        <f>IF(COUNTIF('NCR Indicators'!K:K,"*"&amp;wacor_data_dictionary[[#This Row],[field_id]]&amp;"*")&gt;=1,"Yes","No")</f>
        <v>No</v>
      </c>
      <c r="AN155" s="47" t="s">
        <v>1534</v>
      </c>
      <c r="AO155" s="63" t="s">
        <v>1535</v>
      </c>
      <c r="AQ155" s="106"/>
      <c r="AR155" s="63"/>
      <c r="AS155" s="63"/>
      <c r="AT155"/>
      <c r="AU155"/>
    </row>
    <row r="156" spans="1:47" ht="99.75" x14ac:dyDescent="0.2">
      <c r="A156" s="38" t="s">
        <v>483</v>
      </c>
      <c r="B156" s="43" t="s">
        <v>480</v>
      </c>
      <c r="C156" s="47" t="s">
        <v>1437</v>
      </c>
      <c r="E156" s="43" t="s">
        <v>1514</v>
      </c>
      <c r="F156" s="43" t="s">
        <v>1965</v>
      </c>
      <c r="G156" s="38" t="s">
        <v>647</v>
      </c>
      <c r="H156" s="43" t="s">
        <v>647</v>
      </c>
      <c r="I156" s="44" t="s">
        <v>1514</v>
      </c>
      <c r="J156" s="44" t="s">
        <v>1514</v>
      </c>
      <c r="K156" s="43"/>
      <c r="L156" s="38"/>
      <c r="M156" s="43" t="s">
        <v>1514</v>
      </c>
      <c r="N156" s="43"/>
      <c r="O156" s="38" t="s">
        <v>1514</v>
      </c>
      <c r="Q156" s="43" t="str">
        <f>_xlfn.TEXTJOIN(", ",TRUE,wacor_data_dictionary[[#This Row],[Cardiobase Angioplasty]:[Development]])</f>
        <v>HMDC</v>
      </c>
      <c r="T156" s="38" t="s">
        <v>554</v>
      </c>
      <c r="AC156" s="43"/>
      <c r="AF156" s="44">
        <f>AF148</f>
        <v>0</v>
      </c>
      <c r="AH156" s="38">
        <f>AH148</f>
        <v>0</v>
      </c>
      <c r="AI156" s="63" t="s">
        <v>1966</v>
      </c>
      <c r="AJ156" s="63">
        <v>1</v>
      </c>
      <c r="AK156" s="63"/>
      <c r="AL156" s="63"/>
      <c r="AM156" s="63" t="str">
        <f>IF(COUNTIF('NCR Indicators'!K:K,"*"&amp;wacor_data_dictionary[[#This Row],[field_id]]&amp;"*")&gt;=1,"Yes","No")</f>
        <v>No</v>
      </c>
      <c r="AN156" s="47" t="s">
        <v>1534</v>
      </c>
      <c r="AO156" s="63" t="s">
        <v>1535</v>
      </c>
      <c r="AQ156" s="106"/>
      <c r="AR156" s="63"/>
      <c r="AS156" s="63"/>
      <c r="AT156"/>
      <c r="AU156"/>
    </row>
    <row r="157" spans="1:47" ht="99.75" x14ac:dyDescent="0.2">
      <c r="A157" s="38" t="s">
        <v>484</v>
      </c>
      <c r="B157" s="43" t="s">
        <v>480</v>
      </c>
      <c r="C157" s="47" t="s">
        <v>1437</v>
      </c>
      <c r="E157" s="43" t="s">
        <v>1514</v>
      </c>
      <c r="F157" s="43" t="s">
        <v>1967</v>
      </c>
      <c r="G157" s="38" t="s">
        <v>647</v>
      </c>
      <c r="H157" s="43" t="s">
        <v>647</v>
      </c>
      <c r="I157" s="44" t="s">
        <v>1514</v>
      </c>
      <c r="J157" s="44" t="s">
        <v>1514</v>
      </c>
      <c r="K157" s="43"/>
      <c r="L157" s="38"/>
      <c r="M157" s="43" t="s">
        <v>1514</v>
      </c>
      <c r="N157" s="43"/>
      <c r="O157" s="38" t="s">
        <v>1514</v>
      </c>
      <c r="Q157" s="43" t="str">
        <f>_xlfn.TEXTJOIN(", ",TRUE,wacor_data_dictionary[[#This Row],[Cardiobase Angioplasty]:[Development]])</f>
        <v>HMDC</v>
      </c>
      <c r="T157" s="38" t="s">
        <v>554</v>
      </c>
      <c r="AC157" s="43"/>
      <c r="AF157" s="44" t="str">
        <f>AF149</f>
        <v>2a</v>
      </c>
      <c r="AH157" s="38" t="str">
        <f>AH149</f>
        <v>PL</v>
      </c>
      <c r="AI157" s="63" t="s">
        <v>1968</v>
      </c>
      <c r="AJ157" s="63">
        <v>1</v>
      </c>
      <c r="AK157" s="63"/>
      <c r="AL157" s="63"/>
      <c r="AM157" s="63" t="str">
        <f>IF(COUNTIF('NCR Indicators'!K:K,"*"&amp;wacor_data_dictionary[[#This Row],[field_id]]&amp;"*")&gt;=1,"Yes","No")</f>
        <v>No</v>
      </c>
      <c r="AN157" s="47" t="s">
        <v>1534</v>
      </c>
      <c r="AO157" s="63" t="s">
        <v>1535</v>
      </c>
      <c r="AQ157" s="106"/>
      <c r="AR157" s="63"/>
      <c r="AS157" s="63"/>
      <c r="AT157"/>
      <c r="AU157"/>
    </row>
    <row r="158" spans="1:47" ht="99.75" x14ac:dyDescent="0.2">
      <c r="A158" s="38" t="s">
        <v>485</v>
      </c>
      <c r="B158" s="43" t="s">
        <v>480</v>
      </c>
      <c r="C158" s="47" t="s">
        <v>1437</v>
      </c>
      <c r="E158" s="43" t="s">
        <v>1514</v>
      </c>
      <c r="F158" s="43" t="s">
        <v>1969</v>
      </c>
      <c r="G158" s="38" t="s">
        <v>647</v>
      </c>
      <c r="H158" s="43" t="s">
        <v>647</v>
      </c>
      <c r="I158" s="44" t="s">
        <v>1514</v>
      </c>
      <c r="J158" s="44" t="s">
        <v>1514</v>
      </c>
      <c r="K158" s="43"/>
      <c r="L158" s="38"/>
      <c r="M158" s="43" t="s">
        <v>1514</v>
      </c>
      <c r="N158" s="43"/>
      <c r="O158" s="38" t="s">
        <v>1514</v>
      </c>
      <c r="Q158" s="43" t="str">
        <f>_xlfn.TEXTJOIN(", ",TRUE,wacor_data_dictionary[[#This Row],[Cardiobase Angioplasty]:[Development]])</f>
        <v>HMDC</v>
      </c>
      <c r="T158" s="38" t="s">
        <v>554</v>
      </c>
      <c r="AC158" s="43"/>
      <c r="AF158" s="44">
        <f>AF150</f>
        <v>0</v>
      </c>
      <c r="AH158" s="38">
        <f>AH150</f>
        <v>0</v>
      </c>
      <c r="AI158" s="63" t="s">
        <v>1970</v>
      </c>
      <c r="AJ158" s="63">
        <v>1</v>
      </c>
      <c r="AK158" s="63"/>
      <c r="AL158" s="63"/>
      <c r="AM158" s="63" t="str">
        <f>IF(COUNTIF('NCR Indicators'!K:K,"*"&amp;wacor_data_dictionary[[#This Row],[field_id]]&amp;"*")&gt;=1,"Yes","No")</f>
        <v>No</v>
      </c>
      <c r="AN158" s="47" t="s">
        <v>1534</v>
      </c>
      <c r="AO158" s="63" t="s">
        <v>1535</v>
      </c>
      <c r="AQ158" s="106"/>
      <c r="AR158" s="63"/>
      <c r="AS158" s="63"/>
      <c r="AT158"/>
      <c r="AU158"/>
    </row>
    <row r="159" spans="1:47" ht="142.5" x14ac:dyDescent="0.2">
      <c r="A159" s="63" t="s">
        <v>1398</v>
      </c>
      <c r="B159" s="47" t="s">
        <v>1399</v>
      </c>
      <c r="C159" s="63" t="s">
        <v>1437</v>
      </c>
      <c r="D159" s="47" t="s">
        <v>1971</v>
      </c>
      <c r="E159" s="47"/>
      <c r="F159" s="47"/>
      <c r="G159" s="63" t="s">
        <v>1440</v>
      </c>
      <c r="H159" s="47" t="s">
        <v>1972</v>
      </c>
      <c r="I159" s="121">
        <v>1</v>
      </c>
      <c r="J159" s="121">
        <v>10</v>
      </c>
      <c r="K159" s="47"/>
      <c r="L159" s="63"/>
      <c r="M159" s="47"/>
      <c r="N159" s="47"/>
      <c r="O159" s="63" t="s">
        <v>1518</v>
      </c>
      <c r="P159" s="47" t="s">
        <v>1973</v>
      </c>
      <c r="Q159" s="47" t="str">
        <f>_xlfn.TEXTJOIN(", ",TRUE,wacor_data_dictionary[[#This Row],[Cardiobase Angioplasty]:[Development]])</f>
        <v/>
      </c>
      <c r="R159" s="63"/>
      <c r="S159" s="63"/>
      <c r="T159" s="63"/>
      <c r="U159" s="63"/>
      <c r="V159" s="63"/>
      <c r="W159" s="63"/>
      <c r="X159" s="63"/>
      <c r="Y159" s="63"/>
      <c r="Z159" s="63"/>
      <c r="AA159" s="63"/>
      <c r="AB159" s="63"/>
      <c r="AC159" s="47"/>
      <c r="AD159" s="63"/>
      <c r="AE159" s="63"/>
      <c r="AF159" s="121"/>
      <c r="AG159" s="63"/>
      <c r="AH159" s="63"/>
      <c r="AI159" s="63"/>
      <c r="AJ159" s="63">
        <v>0</v>
      </c>
      <c r="AK159" s="63"/>
      <c r="AL159" s="63"/>
      <c r="AM159" s="63" t="str">
        <f>IF(COUNTIF('NCR Indicators'!K:K,"*"&amp;wacor_data_dictionary[[#This Row],[field_id]]&amp;"*")&gt;=1,"Yes","No")</f>
        <v>No</v>
      </c>
      <c r="AO159" s="140" t="s">
        <v>575</v>
      </c>
      <c r="AQ159" s="106"/>
      <c r="AR159" s="63"/>
      <c r="AS159" s="63"/>
      <c r="AT159"/>
      <c r="AU159"/>
    </row>
    <row r="160" spans="1:47" ht="142.5" x14ac:dyDescent="0.2">
      <c r="A160" s="38" t="s">
        <v>488</v>
      </c>
      <c r="B160" s="43" t="s">
        <v>488</v>
      </c>
      <c r="C160" s="47" t="s">
        <v>1437</v>
      </c>
      <c r="E160" s="43" t="s">
        <v>1514</v>
      </c>
      <c r="F160" s="43" t="s">
        <v>1974</v>
      </c>
      <c r="G160" s="38" t="s">
        <v>1440</v>
      </c>
      <c r="H160" s="43" t="s">
        <v>1975</v>
      </c>
      <c r="I160" s="44" t="s">
        <v>629</v>
      </c>
      <c r="J160" s="44" t="s">
        <v>637</v>
      </c>
      <c r="K160" s="43"/>
      <c r="L160" s="38"/>
      <c r="M160" s="47" t="s">
        <v>1976</v>
      </c>
      <c r="N160" s="43"/>
      <c r="O160" s="38" t="s">
        <v>1445</v>
      </c>
      <c r="Q160" s="43" t="str">
        <f>_xlfn.TEXTJOIN(", ",TRUE,wacor_data_dictionary[[#This Row],[Cardiobase Angioplasty]:[Development]])</f>
        <v>HMDC, Redcap</v>
      </c>
      <c r="T160" s="38" t="s">
        <v>554</v>
      </c>
      <c r="AA160" s="38" t="s">
        <v>580</v>
      </c>
      <c r="AC160" s="43" t="s">
        <v>1446</v>
      </c>
      <c r="AD160" s="58">
        <v>291045</v>
      </c>
      <c r="AF160" s="44">
        <v>1</v>
      </c>
      <c r="AG160" s="40">
        <v>44764</v>
      </c>
      <c r="AJ160" s="63">
        <v>1</v>
      </c>
      <c r="AK160" s="63"/>
      <c r="AL160" s="63"/>
      <c r="AM160" s="63" t="str">
        <f>IF(COUNTIF('NCR Indicators'!K:K,"*"&amp;wacor_data_dictionary[[#This Row],[field_id]]&amp;"*")&gt;=1,"Yes","No")</f>
        <v>No</v>
      </c>
      <c r="AO160" s="63" t="s">
        <v>574</v>
      </c>
      <c r="AQ160" s="106"/>
      <c r="AR160" s="63"/>
      <c r="AS160" s="63"/>
      <c r="AT160"/>
      <c r="AU160"/>
    </row>
    <row r="161" spans="1:47" ht="256.5" x14ac:dyDescent="0.2">
      <c r="A161" s="38" t="s">
        <v>489</v>
      </c>
      <c r="B161" s="43" t="s">
        <v>490</v>
      </c>
      <c r="C161" s="47" t="s">
        <v>1437</v>
      </c>
      <c r="E161" s="43" t="s">
        <v>1977</v>
      </c>
      <c r="F161" s="43" t="s">
        <v>1978</v>
      </c>
      <c r="G161" s="38" t="s">
        <v>1440</v>
      </c>
      <c r="H161" s="43" t="s">
        <v>1463</v>
      </c>
      <c r="I161" s="44" t="s">
        <v>1442</v>
      </c>
      <c r="J161" s="44" t="s">
        <v>629</v>
      </c>
      <c r="K161" s="43"/>
      <c r="L161" s="38"/>
      <c r="M161" s="43" t="s">
        <v>1979</v>
      </c>
      <c r="N161" s="43"/>
      <c r="O161" s="38" t="s">
        <v>1445</v>
      </c>
      <c r="Q161" s="43" t="str">
        <f>_xlfn.TEXTJOIN(", ",TRUE,wacor_data_dictionary[[#This Row],[Cardiobase Angioplasty]:[Development]])</f>
        <v>Cardiobase RiskScore, HMDC, Redcap</v>
      </c>
      <c r="S161" s="38" t="s">
        <v>551</v>
      </c>
      <c r="T161" s="38" t="s">
        <v>554</v>
      </c>
      <c r="AA161" s="38" t="s">
        <v>580</v>
      </c>
      <c r="AC161" s="43" t="s">
        <v>1446</v>
      </c>
      <c r="AF161" s="44" t="s">
        <v>282</v>
      </c>
      <c r="AI161" s="63" t="s">
        <v>1980</v>
      </c>
      <c r="AJ161" s="63">
        <v>1</v>
      </c>
      <c r="AK161" s="63"/>
      <c r="AL161" s="63" t="s">
        <v>1981</v>
      </c>
      <c r="AM161" s="63" t="str">
        <f>IF(COUNTIF('NCR Indicators'!K:K,"*"&amp;wacor_data_dictionary[[#This Row],[field_id]]&amp;"*")&gt;=1,"Yes","No")</f>
        <v>No</v>
      </c>
      <c r="AN161" s="47" t="s">
        <v>1982</v>
      </c>
      <c r="AO161" s="140" t="s">
        <v>575</v>
      </c>
      <c r="AP161" s="106" t="s">
        <v>1437</v>
      </c>
      <c r="AQ161" s="106"/>
      <c r="AR161" s="63"/>
      <c r="AS161" s="63"/>
      <c r="AT161"/>
      <c r="AU161"/>
    </row>
    <row r="162" spans="1:47" ht="42.75" x14ac:dyDescent="0.2">
      <c r="A162" s="38" t="s">
        <v>491</v>
      </c>
      <c r="B162" s="43" t="s">
        <v>492</v>
      </c>
      <c r="C162" s="47" t="s">
        <v>1437</v>
      </c>
      <c r="E162" s="43" t="s">
        <v>1514</v>
      </c>
      <c r="F162" s="43" t="s">
        <v>1546</v>
      </c>
      <c r="G162" s="38" t="s">
        <v>1983</v>
      </c>
      <c r="H162" s="43" t="s">
        <v>1514</v>
      </c>
      <c r="I162" s="44" t="s">
        <v>1514</v>
      </c>
      <c r="J162" s="44" t="s">
        <v>1514</v>
      </c>
      <c r="K162" s="43"/>
      <c r="L162" s="38"/>
      <c r="M162" s="43" t="s">
        <v>1514</v>
      </c>
      <c r="N162" s="43"/>
      <c r="O162" s="43" t="s">
        <v>1984</v>
      </c>
      <c r="Q162" s="43" t="str">
        <f>_xlfn.TEXTJOIN(", ",TRUE,wacor_data_dictionary[[#This Row],[Cardiobase Angioplasty]:[Development]])</f>
        <v/>
      </c>
      <c r="AC162" s="43"/>
      <c r="AJ162" s="63">
        <v>0</v>
      </c>
      <c r="AK162" s="63"/>
      <c r="AL162" s="63"/>
      <c r="AM162" s="63" t="str">
        <f>IF(COUNTIF('NCR Indicators'!K:K,"*"&amp;wacor_data_dictionary[[#This Row],[field_id]]&amp;"*")&gt;=1,"Yes","No")</f>
        <v>No</v>
      </c>
      <c r="AO162" s="63" t="s">
        <v>572</v>
      </c>
      <c r="AQ162" s="106"/>
      <c r="AR162" s="63"/>
      <c r="AS162" s="63"/>
      <c r="AT162"/>
      <c r="AU162"/>
    </row>
    <row r="163" spans="1:47" ht="71.25" x14ac:dyDescent="0.2">
      <c r="A163" s="63" t="s">
        <v>1400</v>
      </c>
      <c r="B163" s="47" t="s">
        <v>1401</v>
      </c>
      <c r="C163" s="63" t="s">
        <v>1437</v>
      </c>
      <c r="D163" s="74" t="s">
        <v>1985</v>
      </c>
      <c r="E163" s="47"/>
      <c r="F163" s="47"/>
      <c r="G163" s="63" t="s">
        <v>1440</v>
      </c>
      <c r="H163" s="47" t="s">
        <v>1986</v>
      </c>
      <c r="I163" s="121">
        <v>0</v>
      </c>
      <c r="J163" s="121">
        <v>2</v>
      </c>
      <c r="K163" s="47"/>
      <c r="L163" s="63"/>
      <c r="M163" s="47"/>
      <c r="N163" s="47"/>
      <c r="O163" s="63" t="s">
        <v>1721</v>
      </c>
      <c r="P163" s="47"/>
      <c r="Q163" s="47" t="str">
        <f>_xlfn.TEXTJOIN(", ",TRUE,wacor_data_dictionary[[#This Row],[Cardiobase Angioplasty]:[Development]])</f>
        <v>Redcap</v>
      </c>
      <c r="R163" s="63"/>
      <c r="S163" s="63"/>
      <c r="T163" s="63"/>
      <c r="U163" s="63"/>
      <c r="V163" s="63"/>
      <c r="W163" s="63"/>
      <c r="X163" s="63"/>
      <c r="Y163" s="63"/>
      <c r="Z163" s="63"/>
      <c r="AA163" s="63" t="s">
        <v>580</v>
      </c>
      <c r="AB163" s="63"/>
      <c r="AC163" s="47"/>
      <c r="AD163" s="63"/>
      <c r="AE163" s="63"/>
      <c r="AF163" s="121"/>
      <c r="AG163" s="63"/>
      <c r="AH163" s="63"/>
      <c r="AI163" s="63"/>
      <c r="AJ163" s="63">
        <v>1</v>
      </c>
      <c r="AK163" s="63"/>
      <c r="AL163" s="63"/>
      <c r="AM163" s="63" t="str">
        <f>IF(COUNTIF('NCR Indicators'!K:K,"*"&amp;wacor_data_dictionary[[#This Row],[field_id]]&amp;"*")&gt;=1,"Yes","No")</f>
        <v>No</v>
      </c>
      <c r="AO163" s="140" t="s">
        <v>575</v>
      </c>
      <c r="AQ163" s="106"/>
      <c r="AR163" s="63"/>
      <c r="AS163" s="63"/>
      <c r="AT163"/>
      <c r="AU163"/>
    </row>
    <row r="164" spans="1:47" ht="42.75" x14ac:dyDescent="0.2">
      <c r="A164" s="38" t="s">
        <v>493</v>
      </c>
      <c r="B164" s="43" t="s">
        <v>494</v>
      </c>
      <c r="C164" s="47" t="s">
        <v>1437</v>
      </c>
      <c r="E164" s="43" t="s">
        <v>1582</v>
      </c>
      <c r="F164" s="43" t="s">
        <v>1987</v>
      </c>
      <c r="G164" s="38" t="s">
        <v>1514</v>
      </c>
      <c r="H164" s="43" t="s">
        <v>1514</v>
      </c>
      <c r="I164" s="44" t="s">
        <v>1514</v>
      </c>
      <c r="J164" s="44" t="s">
        <v>1514</v>
      </c>
      <c r="K164" s="43"/>
      <c r="L164" s="38"/>
      <c r="M164" s="43" t="s">
        <v>846</v>
      </c>
      <c r="N164" s="43"/>
      <c r="O164" s="38" t="s">
        <v>1525</v>
      </c>
      <c r="Q164" s="43" t="str">
        <f>_xlfn.TEXTJOIN(", ",TRUE,wacor_data_dictionary[[#This Row],[Cardiobase Angioplasty]:[Development]])</f>
        <v>Derived</v>
      </c>
      <c r="X164" s="38" t="s">
        <v>559</v>
      </c>
      <c r="AC164" s="43"/>
      <c r="AJ164" s="63">
        <v>0</v>
      </c>
      <c r="AK164" s="63"/>
      <c r="AL164" s="63"/>
      <c r="AM164" s="63" t="str">
        <f>IF(COUNTIF('NCR Indicators'!K:K,"*"&amp;wacor_data_dictionary[[#This Row],[field_id]]&amp;"*")&gt;=1,"Yes","No")</f>
        <v>No</v>
      </c>
      <c r="AO164" s="63" t="s">
        <v>576</v>
      </c>
      <c r="AQ164" s="109"/>
      <c r="AR164" s="63"/>
      <c r="AS164" s="63"/>
      <c r="AT164"/>
      <c r="AU164"/>
    </row>
    <row r="165" spans="1:47" ht="42.75" x14ac:dyDescent="0.2">
      <c r="A165" s="38" t="s">
        <v>495</v>
      </c>
      <c r="B165" s="43" t="s">
        <v>496</v>
      </c>
      <c r="C165" s="47" t="s">
        <v>1437</v>
      </c>
      <c r="E165" s="43" t="s">
        <v>1582</v>
      </c>
      <c r="F165" s="43" t="s">
        <v>1988</v>
      </c>
      <c r="G165" s="38" t="s">
        <v>1514</v>
      </c>
      <c r="H165" s="43" t="s">
        <v>1514</v>
      </c>
      <c r="I165" s="44" t="s">
        <v>1514</v>
      </c>
      <c r="J165" s="44" t="s">
        <v>1514</v>
      </c>
      <c r="K165" s="43"/>
      <c r="L165" s="38"/>
      <c r="M165" s="43" t="s">
        <v>832</v>
      </c>
      <c r="N165" s="43"/>
      <c r="O165" s="38" t="s">
        <v>1525</v>
      </c>
      <c r="Q165" s="43" t="str">
        <f>_xlfn.TEXTJOIN(", ",TRUE,wacor_data_dictionary[[#This Row],[Cardiobase Angioplasty]:[Development]])</f>
        <v>Derived</v>
      </c>
      <c r="X165" s="38" t="s">
        <v>559</v>
      </c>
      <c r="AC165" s="43"/>
      <c r="AJ165" s="63">
        <v>0</v>
      </c>
      <c r="AK165" s="63"/>
      <c r="AL165" s="63"/>
      <c r="AM165" s="63" t="str">
        <f>IF(COUNTIF('NCR Indicators'!K:K,"*"&amp;wacor_data_dictionary[[#This Row],[field_id]]&amp;"*")&gt;=1,"Yes","No")</f>
        <v>No</v>
      </c>
      <c r="AO165" s="63" t="s">
        <v>576</v>
      </c>
      <c r="AQ165" s="106"/>
      <c r="AR165" s="63"/>
      <c r="AS165" s="63"/>
      <c r="AT165"/>
      <c r="AU165"/>
    </row>
    <row r="166" spans="1:47" ht="142.5" x14ac:dyDescent="0.2">
      <c r="A166" s="38" t="s">
        <v>497</v>
      </c>
      <c r="B166" s="43" t="s">
        <v>498</v>
      </c>
      <c r="C166" s="47" t="s">
        <v>1437</v>
      </c>
      <c r="E166" s="43" t="s">
        <v>1989</v>
      </c>
      <c r="F166" s="43" t="s">
        <v>1990</v>
      </c>
      <c r="G166" s="38" t="s">
        <v>1440</v>
      </c>
      <c r="H166" s="43" t="s">
        <v>1441</v>
      </c>
      <c r="I166" s="44" t="s">
        <v>1442</v>
      </c>
      <c r="J166" s="44" t="s">
        <v>629</v>
      </c>
      <c r="K166" s="43"/>
      <c r="L166" s="38"/>
      <c r="M166" s="43" t="s">
        <v>1991</v>
      </c>
      <c r="N166" s="43"/>
      <c r="O166" s="38" t="s">
        <v>1721</v>
      </c>
      <c r="Q166" s="43" t="str">
        <f>_xlfn.TEXTJOIN(", ",TRUE,wacor_data_dictionary[[#This Row],[Cardiobase Angioplasty]:[Development]])</f>
        <v>HMDC, EDDC, Redcap</v>
      </c>
      <c r="T166" s="38" t="s">
        <v>554</v>
      </c>
      <c r="U166" s="38" t="s">
        <v>167</v>
      </c>
      <c r="AA166" s="38" t="s">
        <v>580</v>
      </c>
      <c r="AC166" s="43" t="s">
        <v>1446</v>
      </c>
      <c r="AF166" s="44" t="s">
        <v>282</v>
      </c>
      <c r="AH166" s="38" t="s">
        <v>1532</v>
      </c>
      <c r="AI166" s="47" t="s">
        <v>1992</v>
      </c>
      <c r="AJ166" s="63">
        <v>1</v>
      </c>
      <c r="AK166" s="63"/>
      <c r="AL166" s="63"/>
      <c r="AM166" s="63" t="str">
        <f>IF(COUNTIF('NCR Indicators'!K:K,"*"&amp;wacor_data_dictionary[[#This Row],[field_id]]&amp;"*")&gt;=1,"Yes","No")</f>
        <v>No</v>
      </c>
      <c r="AN166" s="47" t="s">
        <v>1993</v>
      </c>
      <c r="AO166" s="63" t="s">
        <v>576</v>
      </c>
      <c r="AP166" s="106" t="s">
        <v>1437</v>
      </c>
      <c r="AQ166" s="115"/>
      <c r="AR166" s="63"/>
      <c r="AS166" s="63"/>
      <c r="AT166"/>
      <c r="AU166"/>
    </row>
    <row r="167" spans="1:47" ht="342" x14ac:dyDescent="0.2">
      <c r="A167" s="38" t="s">
        <v>499</v>
      </c>
      <c r="B167" s="43" t="s">
        <v>500</v>
      </c>
      <c r="C167" s="47" t="s">
        <v>1437</v>
      </c>
      <c r="E167" s="47" t="s">
        <v>1994</v>
      </c>
      <c r="F167" s="43" t="s">
        <v>1995</v>
      </c>
      <c r="G167" s="38" t="s">
        <v>1440</v>
      </c>
      <c r="H167" s="43" t="s">
        <v>1996</v>
      </c>
      <c r="I167" s="44" t="s">
        <v>1530</v>
      </c>
      <c r="J167" s="44" t="s">
        <v>642</v>
      </c>
      <c r="K167" s="43"/>
      <c r="L167" s="38"/>
      <c r="M167" s="43" t="s">
        <v>1997</v>
      </c>
      <c r="N167" s="43"/>
      <c r="O167" s="38" t="s">
        <v>1848</v>
      </c>
      <c r="Q167" s="43" t="str">
        <f>_xlfn.TEXTJOIN(", ",TRUE,wacor_data_dictionary[[#This Row],[Cardiobase Angioplasty]:[Development]])</f>
        <v>Cardiobase Angioplasty, HMDC, EDDC, HIH</v>
      </c>
      <c r="R167" s="38" t="s">
        <v>549</v>
      </c>
      <c r="T167" s="38" t="s">
        <v>554</v>
      </c>
      <c r="U167" s="38" t="s">
        <v>167</v>
      </c>
      <c r="W167" s="38" t="s">
        <v>557</v>
      </c>
      <c r="AC167" s="43"/>
      <c r="AF167" s="44">
        <v>5</v>
      </c>
      <c r="AJ167" s="63">
        <v>0</v>
      </c>
      <c r="AK167" s="63"/>
      <c r="AL167" s="63"/>
      <c r="AM167" s="63" t="str">
        <f>IF(COUNTIF('NCR Indicators'!K:K,"*"&amp;wacor_data_dictionary[[#This Row],[field_id]]&amp;"*")&gt;=1,"Yes","No")</f>
        <v>No</v>
      </c>
      <c r="AO167" s="47" t="s">
        <v>1535</v>
      </c>
      <c r="AQ167" s="106"/>
      <c r="AR167" s="63"/>
      <c r="AS167" s="63"/>
      <c r="AT167"/>
      <c r="AU167"/>
    </row>
    <row r="168" spans="1:47" ht="71.25" x14ac:dyDescent="0.2">
      <c r="A168" s="38" t="s">
        <v>249</v>
      </c>
      <c r="B168" s="43" t="s">
        <v>501</v>
      </c>
      <c r="C168" s="47" t="s">
        <v>1437</v>
      </c>
      <c r="E168" s="43" t="s">
        <v>1998</v>
      </c>
      <c r="F168" s="43" t="s">
        <v>1999</v>
      </c>
      <c r="G168" s="38" t="s">
        <v>1440</v>
      </c>
      <c r="H168" s="43" t="s">
        <v>2000</v>
      </c>
      <c r="I168" s="44" t="s">
        <v>1530</v>
      </c>
      <c r="J168" s="44" t="s">
        <v>629</v>
      </c>
      <c r="K168" s="43"/>
      <c r="L168" s="38"/>
      <c r="M168" s="47" t="s">
        <v>2001</v>
      </c>
      <c r="N168" s="43"/>
      <c r="O168" s="38" t="s">
        <v>2002</v>
      </c>
      <c r="Q168" s="43" t="str">
        <f>_xlfn.TEXTJOIN(", ",TRUE,wacor_data_dictionary[[#This Row],[Cardiobase Angioplasty]:[Development]])</f>
        <v>Deaths registry</v>
      </c>
      <c r="Y168" s="38" t="s">
        <v>561</v>
      </c>
      <c r="AB168" s="43"/>
      <c r="AC168" s="43"/>
      <c r="AF168" s="44" t="s">
        <v>274</v>
      </c>
      <c r="AH168" s="38" t="s">
        <v>1585</v>
      </c>
      <c r="AJ168" s="63">
        <v>1</v>
      </c>
      <c r="AK168" s="63"/>
      <c r="AL168" s="63"/>
      <c r="AM168" s="63" t="s">
        <v>1449</v>
      </c>
      <c r="AN168" s="47" t="s">
        <v>2003</v>
      </c>
      <c r="AO168" s="47" t="s">
        <v>1535</v>
      </c>
      <c r="AP168" s="134"/>
      <c r="AQ168" s="106"/>
      <c r="AR168" s="63"/>
      <c r="AS168" s="63"/>
      <c r="AT168"/>
      <c r="AU168"/>
    </row>
    <row r="169" spans="1:47" ht="128.25" x14ac:dyDescent="0.2">
      <c r="A169" s="38" t="s">
        <v>502</v>
      </c>
      <c r="B169" s="43" t="s">
        <v>503</v>
      </c>
      <c r="C169" s="47" t="s">
        <v>1437</v>
      </c>
      <c r="D169" s="43" t="s">
        <v>2004</v>
      </c>
      <c r="E169" s="43" t="s">
        <v>1514</v>
      </c>
      <c r="F169" s="43" t="s">
        <v>2005</v>
      </c>
      <c r="G169" s="38" t="s">
        <v>1514</v>
      </c>
      <c r="H169" s="43" t="s">
        <v>2006</v>
      </c>
      <c r="I169" s="44" t="s">
        <v>1514</v>
      </c>
      <c r="J169" s="44" t="s">
        <v>1514</v>
      </c>
      <c r="K169" s="43"/>
      <c r="L169" s="38"/>
      <c r="M169" s="43" t="s">
        <v>1514</v>
      </c>
      <c r="N169" s="43"/>
      <c r="O169" s="38" t="s">
        <v>1445</v>
      </c>
      <c r="Q169" s="43" t="str">
        <f>_xlfn.TEXTJOIN(", ",TRUE,wacor_data_dictionary[[#This Row],[Cardiobase Angioplasty]:[Development]])</f>
        <v/>
      </c>
      <c r="AC169" s="43"/>
      <c r="AJ169" s="63">
        <v>1</v>
      </c>
      <c r="AK169" s="63"/>
      <c r="AL169" s="63"/>
      <c r="AM169" s="63" t="str">
        <f>IF(COUNTIF('NCR Indicators'!K:K,"*"&amp;wacor_data_dictionary[[#This Row],[field_id]]&amp;"*")&gt;=1,"Yes","No")</f>
        <v>No</v>
      </c>
      <c r="AO169" s="63" t="s">
        <v>572</v>
      </c>
      <c r="AQ169" s="106"/>
      <c r="AR169" s="63"/>
      <c r="AS169" s="63"/>
      <c r="AT169"/>
      <c r="AU169"/>
    </row>
    <row r="170" spans="1:47" s="43" customFormat="1" ht="89.25" customHeight="1" x14ac:dyDescent="0.2">
      <c r="A170" s="38" t="s">
        <v>504</v>
      </c>
      <c r="B170" s="43" t="s">
        <v>505</v>
      </c>
      <c r="C170" s="47" t="s">
        <v>1437</v>
      </c>
      <c r="E170" s="43" t="s">
        <v>2007</v>
      </c>
      <c r="F170" s="43" t="s">
        <v>1566</v>
      </c>
      <c r="G170" s="38" t="s">
        <v>2008</v>
      </c>
      <c r="H170" s="43" t="s">
        <v>1514</v>
      </c>
      <c r="I170" s="44" t="s">
        <v>1442</v>
      </c>
      <c r="J170" s="44" t="s">
        <v>2009</v>
      </c>
      <c r="L170" s="38"/>
      <c r="O170" s="38" t="s">
        <v>1514</v>
      </c>
      <c r="P170" s="38"/>
      <c r="Q170" s="43" t="str">
        <f>_xlfn.TEXTJOIN(", ",TRUE,wacor_data_dictionary[[#This Row],[Cardiobase Angioplasty]:[Development]])</f>
        <v>Cardiobase Angioplasty</v>
      </c>
      <c r="R170" s="38" t="s">
        <v>549</v>
      </c>
      <c r="S170" s="38"/>
      <c r="T170" s="38"/>
      <c r="U170" s="38"/>
      <c r="V170" s="38"/>
      <c r="W170" s="38"/>
      <c r="X170" s="38"/>
      <c r="Y170" s="38"/>
      <c r="Z170" s="38"/>
      <c r="AA170" s="38"/>
      <c r="AB170" s="38"/>
      <c r="AD170" s="38"/>
      <c r="AE170" s="38"/>
      <c r="AF170" s="44"/>
      <c r="AG170" s="38"/>
      <c r="AH170" s="38"/>
      <c r="AI170" s="38"/>
      <c r="AJ170" s="63">
        <v>1</v>
      </c>
      <c r="AK170" s="63"/>
      <c r="AL170" s="63"/>
      <c r="AM170" s="63" t="str">
        <f>IF(COUNTIF('NCR Indicators'!K:K,"*"&amp;wacor_data_dictionary[[#This Row],[field_id]]&amp;"*")&gt;=1,"Yes","No")</f>
        <v>No</v>
      </c>
      <c r="AN170" s="63"/>
      <c r="AO170" s="63" t="s">
        <v>576</v>
      </c>
      <c r="AP170" s="106"/>
      <c r="AQ170" s="106"/>
      <c r="AR170" s="47"/>
      <c r="AS170" s="47"/>
    </row>
    <row r="171" spans="1:47" ht="142.5" x14ac:dyDescent="0.2">
      <c r="A171" s="38" t="s">
        <v>179</v>
      </c>
      <c r="B171" s="43" t="s">
        <v>506</v>
      </c>
      <c r="C171" s="47" t="s">
        <v>1437</v>
      </c>
      <c r="E171" s="47" t="s">
        <v>2010</v>
      </c>
      <c r="F171" s="47" t="s">
        <v>2011</v>
      </c>
      <c r="G171" s="38" t="s">
        <v>1440</v>
      </c>
      <c r="H171" s="43" t="s">
        <v>1514</v>
      </c>
      <c r="I171" s="44" t="s">
        <v>2012</v>
      </c>
      <c r="J171" s="44" t="s">
        <v>2013</v>
      </c>
      <c r="K171" s="43"/>
      <c r="M171" s="43" t="s">
        <v>2014</v>
      </c>
      <c r="N171" s="43"/>
      <c r="O171" s="63" t="s">
        <v>1601</v>
      </c>
      <c r="Q171" s="43" t="str">
        <f>_xlfn.TEXTJOIN(", ",TRUE,wacor_data_dictionary[[#This Row],[Cardiobase Angioplasty]:[Development]])</f>
        <v>Cardiobase Angioplasty, Redcap</v>
      </c>
      <c r="R171" s="38" t="s">
        <v>549</v>
      </c>
      <c r="AA171" s="38" t="s">
        <v>580</v>
      </c>
      <c r="AC171" s="43" t="s">
        <v>1446</v>
      </c>
      <c r="AF171" s="44">
        <v>1</v>
      </c>
      <c r="AG171" s="40">
        <v>44764</v>
      </c>
      <c r="AH171" s="38" t="s">
        <v>1585</v>
      </c>
      <c r="AJ171" s="63">
        <v>1</v>
      </c>
      <c r="AK171" s="63"/>
      <c r="AL171" s="63"/>
      <c r="AM171" s="63" t="str">
        <f>IF(COUNTIF('NCR Indicators'!K:K,"*"&amp;wacor_data_dictionary[[#This Row],[field_id]]&amp;"*")&gt;=1,"Yes","No")</f>
        <v>Yes</v>
      </c>
      <c r="AN171" s="47" t="s">
        <v>2015</v>
      </c>
      <c r="AO171" s="63" t="s">
        <v>576</v>
      </c>
      <c r="AP171" s="134"/>
      <c r="AQ171" s="106"/>
      <c r="AR171" s="63"/>
      <c r="AS171" s="63"/>
      <c r="AT171"/>
      <c r="AU171"/>
    </row>
    <row r="172" spans="1:47" s="43" customFormat="1" ht="199.5" customHeight="1" x14ac:dyDescent="0.2">
      <c r="A172" s="38" t="s">
        <v>180</v>
      </c>
      <c r="B172" s="43" t="s">
        <v>507</v>
      </c>
      <c r="C172" s="47" t="s">
        <v>1437</v>
      </c>
      <c r="E172" s="43" t="s">
        <v>2016</v>
      </c>
      <c r="F172" s="43" t="s">
        <v>2017</v>
      </c>
      <c r="G172" s="38" t="s">
        <v>675</v>
      </c>
      <c r="H172" s="43" t="s">
        <v>1514</v>
      </c>
      <c r="I172" s="44" t="s">
        <v>1514</v>
      </c>
      <c r="J172" s="44" t="s">
        <v>1514</v>
      </c>
      <c r="L172" s="38"/>
      <c r="M172" s="43" t="s">
        <v>857</v>
      </c>
      <c r="O172" s="38" t="s">
        <v>1601</v>
      </c>
      <c r="P172" s="38"/>
      <c r="Q172" s="43" t="str">
        <f>_xlfn.TEXTJOIN(", ",TRUE,wacor_data_dictionary[[#This Row],[Cardiobase Angioplasty]:[Development]])</f>
        <v>Cardiobase Angioplasty, Redcap</v>
      </c>
      <c r="R172" s="63" t="s">
        <v>549</v>
      </c>
      <c r="S172" s="63"/>
      <c r="T172" s="63"/>
      <c r="U172" s="63"/>
      <c r="V172" s="63"/>
      <c r="W172" s="63"/>
      <c r="X172" s="63"/>
      <c r="Y172" s="63"/>
      <c r="Z172" s="63"/>
      <c r="AA172" s="63" t="s">
        <v>580</v>
      </c>
      <c r="AB172" s="63"/>
      <c r="AC172" s="43" t="s">
        <v>1446</v>
      </c>
      <c r="AD172" s="38"/>
      <c r="AE172" s="38"/>
      <c r="AF172" s="44">
        <v>1</v>
      </c>
      <c r="AG172" s="40">
        <v>44764</v>
      </c>
      <c r="AH172" s="38" t="s">
        <v>1602</v>
      </c>
      <c r="AI172" s="38"/>
      <c r="AJ172" s="63">
        <v>1</v>
      </c>
      <c r="AK172" s="63"/>
      <c r="AL172" s="63"/>
      <c r="AM172" s="63" t="str">
        <f>IF(COUNTIF('NCR Indicators'!K:K,"*"&amp;wacor_data_dictionary[[#This Row],[field_id]]&amp;"*")&gt;=1,"Yes","No")</f>
        <v>Yes</v>
      </c>
      <c r="AN172" s="63" t="s">
        <v>2018</v>
      </c>
      <c r="AO172" s="63" t="s">
        <v>576</v>
      </c>
      <c r="AP172" s="134"/>
      <c r="AQ172" s="106"/>
      <c r="AR172" s="47"/>
      <c r="AS172" s="47"/>
    </row>
    <row r="173" spans="1:47" s="43" customFormat="1" ht="113.65" customHeight="1" x14ac:dyDescent="0.2">
      <c r="A173" s="38" t="s">
        <v>508</v>
      </c>
      <c r="B173" s="43" t="s">
        <v>509</v>
      </c>
      <c r="C173" s="47" t="s">
        <v>1437</v>
      </c>
      <c r="E173" s="43" t="s">
        <v>2019</v>
      </c>
      <c r="F173" s="43" t="s">
        <v>2020</v>
      </c>
      <c r="G173" s="38" t="s">
        <v>675</v>
      </c>
      <c r="H173" s="43" t="s">
        <v>1514</v>
      </c>
      <c r="I173" s="44" t="s">
        <v>1514</v>
      </c>
      <c r="J173" s="44" t="s">
        <v>1514</v>
      </c>
      <c r="L173" s="38"/>
      <c r="M173" s="43" t="s">
        <v>2021</v>
      </c>
      <c r="O173" s="38" t="s">
        <v>1601</v>
      </c>
      <c r="P173" s="38"/>
      <c r="Q173" s="43" t="str">
        <f>_xlfn.TEXTJOIN(", ",TRUE,wacor_data_dictionary[[#This Row],[Cardiobase Angioplasty]:[Development]])</f>
        <v>Cardiobase Angioplasty, HMDC, EDDC, Redcap</v>
      </c>
      <c r="R173" s="63" t="s">
        <v>549</v>
      </c>
      <c r="S173" s="63"/>
      <c r="T173" s="63" t="s">
        <v>554</v>
      </c>
      <c r="U173" s="63" t="s">
        <v>167</v>
      </c>
      <c r="V173" s="63"/>
      <c r="W173" s="63"/>
      <c r="X173" s="63"/>
      <c r="Y173" s="63"/>
      <c r="Z173" s="63"/>
      <c r="AA173" s="63" t="s">
        <v>580</v>
      </c>
      <c r="AB173" s="63"/>
      <c r="AD173" s="38"/>
      <c r="AE173" s="38"/>
      <c r="AF173" s="44"/>
      <c r="AG173" s="38"/>
      <c r="AH173" s="38"/>
      <c r="AI173" s="38"/>
      <c r="AJ173" s="63">
        <v>1</v>
      </c>
      <c r="AK173" s="63"/>
      <c r="AL173" s="63"/>
      <c r="AM173" s="63" t="str">
        <f>IF(COUNTIF('NCR Indicators'!K:K,"*"&amp;wacor_data_dictionary[[#This Row],[field_id]]&amp;"*")&gt;=1,"Yes","No")</f>
        <v>No</v>
      </c>
      <c r="AN173" s="63"/>
      <c r="AO173" s="63" t="s">
        <v>576</v>
      </c>
      <c r="AP173" s="106"/>
      <c r="AQ173" s="106"/>
      <c r="AR173" s="47"/>
      <c r="AS173" s="47"/>
    </row>
    <row r="174" spans="1:47" ht="28.5" x14ac:dyDescent="0.2">
      <c r="A174" s="38" t="s">
        <v>510</v>
      </c>
      <c r="B174" s="43" t="s">
        <v>511</v>
      </c>
      <c r="C174" s="47" t="s">
        <v>1437</v>
      </c>
      <c r="E174" s="43" t="s">
        <v>2022</v>
      </c>
      <c r="F174" s="43" t="s">
        <v>2023</v>
      </c>
      <c r="G174" s="38" t="s">
        <v>1002</v>
      </c>
      <c r="H174" s="43" t="s">
        <v>1514</v>
      </c>
      <c r="I174" s="44" t="s">
        <v>2024</v>
      </c>
      <c r="J174" s="44" t="s">
        <v>2025</v>
      </c>
      <c r="K174" s="43"/>
      <c r="L174" s="38"/>
      <c r="M174" s="43" t="s">
        <v>2026</v>
      </c>
      <c r="N174" s="43"/>
      <c r="O174" s="38" t="s">
        <v>1514</v>
      </c>
      <c r="Q174" s="43" t="str">
        <f>_xlfn.TEXTJOIN(", ",TRUE,wacor_data_dictionary[[#This Row],[Cardiobase Angioplasty]:[Development]])</f>
        <v>Cardiobase Angioplasty</v>
      </c>
      <c r="R174" s="38" t="s">
        <v>549</v>
      </c>
      <c r="AC174" s="43" t="s">
        <v>1446</v>
      </c>
      <c r="AF174" s="44">
        <v>1</v>
      </c>
      <c r="AG174" s="40">
        <v>44764</v>
      </c>
      <c r="AJ174" s="63">
        <v>1</v>
      </c>
      <c r="AK174" s="63"/>
      <c r="AL174" s="63"/>
      <c r="AM174" s="63" t="str">
        <f>IF(COUNTIF('NCR Indicators'!K:K,"*"&amp;wacor_data_dictionary[[#This Row],[field_id]]&amp;"*")&gt;=1,"Yes","No")</f>
        <v>No</v>
      </c>
      <c r="AO174" s="63" t="s">
        <v>576</v>
      </c>
      <c r="AQ174" s="106"/>
      <c r="AR174" s="63"/>
      <c r="AS174" s="63"/>
      <c r="AT174"/>
      <c r="AU174"/>
    </row>
    <row r="175" spans="1:47" ht="185.25" x14ac:dyDescent="0.2">
      <c r="A175" s="38" t="s">
        <v>256</v>
      </c>
      <c r="B175" s="43" t="s">
        <v>512</v>
      </c>
      <c r="C175" s="47" t="s">
        <v>1437</v>
      </c>
      <c r="D175" s="43" t="s">
        <v>2027</v>
      </c>
      <c r="E175" s="43" t="s">
        <v>2028</v>
      </c>
      <c r="F175" s="43" t="s">
        <v>2029</v>
      </c>
      <c r="G175" s="38" t="s">
        <v>1440</v>
      </c>
      <c r="H175" s="43" t="s">
        <v>1529</v>
      </c>
      <c r="I175" s="44" t="s">
        <v>1530</v>
      </c>
      <c r="J175" s="44" t="s">
        <v>629</v>
      </c>
      <c r="K175" s="43"/>
      <c r="L175" s="38"/>
      <c r="M175" s="47" t="s">
        <v>2030</v>
      </c>
      <c r="N175" s="43"/>
      <c r="O175" s="38" t="s">
        <v>2031</v>
      </c>
      <c r="Q175" s="43" t="str">
        <f>_xlfn.TEXTJOIN(", ",TRUE,wacor_data_dictionary[[#This Row],[Cardiobase Angioplasty]:[Development]])</f>
        <v>Redcap</v>
      </c>
      <c r="AA175" s="63" t="s">
        <v>580</v>
      </c>
      <c r="AC175" s="43"/>
      <c r="AF175" s="121">
        <v>3</v>
      </c>
      <c r="AH175" s="38" t="s">
        <v>1532</v>
      </c>
      <c r="AJ175" s="63">
        <v>1</v>
      </c>
      <c r="AK175" s="63"/>
      <c r="AL175" s="63"/>
      <c r="AM175" s="63" t="s">
        <v>1449</v>
      </c>
      <c r="AO175" s="47" t="s">
        <v>1535</v>
      </c>
      <c r="AP175" s="134"/>
      <c r="AQ175" s="106"/>
      <c r="AR175" s="63"/>
      <c r="AS175" s="63"/>
      <c r="AT175"/>
      <c r="AU175"/>
    </row>
    <row r="176" spans="1:47" s="43" customFormat="1" ht="90" customHeight="1" x14ac:dyDescent="0.2">
      <c r="A176" s="43" t="s">
        <v>1355</v>
      </c>
      <c r="B176" s="43" t="s">
        <v>1356</v>
      </c>
      <c r="C176" s="43" t="s">
        <v>1449</v>
      </c>
      <c r="D176" s="43" t="s">
        <v>2032</v>
      </c>
      <c r="E176" s="43" t="s">
        <v>2033</v>
      </c>
      <c r="F176" s="43" t="s">
        <v>2033</v>
      </c>
      <c r="G176" s="43" t="s">
        <v>647</v>
      </c>
      <c r="H176" s="51"/>
      <c r="I176" s="51" t="s">
        <v>2034</v>
      </c>
      <c r="J176" s="52" t="s">
        <v>2034</v>
      </c>
      <c r="K176" s="43" t="s">
        <v>2035</v>
      </c>
      <c r="L176" s="43" t="s">
        <v>2036</v>
      </c>
      <c r="M176" s="43" t="s">
        <v>2037</v>
      </c>
      <c r="O176" s="50" t="s">
        <v>2038</v>
      </c>
      <c r="P176" s="43" t="s">
        <v>2039</v>
      </c>
      <c r="Q176" s="43" t="str">
        <f>_xlfn.TEXTJOIN(", ",TRUE,wacor_data_dictionary[[#This Row],[Cardiobase Angioplasty]:[Development]])</f>
        <v>Development</v>
      </c>
      <c r="AB176" s="43" t="s">
        <v>564</v>
      </c>
      <c r="AC176" s="43" t="s">
        <v>1474</v>
      </c>
      <c r="AF176" s="46" t="s">
        <v>292</v>
      </c>
      <c r="AJ176" s="63"/>
      <c r="AK176" s="63"/>
      <c r="AL176" s="63"/>
      <c r="AM176" s="63" t="str">
        <f>IF(COUNTIF('NCR Indicators'!K:K,"*"&amp;wacor_data_dictionary[[#This Row],[field_id]]&amp;"*")&gt;=1,"Yes","No")</f>
        <v>No</v>
      </c>
      <c r="AN176" s="63"/>
      <c r="AO176" s="63"/>
      <c r="AP176" s="106"/>
      <c r="AQ176" s="106"/>
      <c r="AR176" s="47"/>
      <c r="AS176" s="47"/>
    </row>
    <row r="177" spans="1:47" s="43" customFormat="1" ht="90" customHeight="1" x14ac:dyDescent="0.2">
      <c r="A177" s="43" t="s">
        <v>1357</v>
      </c>
      <c r="B177" s="43" t="s">
        <v>1358</v>
      </c>
      <c r="C177" s="43" t="s">
        <v>1449</v>
      </c>
      <c r="D177" s="43" t="s">
        <v>2040</v>
      </c>
      <c r="E177" s="43" t="s">
        <v>2033</v>
      </c>
      <c r="F177" s="43" t="s">
        <v>2033</v>
      </c>
      <c r="G177" s="43" t="s">
        <v>675</v>
      </c>
      <c r="H177" s="51"/>
      <c r="I177" s="51" t="s">
        <v>2012</v>
      </c>
      <c r="J177" s="52">
        <v>0.99930555555555556</v>
      </c>
      <c r="K177" s="43" t="s">
        <v>2035</v>
      </c>
      <c r="L177" s="43" t="s">
        <v>2036</v>
      </c>
      <c r="M177" s="43" t="s">
        <v>2041</v>
      </c>
      <c r="O177" s="43" t="s">
        <v>1449</v>
      </c>
      <c r="Q177" s="43" t="str">
        <f>_xlfn.TEXTJOIN(", ",TRUE,wacor_data_dictionary[[#This Row],[Cardiobase Angioplasty]:[Development]])</f>
        <v>Development</v>
      </c>
      <c r="AB177" s="43" t="s">
        <v>564</v>
      </c>
      <c r="AC177" s="43" t="s">
        <v>1474</v>
      </c>
      <c r="AF177" s="46" t="s">
        <v>292</v>
      </c>
      <c r="AJ177" s="63"/>
      <c r="AK177" s="63"/>
      <c r="AL177" s="63"/>
      <c r="AM177" s="63" t="str">
        <f>IF(COUNTIF('NCR Indicators'!K:K,"*"&amp;wacor_data_dictionary[[#This Row],[field_id]]&amp;"*")&gt;=1,"Yes","No")</f>
        <v>No</v>
      </c>
      <c r="AN177" s="63"/>
      <c r="AO177" s="63"/>
      <c r="AP177" s="106"/>
      <c r="AQ177" s="106"/>
      <c r="AR177" s="47"/>
      <c r="AS177" s="47"/>
    </row>
    <row r="178" spans="1:47" ht="85.5" x14ac:dyDescent="0.2">
      <c r="A178" s="43" t="s">
        <v>1359</v>
      </c>
      <c r="C178" s="38" t="s">
        <v>1449</v>
      </c>
      <c r="D178" s="47" t="s">
        <v>2042</v>
      </c>
      <c r="G178" s="38" t="s">
        <v>1440</v>
      </c>
      <c r="H178" s="43" t="s">
        <v>2043</v>
      </c>
      <c r="I178" s="44">
        <v>0</v>
      </c>
      <c r="J178" s="44">
        <v>1</v>
      </c>
      <c r="K178" s="43" t="s">
        <v>2035</v>
      </c>
      <c r="L178" s="43" t="s">
        <v>2044</v>
      </c>
      <c r="N178" s="43"/>
      <c r="O178" s="43"/>
      <c r="Q178" s="43" t="str">
        <f>_xlfn.TEXTJOIN(", ",TRUE,wacor_data_dictionary[[#This Row],[Cardiobase Angioplasty]:[Development]])</f>
        <v>HMDC</v>
      </c>
      <c r="T178" s="38" t="s">
        <v>554</v>
      </c>
      <c r="AC178" s="43" t="s">
        <v>1474</v>
      </c>
      <c r="AE178" s="38" t="s">
        <v>2045</v>
      </c>
      <c r="AF178" s="44" t="s">
        <v>282</v>
      </c>
      <c r="AJ178" s="63"/>
      <c r="AK178" s="63"/>
      <c r="AL178" s="63"/>
      <c r="AM178" s="63" t="str">
        <f>IF(COUNTIF('NCR Indicators'!K:K,"*"&amp;wacor_data_dictionary[[#This Row],[field_id]]&amp;"*")&gt;=1,"Yes","No")</f>
        <v>No</v>
      </c>
      <c r="AO178" s="63"/>
      <c r="AQ178" s="106"/>
      <c r="AR178" s="63"/>
      <c r="AS178" s="63"/>
      <c r="AT178"/>
      <c r="AU178"/>
    </row>
    <row r="179" spans="1:47" ht="28.5" x14ac:dyDescent="0.2">
      <c r="A179" s="38" t="s">
        <v>1360</v>
      </c>
      <c r="B179" s="43" t="s">
        <v>1361</v>
      </c>
      <c r="C179" s="38" t="s">
        <v>1449</v>
      </c>
      <c r="D179" s="43" t="s">
        <v>2046</v>
      </c>
      <c r="E179" s="43" t="s">
        <v>2047</v>
      </c>
      <c r="F179" s="43" t="s">
        <v>2047</v>
      </c>
      <c r="G179" s="38" t="s">
        <v>647</v>
      </c>
      <c r="K179" s="43" t="s">
        <v>2048</v>
      </c>
      <c r="L179" s="38" t="s">
        <v>2049</v>
      </c>
      <c r="M179" s="43" t="s">
        <v>2050</v>
      </c>
      <c r="N179" s="43"/>
      <c r="O179" s="38" t="s">
        <v>2047</v>
      </c>
      <c r="P179" s="38" t="s">
        <v>2051</v>
      </c>
      <c r="Q179" s="43" t="str">
        <f>_xlfn.TEXTJOIN(", ",TRUE,wacor_data_dictionary[[#This Row],[Cardiobase Angioplasty]:[Development]])</f>
        <v/>
      </c>
      <c r="AC179" s="43" t="s">
        <v>1821</v>
      </c>
      <c r="AD179" s="38" t="s">
        <v>2047</v>
      </c>
      <c r="AF179" s="44" t="s">
        <v>292</v>
      </c>
      <c r="AJ179" s="63"/>
      <c r="AK179" s="63"/>
      <c r="AL179" s="63"/>
      <c r="AM179" s="63" t="str">
        <f>IF(COUNTIF('NCR Indicators'!K:K,"*"&amp;wacor_data_dictionary[[#This Row],[field_id]]&amp;"*")&gt;=1,"Yes","No")</f>
        <v>No</v>
      </c>
      <c r="AO179" s="63"/>
      <c r="AQ179" s="106"/>
      <c r="AR179" s="63"/>
      <c r="AS179" s="63"/>
      <c r="AT179"/>
      <c r="AU179"/>
    </row>
    <row r="180" spans="1:47" ht="53.65" customHeight="1" x14ac:dyDescent="0.2">
      <c r="A180" s="43" t="s">
        <v>1362</v>
      </c>
      <c r="B180" s="43" t="s">
        <v>1363</v>
      </c>
      <c r="C180" s="43" t="s">
        <v>1449</v>
      </c>
      <c r="D180" s="50" t="s">
        <v>2052</v>
      </c>
      <c r="E180" s="43" t="s">
        <v>2047</v>
      </c>
      <c r="F180" s="43" t="s">
        <v>2047</v>
      </c>
      <c r="G180" s="43" t="s">
        <v>675</v>
      </c>
      <c r="I180" s="53" t="s">
        <v>2012</v>
      </c>
      <c r="J180" s="46" t="s">
        <v>2013</v>
      </c>
      <c r="K180" s="43" t="s">
        <v>2048</v>
      </c>
      <c r="M180" s="43" t="s">
        <v>2053</v>
      </c>
      <c r="N180" s="43"/>
      <c r="O180" s="43" t="s">
        <v>2047</v>
      </c>
      <c r="P180" s="43" t="s">
        <v>2051</v>
      </c>
      <c r="Q180" s="43" t="str">
        <f>_xlfn.TEXTJOIN(", ",TRUE,wacor_data_dictionary[[#This Row],[Cardiobase Angioplasty]:[Development]])</f>
        <v/>
      </c>
      <c r="R180" s="43"/>
      <c r="S180" s="43"/>
      <c r="T180" s="43"/>
      <c r="U180" s="43"/>
      <c r="V180" s="43"/>
      <c r="W180" s="43"/>
      <c r="X180" s="43"/>
      <c r="Y180" s="43"/>
      <c r="Z180" s="43"/>
      <c r="AA180" s="43"/>
      <c r="AB180" s="43"/>
      <c r="AC180" s="43" t="s">
        <v>1821</v>
      </c>
      <c r="AD180" s="43" t="s">
        <v>2047</v>
      </c>
      <c r="AE180" s="43"/>
      <c r="AF180" s="46" t="s">
        <v>292</v>
      </c>
      <c r="AG180" s="43"/>
      <c r="AH180" s="43"/>
      <c r="AI180" s="43"/>
      <c r="AJ180" s="63"/>
      <c r="AK180" s="63"/>
      <c r="AL180" s="63"/>
      <c r="AM180" s="63" t="str">
        <f>IF(COUNTIF('NCR Indicators'!K:K,"*"&amp;wacor_data_dictionary[[#This Row],[field_id]]&amp;"*")&gt;=1,"Yes","No")</f>
        <v>No</v>
      </c>
      <c r="AO180" s="63"/>
      <c r="AQ180" s="106"/>
      <c r="AR180" s="63"/>
      <c r="AS180" s="63"/>
      <c r="AT180"/>
      <c r="AU180"/>
    </row>
    <row r="181" spans="1:47" ht="57" x14ac:dyDescent="0.2">
      <c r="A181" s="38" t="s">
        <v>513</v>
      </c>
      <c r="B181" s="43" t="s">
        <v>512</v>
      </c>
      <c r="C181" s="47" t="s">
        <v>1437</v>
      </c>
      <c r="E181" s="43" t="s">
        <v>1514</v>
      </c>
      <c r="F181" s="43" t="s">
        <v>2054</v>
      </c>
      <c r="G181" s="38" t="s">
        <v>1440</v>
      </c>
      <c r="H181" s="43" t="s">
        <v>1529</v>
      </c>
      <c r="I181" s="44" t="s">
        <v>1530</v>
      </c>
      <c r="J181" s="44" t="s">
        <v>629</v>
      </c>
      <c r="K181" s="43"/>
      <c r="L181" s="38"/>
      <c r="M181" s="43" t="s">
        <v>1514</v>
      </c>
      <c r="N181" s="43"/>
      <c r="O181" s="38" t="s">
        <v>1514</v>
      </c>
      <c r="Q181" s="43" t="str">
        <f>_xlfn.TEXTJOIN(", ",TRUE,wacor_data_dictionary[[#This Row],[Cardiobase Angioplasty]:[Development]])</f>
        <v>Redcap</v>
      </c>
      <c r="AA181" s="63" t="s">
        <v>580</v>
      </c>
      <c r="AC181" s="43"/>
      <c r="AF181" s="121">
        <v>3</v>
      </c>
      <c r="AH181" s="38">
        <f>AH173</f>
        <v>0</v>
      </c>
      <c r="AJ181" s="63">
        <v>1</v>
      </c>
      <c r="AK181" s="63"/>
      <c r="AL181" s="63"/>
      <c r="AM181" s="63" t="str">
        <f>IF(COUNTIF('NCR Indicators'!K:K,"*"&amp;wacor_data_dictionary[[#This Row],[field_id]]&amp;"*")&gt;=1,"Yes","No")</f>
        <v>No</v>
      </c>
      <c r="AO181" s="47" t="s">
        <v>1535</v>
      </c>
      <c r="AQ181" s="106"/>
      <c r="AR181" s="63"/>
      <c r="AS181" s="63"/>
      <c r="AT181"/>
      <c r="AU181"/>
    </row>
    <row r="182" spans="1:47" ht="57" x14ac:dyDescent="0.2">
      <c r="A182" s="38" t="s">
        <v>514</v>
      </c>
      <c r="B182" s="43" t="s">
        <v>512</v>
      </c>
      <c r="C182" s="47" t="s">
        <v>1437</v>
      </c>
      <c r="E182" s="43" t="s">
        <v>1514</v>
      </c>
      <c r="F182" s="43" t="s">
        <v>2055</v>
      </c>
      <c r="G182" s="38" t="s">
        <v>1440</v>
      </c>
      <c r="H182" s="43" t="s">
        <v>1529</v>
      </c>
      <c r="I182" s="44" t="s">
        <v>1530</v>
      </c>
      <c r="J182" s="44" t="s">
        <v>629</v>
      </c>
      <c r="K182" s="43"/>
      <c r="L182" s="38"/>
      <c r="M182" s="43" t="s">
        <v>1514</v>
      </c>
      <c r="N182" s="43"/>
      <c r="O182" s="38" t="s">
        <v>1514</v>
      </c>
      <c r="Q182" s="43" t="str">
        <f>_xlfn.TEXTJOIN(", ",TRUE,wacor_data_dictionary[[#This Row],[Cardiobase Angioplasty]:[Development]])</f>
        <v/>
      </c>
      <c r="AC182" s="43"/>
      <c r="AF182" s="121">
        <v>3</v>
      </c>
      <c r="AH182" s="38">
        <f>AH174</f>
        <v>0</v>
      </c>
      <c r="AJ182" s="63">
        <v>0</v>
      </c>
      <c r="AK182" s="63"/>
      <c r="AL182" s="63"/>
      <c r="AM182" s="63" t="str">
        <f>IF(COUNTIF('NCR Indicators'!K:K,"*"&amp;wacor_data_dictionary[[#This Row],[field_id]]&amp;"*")&gt;=1,"Yes","No")</f>
        <v>No</v>
      </c>
      <c r="AO182" s="47" t="s">
        <v>1535</v>
      </c>
      <c r="AQ182" s="106"/>
      <c r="AR182" s="63"/>
      <c r="AS182" s="63"/>
      <c r="AT182"/>
      <c r="AU182"/>
    </row>
    <row r="183" spans="1:47" ht="42.75" x14ac:dyDescent="0.2">
      <c r="A183" s="63" t="s">
        <v>1364</v>
      </c>
      <c r="B183" s="47" t="s">
        <v>1365</v>
      </c>
      <c r="C183" s="38" t="s">
        <v>1449</v>
      </c>
      <c r="D183" s="43" t="s">
        <v>2056</v>
      </c>
      <c r="E183" s="43" t="s">
        <v>2033</v>
      </c>
      <c r="F183" s="43" t="s">
        <v>2033</v>
      </c>
      <c r="G183" s="38" t="s">
        <v>647</v>
      </c>
      <c r="L183" s="38"/>
      <c r="M183" s="47" t="s">
        <v>2057</v>
      </c>
      <c r="N183" s="43"/>
      <c r="Q183" s="43" t="str">
        <f>_xlfn.TEXTJOIN(", ",TRUE,wacor_data_dictionary[[#This Row],[Cardiobase Angioplasty]:[Development]])</f>
        <v>Cardiobase Angioplasty</v>
      </c>
      <c r="R183" s="38" t="s">
        <v>549</v>
      </c>
      <c r="AC183" s="38" t="s">
        <v>1821</v>
      </c>
      <c r="AF183" s="44" t="s">
        <v>282</v>
      </c>
      <c r="AJ183" s="63"/>
      <c r="AK183" s="63"/>
      <c r="AL183" s="63"/>
      <c r="AM183" s="63" t="str">
        <f>IF(COUNTIF('NCR Indicators'!K:K,"*"&amp;wacor_data_dictionary[[#This Row],[field_id]]&amp;"*")&gt;=1,"Yes","No")</f>
        <v>No</v>
      </c>
      <c r="AO183" s="63"/>
      <c r="AQ183" s="106"/>
      <c r="AR183" s="63"/>
      <c r="AS183" s="63"/>
      <c r="AT183"/>
      <c r="AU183"/>
    </row>
    <row r="184" spans="1:47" ht="90" x14ac:dyDescent="0.25">
      <c r="A184" s="43" t="s">
        <v>1368</v>
      </c>
      <c r="B184" s="47" t="s">
        <v>1369</v>
      </c>
      <c r="C184" s="43" t="s">
        <v>1449</v>
      </c>
      <c r="D184" s="43" t="s">
        <v>2058</v>
      </c>
      <c r="E184" s="47" t="s">
        <v>2033</v>
      </c>
      <c r="F184" s="47" t="s">
        <v>2033</v>
      </c>
      <c r="G184" s="43" t="s">
        <v>647</v>
      </c>
      <c r="I184" s="46"/>
      <c r="J184" s="46"/>
      <c r="K184" s="47" t="s">
        <v>2035</v>
      </c>
      <c r="M184" s="47" t="s">
        <v>2059</v>
      </c>
      <c r="N184" s="43"/>
      <c r="O184" s="43" t="s">
        <v>1449</v>
      </c>
      <c r="P184" s="43" t="s">
        <v>2060</v>
      </c>
      <c r="Q184" s="43" t="str">
        <f>_xlfn.TEXTJOIN(", ",TRUE,wacor_data_dictionary[[#This Row],[Cardiobase Angioplasty]:[Development]])</f>
        <v>Development</v>
      </c>
      <c r="R184" s="47"/>
      <c r="S184" s="47"/>
      <c r="T184" s="47"/>
      <c r="U184" s="47"/>
      <c r="V184" s="47"/>
      <c r="W184" s="47"/>
      <c r="X184" s="47"/>
      <c r="Y184" s="47"/>
      <c r="Z184" s="47"/>
      <c r="AA184" s="47"/>
      <c r="AB184" s="47" t="s">
        <v>564</v>
      </c>
      <c r="AC184" s="60" t="s">
        <v>1821</v>
      </c>
      <c r="AD184" s="43"/>
      <c r="AE184" s="70" t="s">
        <v>2061</v>
      </c>
      <c r="AF184" s="46" t="s">
        <v>292</v>
      </c>
      <c r="AG184" s="43"/>
      <c r="AH184" s="43"/>
      <c r="AI184" s="43"/>
      <c r="AJ184" s="63"/>
      <c r="AK184" s="63"/>
      <c r="AL184" s="63"/>
      <c r="AM184" s="63" t="str">
        <f>IF(COUNTIF('NCR Indicators'!K:K,"*"&amp;wacor_data_dictionary[[#This Row],[field_id]]&amp;"*")&gt;=1,"Yes","No")</f>
        <v>No</v>
      </c>
      <c r="AO184" s="63"/>
      <c r="AQ184" s="106"/>
      <c r="AR184" s="63"/>
      <c r="AS184" s="63"/>
      <c r="AT184"/>
      <c r="AU184"/>
    </row>
    <row r="185" spans="1:47" ht="90" x14ac:dyDescent="0.25">
      <c r="A185" s="43" t="s">
        <v>1370</v>
      </c>
      <c r="B185" s="47" t="s">
        <v>1371</v>
      </c>
      <c r="C185" s="43" t="s">
        <v>1449</v>
      </c>
      <c r="D185" s="43" t="s">
        <v>2062</v>
      </c>
      <c r="E185" s="47" t="s">
        <v>2033</v>
      </c>
      <c r="F185" s="47" t="s">
        <v>2033</v>
      </c>
      <c r="G185" s="43" t="s">
        <v>675</v>
      </c>
      <c r="I185" s="57" t="s">
        <v>2012</v>
      </c>
      <c r="J185" s="62">
        <v>0.99930555555555556</v>
      </c>
      <c r="K185" s="47" t="s">
        <v>2035</v>
      </c>
      <c r="M185" s="47" t="s">
        <v>2059</v>
      </c>
      <c r="N185" s="43"/>
      <c r="O185" s="43" t="s">
        <v>1449</v>
      </c>
      <c r="P185" s="43"/>
      <c r="Q185" s="43" t="str">
        <f>_xlfn.TEXTJOIN(", ",TRUE,wacor_data_dictionary[[#This Row],[Cardiobase Angioplasty]:[Development]])</f>
        <v>Development</v>
      </c>
      <c r="R185" s="47"/>
      <c r="S185" s="47"/>
      <c r="T185" s="47"/>
      <c r="U185" s="47"/>
      <c r="V185" s="47"/>
      <c r="W185" s="47"/>
      <c r="X185" s="47"/>
      <c r="Y185" s="47"/>
      <c r="Z185" s="47"/>
      <c r="AA185" s="47"/>
      <c r="AB185" s="47" t="s">
        <v>564</v>
      </c>
      <c r="AC185" s="60" t="s">
        <v>1821</v>
      </c>
      <c r="AD185" s="43"/>
      <c r="AE185" s="70" t="s">
        <v>2061</v>
      </c>
      <c r="AF185" s="46" t="s">
        <v>292</v>
      </c>
      <c r="AG185" s="43"/>
      <c r="AH185" s="43"/>
      <c r="AI185" s="43"/>
      <c r="AJ185" s="63"/>
      <c r="AK185" s="63"/>
      <c r="AL185" s="63"/>
      <c r="AM185" s="63" t="str">
        <f>IF(COUNTIF('NCR Indicators'!K:K,"*"&amp;wacor_data_dictionary[[#This Row],[field_id]]&amp;"*")&gt;=1,"Yes","No")</f>
        <v>No</v>
      </c>
      <c r="AO185" s="63"/>
      <c r="AQ185" s="106"/>
      <c r="AR185" s="63"/>
      <c r="AS185" s="63"/>
      <c r="AT185"/>
      <c r="AU185"/>
    </row>
    <row r="186" spans="1:47" ht="57" x14ac:dyDescent="0.2">
      <c r="A186" s="38" t="s">
        <v>515</v>
      </c>
      <c r="B186" s="43" t="s">
        <v>512</v>
      </c>
      <c r="C186" s="47" t="s">
        <v>1437</v>
      </c>
      <c r="E186" s="43" t="s">
        <v>1514</v>
      </c>
      <c r="F186" s="43" t="s">
        <v>2063</v>
      </c>
      <c r="G186" s="38" t="s">
        <v>1440</v>
      </c>
      <c r="H186" s="43" t="s">
        <v>1529</v>
      </c>
      <c r="I186" s="44" t="s">
        <v>1530</v>
      </c>
      <c r="J186" s="44" t="s">
        <v>629</v>
      </c>
      <c r="K186" s="43"/>
      <c r="L186" s="38"/>
      <c r="M186" s="43" t="s">
        <v>1514</v>
      </c>
      <c r="N186" s="43"/>
      <c r="O186" s="38" t="s">
        <v>1514</v>
      </c>
      <c r="Q186" s="43" t="str">
        <f>_xlfn.TEXTJOIN(", ",TRUE,wacor_data_dictionary[[#This Row],[Cardiobase Angioplasty]:[Development]])</f>
        <v/>
      </c>
      <c r="AC186" s="43"/>
      <c r="AF186" s="121">
        <v>3</v>
      </c>
      <c r="AH186" s="38">
        <f>AH178</f>
        <v>0</v>
      </c>
      <c r="AJ186" s="63">
        <v>0</v>
      </c>
      <c r="AK186" s="63"/>
      <c r="AL186" s="63"/>
      <c r="AM186" s="63" t="str">
        <f>IF(COUNTIF('NCR Indicators'!K:K,"*"&amp;wacor_data_dictionary[[#This Row],[field_id]]&amp;"*")&gt;=1,"Yes","No")</f>
        <v>No</v>
      </c>
      <c r="AO186" s="47" t="s">
        <v>1535</v>
      </c>
      <c r="AQ186" s="106"/>
      <c r="AR186" s="63"/>
      <c r="AS186" s="63"/>
      <c r="AT186"/>
      <c r="AU186"/>
    </row>
    <row r="187" spans="1:47" ht="57" x14ac:dyDescent="0.2">
      <c r="A187" s="38" t="s">
        <v>516</v>
      </c>
      <c r="B187" s="43" t="s">
        <v>512</v>
      </c>
      <c r="C187" s="47" t="s">
        <v>1437</v>
      </c>
      <c r="E187" s="43" t="s">
        <v>1514</v>
      </c>
      <c r="F187" s="43" t="s">
        <v>2064</v>
      </c>
      <c r="G187" s="38" t="s">
        <v>1440</v>
      </c>
      <c r="H187" s="43" t="s">
        <v>1529</v>
      </c>
      <c r="I187" s="44" t="s">
        <v>1530</v>
      </c>
      <c r="J187" s="44" t="s">
        <v>629</v>
      </c>
      <c r="K187" s="43"/>
      <c r="L187" s="38"/>
      <c r="M187" s="43" t="s">
        <v>1514</v>
      </c>
      <c r="N187" s="43"/>
      <c r="O187" s="38" t="s">
        <v>1514</v>
      </c>
      <c r="Q187" s="43" t="str">
        <f>_xlfn.TEXTJOIN(", ",TRUE,wacor_data_dictionary[[#This Row],[Cardiobase Angioplasty]:[Development]])</f>
        <v/>
      </c>
      <c r="AB187" s="63"/>
      <c r="AC187" s="43"/>
      <c r="AF187" s="44">
        <v>3</v>
      </c>
      <c r="AH187" s="38">
        <f>AH179</f>
        <v>0</v>
      </c>
      <c r="AJ187" s="63">
        <v>0</v>
      </c>
      <c r="AK187" s="63"/>
      <c r="AL187" s="63"/>
      <c r="AM187" s="63" t="str">
        <f>IF(COUNTIF('NCR Indicators'!K:K,"*"&amp;wacor_data_dictionary[[#This Row],[field_id]]&amp;"*")&gt;=1,"Yes","No")</f>
        <v>No</v>
      </c>
      <c r="AO187" s="47" t="s">
        <v>1535</v>
      </c>
      <c r="AQ187" s="106"/>
      <c r="AR187" s="63"/>
      <c r="AS187" s="63"/>
      <c r="AT187"/>
      <c r="AU187"/>
    </row>
    <row r="188" spans="1:47" ht="42.75" x14ac:dyDescent="0.2">
      <c r="A188" s="63" t="s">
        <v>1374</v>
      </c>
      <c r="B188" s="47" t="s">
        <v>1375</v>
      </c>
      <c r="C188" s="38" t="s">
        <v>1449</v>
      </c>
      <c r="D188" s="47" t="s">
        <v>2065</v>
      </c>
      <c r="E188" s="43" t="s">
        <v>2033</v>
      </c>
      <c r="F188" s="43" t="s">
        <v>2033</v>
      </c>
      <c r="G188" s="38" t="s">
        <v>675</v>
      </c>
      <c r="L188" s="38"/>
      <c r="M188" s="47" t="s">
        <v>2066</v>
      </c>
      <c r="N188" s="43"/>
      <c r="Q188" s="43" t="str">
        <f>_xlfn.TEXTJOIN(", ",TRUE,wacor_data_dictionary[[#This Row],[Cardiobase Angioplasty]:[Development]])</f>
        <v>Cardiobase Angioplasty</v>
      </c>
      <c r="R188" s="38" t="s">
        <v>549</v>
      </c>
      <c r="AC188" s="38" t="s">
        <v>1821</v>
      </c>
      <c r="AF188" s="44" t="s">
        <v>282</v>
      </c>
      <c r="AJ188" s="63"/>
      <c r="AK188" s="63"/>
      <c r="AL188" s="63"/>
      <c r="AM188" s="63" t="str">
        <f>IF(COUNTIF('NCR Indicators'!K:K,"*"&amp;wacor_data_dictionary[[#This Row],[field_id]]&amp;"*")&gt;=1,"Yes","No")</f>
        <v>No</v>
      </c>
      <c r="AO188" s="63"/>
      <c r="AQ188" s="106"/>
      <c r="AR188" s="63"/>
      <c r="AS188" s="63"/>
      <c r="AT188"/>
      <c r="AU188"/>
    </row>
    <row r="189" spans="1:47" ht="57" x14ac:dyDescent="0.2">
      <c r="A189" s="38" t="s">
        <v>517</v>
      </c>
      <c r="B189" s="43" t="s">
        <v>512</v>
      </c>
      <c r="C189" s="47" t="s">
        <v>1437</v>
      </c>
      <c r="E189" s="43" t="s">
        <v>1514</v>
      </c>
      <c r="F189" s="43" t="s">
        <v>2067</v>
      </c>
      <c r="G189" s="38" t="s">
        <v>1440</v>
      </c>
      <c r="H189" s="43" t="s">
        <v>1529</v>
      </c>
      <c r="I189" s="44" t="s">
        <v>1530</v>
      </c>
      <c r="J189" s="44" t="s">
        <v>629</v>
      </c>
      <c r="K189" s="43"/>
      <c r="L189" s="38"/>
      <c r="M189" s="43" t="s">
        <v>1514</v>
      </c>
      <c r="N189" s="43"/>
      <c r="O189" s="38" t="s">
        <v>1514</v>
      </c>
      <c r="Q189" s="43" t="str">
        <f>_xlfn.TEXTJOIN(", ",TRUE,wacor_data_dictionary[[#This Row],[Cardiobase Angioplasty]:[Development]])</f>
        <v/>
      </c>
      <c r="AC189" s="43"/>
      <c r="AF189" s="44">
        <v>3</v>
      </c>
      <c r="AH189" s="38">
        <f>AH181</f>
        <v>0</v>
      </c>
      <c r="AJ189" s="63">
        <v>0</v>
      </c>
      <c r="AK189" s="63"/>
      <c r="AL189" s="63"/>
      <c r="AM189" s="63" t="s">
        <v>1449</v>
      </c>
      <c r="AO189" s="47" t="s">
        <v>1535</v>
      </c>
      <c r="AQ189" s="106"/>
      <c r="AR189" s="63"/>
      <c r="AS189" s="63"/>
      <c r="AT189"/>
      <c r="AU189"/>
    </row>
    <row r="190" spans="1:47" ht="156.75" x14ac:dyDescent="0.2">
      <c r="A190" s="38" t="s">
        <v>181</v>
      </c>
      <c r="B190" s="43" t="s">
        <v>518</v>
      </c>
      <c r="C190" s="47" t="s">
        <v>1437</v>
      </c>
      <c r="D190" s="43" t="s">
        <v>2068</v>
      </c>
      <c r="E190" s="43" t="s">
        <v>2069</v>
      </c>
      <c r="F190" s="43" t="s">
        <v>2070</v>
      </c>
      <c r="G190" s="38" t="s">
        <v>675</v>
      </c>
      <c r="H190" s="49" t="s">
        <v>2071</v>
      </c>
      <c r="I190" s="44" t="s">
        <v>2012</v>
      </c>
      <c r="J190" s="44" t="s">
        <v>2013</v>
      </c>
      <c r="K190" s="43"/>
      <c r="L190" s="43" t="s">
        <v>2072</v>
      </c>
      <c r="M190" s="43" t="s">
        <v>2073</v>
      </c>
      <c r="N190" s="43" t="s">
        <v>1437</v>
      </c>
      <c r="O190" s="38" t="s">
        <v>1445</v>
      </c>
      <c r="Q190" s="43" t="str">
        <f>_xlfn.TEXTJOIN(", ",TRUE,wacor_data_dictionary[[#This Row],[Cardiobase Angioplasty]:[Development]])</f>
        <v>Cardiobase Angioplasty, HMDC, EDDC, Redcap</v>
      </c>
      <c r="R190" s="38" t="s">
        <v>549</v>
      </c>
      <c r="T190" s="38" t="s">
        <v>554</v>
      </c>
      <c r="U190" s="38" t="s">
        <v>167</v>
      </c>
      <c r="AA190" s="38" t="s">
        <v>580</v>
      </c>
      <c r="AC190" s="43" t="s">
        <v>1446</v>
      </c>
      <c r="AF190" s="44">
        <v>1</v>
      </c>
      <c r="AG190" s="40">
        <v>44764</v>
      </c>
      <c r="AH190" s="38" t="s">
        <v>1585</v>
      </c>
      <c r="AJ190" s="63">
        <v>1</v>
      </c>
      <c r="AK190" s="63"/>
      <c r="AL190" s="63"/>
      <c r="AM190" s="63" t="str">
        <f>IF(COUNTIF('NCR Indicators'!K:K,"*"&amp;wacor_data_dictionary[[#This Row],[field_id]]&amp;"*")&gt;=1,"Yes","No")</f>
        <v>Yes</v>
      </c>
      <c r="AN190" s="124" t="s">
        <v>2074</v>
      </c>
      <c r="AO190" s="140" t="s">
        <v>575</v>
      </c>
      <c r="AP190" s="137"/>
      <c r="AQ190" s="106"/>
      <c r="AR190" s="63"/>
      <c r="AS190" s="63"/>
      <c r="AT190"/>
      <c r="AU190"/>
    </row>
    <row r="191" spans="1:47" ht="85.5" x14ac:dyDescent="0.2">
      <c r="A191" s="38" t="s">
        <v>1376</v>
      </c>
      <c r="B191" s="43" t="s">
        <v>1377</v>
      </c>
      <c r="C191" s="38" t="s">
        <v>1449</v>
      </c>
      <c r="D191" s="43" t="s">
        <v>2075</v>
      </c>
      <c r="E191" s="43" t="s">
        <v>2033</v>
      </c>
      <c r="F191" s="43" t="s">
        <v>2033</v>
      </c>
      <c r="G191" s="38" t="s">
        <v>647</v>
      </c>
      <c r="I191" s="51"/>
      <c r="J191" s="56"/>
      <c r="K191" s="38" t="s">
        <v>2035</v>
      </c>
      <c r="L191" s="38"/>
      <c r="M191" s="47" t="s">
        <v>2076</v>
      </c>
      <c r="N191" s="47"/>
      <c r="O191" s="43" t="s">
        <v>1449</v>
      </c>
      <c r="Q191" s="43" t="str">
        <f>_xlfn.TEXTJOIN(", ",TRUE,wacor_data_dictionary[[#This Row],[Cardiobase Angioplasty]:[Development]])</f>
        <v>Development</v>
      </c>
      <c r="AB191" s="38" t="s">
        <v>564</v>
      </c>
      <c r="AC191" s="38" t="s">
        <v>1821</v>
      </c>
      <c r="AF191" s="44" t="s">
        <v>292</v>
      </c>
      <c r="AJ191" s="63"/>
      <c r="AK191" s="63"/>
      <c r="AL191" s="63"/>
      <c r="AM191" s="63" t="str">
        <f>IF(COUNTIF('NCR Indicators'!K:K,"*"&amp;wacor_data_dictionary[[#This Row],[field_id]]&amp;"*")&gt;=1,"Yes","No")</f>
        <v>No</v>
      </c>
      <c r="AO191" s="63"/>
      <c r="AQ191" s="106"/>
      <c r="AR191" s="63"/>
      <c r="AS191" s="63"/>
      <c r="AT191"/>
      <c r="AU191"/>
    </row>
    <row r="192" spans="1:47" ht="128.25" x14ac:dyDescent="0.2">
      <c r="A192" s="38" t="s">
        <v>223</v>
      </c>
      <c r="B192" s="43" t="s">
        <v>519</v>
      </c>
      <c r="C192" s="47" t="s">
        <v>1437</v>
      </c>
      <c r="E192" s="43" t="s">
        <v>2077</v>
      </c>
      <c r="F192" s="43" t="s">
        <v>2078</v>
      </c>
      <c r="G192" s="38" t="s">
        <v>675</v>
      </c>
      <c r="H192" s="43" t="s">
        <v>1514</v>
      </c>
      <c r="I192" s="44" t="s">
        <v>2012</v>
      </c>
      <c r="J192" s="44" t="s">
        <v>2013</v>
      </c>
      <c r="K192" s="43"/>
      <c r="L192" s="43" t="s">
        <v>1655</v>
      </c>
      <c r="M192" s="47" t="s">
        <v>2079</v>
      </c>
      <c r="N192" s="43"/>
      <c r="O192" s="38" t="s">
        <v>1445</v>
      </c>
      <c r="Q192" s="43" t="str">
        <f>_xlfn.TEXTJOIN(", ",TRUE,wacor_data_dictionary[[#This Row],[Cardiobase Angioplasty]:[Development]])</f>
        <v>Cardiobase Angioplasty, Redcap</v>
      </c>
      <c r="R192" s="63" t="s">
        <v>549</v>
      </c>
      <c r="S192" s="63"/>
      <c r="T192" s="63"/>
      <c r="U192" s="63"/>
      <c r="V192" s="63"/>
      <c r="W192" s="63"/>
      <c r="X192" s="63"/>
      <c r="Y192" s="63"/>
      <c r="Z192" s="63"/>
      <c r="AA192" s="63" t="s">
        <v>580</v>
      </c>
      <c r="AB192" s="63"/>
      <c r="AC192" s="43" t="s">
        <v>1446</v>
      </c>
      <c r="AF192" s="44">
        <v>1</v>
      </c>
      <c r="AG192" s="40">
        <v>44764</v>
      </c>
      <c r="AH192" s="38" t="s">
        <v>1585</v>
      </c>
      <c r="AJ192" s="63">
        <v>1</v>
      </c>
      <c r="AK192" s="63"/>
      <c r="AL192" s="63"/>
      <c r="AM192" s="63" t="s">
        <v>1437</v>
      </c>
      <c r="AN192" s="101"/>
      <c r="AO192" s="140" t="s">
        <v>575</v>
      </c>
      <c r="AP192" s="115"/>
      <c r="AQ192" s="106"/>
      <c r="AR192" s="63"/>
      <c r="AS192" s="63"/>
      <c r="AT192"/>
      <c r="AU192"/>
    </row>
    <row r="193" spans="1:47" ht="85.5" x14ac:dyDescent="0.2">
      <c r="A193" s="38" t="s">
        <v>1378</v>
      </c>
      <c r="B193" s="43" t="s">
        <v>1379</v>
      </c>
      <c r="C193" s="38" t="s">
        <v>1449</v>
      </c>
      <c r="D193" s="43" t="s">
        <v>2080</v>
      </c>
      <c r="E193" s="43" t="s">
        <v>2033</v>
      </c>
      <c r="F193" s="43" t="s">
        <v>2033</v>
      </c>
      <c r="G193" s="38" t="s">
        <v>675</v>
      </c>
      <c r="I193" s="51" t="s">
        <v>2012</v>
      </c>
      <c r="J193" s="56">
        <v>0.99930555555555556</v>
      </c>
      <c r="K193" s="38" t="s">
        <v>2035</v>
      </c>
      <c r="L193" s="38"/>
      <c r="M193" s="47" t="s">
        <v>2081</v>
      </c>
      <c r="N193" s="47"/>
      <c r="O193" s="43" t="s">
        <v>2082</v>
      </c>
      <c r="Q193" s="43" t="str">
        <f>_xlfn.TEXTJOIN(", ",TRUE,wacor_data_dictionary[[#This Row],[Cardiobase Angioplasty]:[Development]])</f>
        <v>Development</v>
      </c>
      <c r="AB193" s="38" t="s">
        <v>564</v>
      </c>
      <c r="AC193" s="38" t="s">
        <v>1821</v>
      </c>
      <c r="AF193" s="44" t="s">
        <v>292</v>
      </c>
      <c r="AJ193" s="63"/>
      <c r="AK193" s="63"/>
      <c r="AL193" s="63"/>
      <c r="AM193" s="63" t="str">
        <f>IF(COUNTIF('NCR Indicators'!K:K,"*"&amp;wacor_data_dictionary[[#This Row],[field_id]]&amp;"*")&gt;=1,"Yes","No")</f>
        <v>No</v>
      </c>
      <c r="AO193" s="63"/>
      <c r="AQ193" s="106"/>
      <c r="AR193" s="63"/>
      <c r="AS193" s="63"/>
      <c r="AT193"/>
      <c r="AU193"/>
    </row>
    <row r="194" spans="1:47" ht="99.75" x14ac:dyDescent="0.2">
      <c r="A194" s="38" t="s">
        <v>1366</v>
      </c>
      <c r="B194" s="43" t="s">
        <v>1367</v>
      </c>
      <c r="C194" s="38" t="s">
        <v>1449</v>
      </c>
      <c r="D194" s="43" t="s">
        <v>2083</v>
      </c>
      <c r="E194" s="43" t="s">
        <v>2084</v>
      </c>
      <c r="F194" s="43" t="s">
        <v>2085</v>
      </c>
      <c r="G194" s="38" t="s">
        <v>2086</v>
      </c>
      <c r="H194" s="43" t="s">
        <v>2087</v>
      </c>
      <c r="I194" s="44" t="s">
        <v>2088</v>
      </c>
      <c r="J194" s="44">
        <v>1</v>
      </c>
      <c r="K194" s="43" t="s">
        <v>2035</v>
      </c>
      <c r="L194" s="47" t="s">
        <v>2089</v>
      </c>
      <c r="M194" s="43" t="s">
        <v>2090</v>
      </c>
      <c r="N194" s="43"/>
      <c r="Q194" s="43" t="str">
        <f>_xlfn.TEXTJOIN(", ",TRUE,wacor_data_dictionary[[#This Row],[Cardiobase Angioplasty]:[Development]])</f>
        <v>HMDC</v>
      </c>
      <c r="T194" s="38" t="s">
        <v>554</v>
      </c>
      <c r="AC194" s="43" t="s">
        <v>1474</v>
      </c>
      <c r="AJ194" s="63"/>
      <c r="AK194" s="63"/>
      <c r="AL194" s="63"/>
      <c r="AM194" s="63" t="str">
        <f>IF(COUNTIF('NCR Indicators'!K:K,"*"&amp;wacor_data_dictionary[[#This Row],[field_id]]&amp;"*")&gt;=1,"Yes","No")</f>
        <v>No</v>
      </c>
      <c r="AO194" s="63"/>
      <c r="AQ194" s="106"/>
      <c r="AR194" s="63"/>
      <c r="AS194" s="63"/>
      <c r="AT194"/>
      <c r="AU194"/>
    </row>
    <row r="195" spans="1:47" ht="99.75" x14ac:dyDescent="0.2">
      <c r="A195" s="38" t="s">
        <v>1372</v>
      </c>
      <c r="B195" s="43" t="s">
        <v>1373</v>
      </c>
      <c r="C195" s="38" t="s">
        <v>1449</v>
      </c>
      <c r="D195" s="43" t="s">
        <v>2091</v>
      </c>
      <c r="E195" s="43" t="s">
        <v>2084</v>
      </c>
      <c r="F195" s="43" t="s">
        <v>2085</v>
      </c>
      <c r="G195" s="38" t="s">
        <v>2086</v>
      </c>
      <c r="H195" s="43" t="s">
        <v>2087</v>
      </c>
      <c r="I195" s="44" t="s">
        <v>2088</v>
      </c>
      <c r="J195" s="44">
        <v>1</v>
      </c>
      <c r="K195" s="43" t="s">
        <v>2035</v>
      </c>
      <c r="L195" s="47" t="s">
        <v>2089</v>
      </c>
      <c r="N195" s="43"/>
      <c r="Q195" s="43" t="str">
        <f>_xlfn.TEXTJOIN(", ",TRUE,wacor_data_dictionary[[#This Row],[Cardiobase Angioplasty]:[Development]])</f>
        <v>HMDC</v>
      </c>
      <c r="T195" s="38" t="s">
        <v>554</v>
      </c>
      <c r="AC195" s="43" t="s">
        <v>1474</v>
      </c>
      <c r="AJ195" s="63"/>
      <c r="AK195" s="63"/>
      <c r="AL195" s="63"/>
      <c r="AM195" s="63" t="str">
        <f>IF(COUNTIF('NCR Indicators'!K:K,"*"&amp;wacor_data_dictionary[[#This Row],[field_id]]&amp;"*")&gt;=1,"Yes","No")</f>
        <v>No</v>
      </c>
      <c r="AO195" s="63"/>
      <c r="AQ195" s="106"/>
      <c r="AR195" s="63"/>
      <c r="AS195" s="63"/>
      <c r="AT195"/>
      <c r="AU195"/>
    </row>
    <row r="196" spans="1:47" ht="156.75" x14ac:dyDescent="0.2">
      <c r="A196" s="38" t="s">
        <v>520</v>
      </c>
      <c r="B196" s="43" t="s">
        <v>521</v>
      </c>
      <c r="C196" s="47" t="s">
        <v>1437</v>
      </c>
      <c r="E196" s="43" t="s">
        <v>2092</v>
      </c>
      <c r="F196" s="43" t="s">
        <v>2093</v>
      </c>
      <c r="G196" s="38" t="s">
        <v>675</v>
      </c>
      <c r="H196" s="43" t="s">
        <v>1514</v>
      </c>
      <c r="I196" s="44" t="s">
        <v>1514</v>
      </c>
      <c r="J196" s="44" t="s">
        <v>1514</v>
      </c>
      <c r="K196" s="43"/>
      <c r="L196" s="38"/>
      <c r="M196" s="43" t="s">
        <v>804</v>
      </c>
      <c r="N196" s="43"/>
      <c r="O196" s="38" t="s">
        <v>1680</v>
      </c>
      <c r="Q196" s="43" t="str">
        <f>_xlfn.TEXTJOIN(", ",TRUE,wacor_data_dictionary[[#This Row],[Cardiobase Angioplasty]:[Development]])</f>
        <v>Cardiobase Angioplasty, Redcap</v>
      </c>
      <c r="R196" s="38" t="s">
        <v>549</v>
      </c>
      <c r="AA196" s="38" t="s">
        <v>580</v>
      </c>
      <c r="AC196" s="43"/>
      <c r="AF196" s="44">
        <v>3</v>
      </c>
      <c r="AJ196" s="63">
        <v>1</v>
      </c>
      <c r="AK196" s="63"/>
      <c r="AL196" s="63"/>
      <c r="AM196" s="63" t="str">
        <f>IF(COUNTIF('NCR Indicators'!K:K,"*"&amp;wacor_data_dictionary[[#This Row],[field_id]]&amp;"*")&gt;=1,"Yes","No")</f>
        <v>No</v>
      </c>
      <c r="AO196" s="63" t="s">
        <v>576</v>
      </c>
      <c r="AQ196" s="106"/>
      <c r="AS196"/>
    </row>
    <row r="197" spans="1:47" ht="99.75" x14ac:dyDescent="0.2">
      <c r="A197" s="38" t="s">
        <v>522</v>
      </c>
      <c r="B197" s="43" t="s">
        <v>523</v>
      </c>
      <c r="C197" s="47" t="s">
        <v>1437</v>
      </c>
      <c r="E197" s="47" t="s">
        <v>2094</v>
      </c>
      <c r="F197" s="43" t="s">
        <v>2095</v>
      </c>
      <c r="G197" s="38" t="s">
        <v>1440</v>
      </c>
      <c r="H197" s="43" t="s">
        <v>1529</v>
      </c>
      <c r="I197" s="44" t="s">
        <v>1530</v>
      </c>
      <c r="J197" s="44" t="s">
        <v>629</v>
      </c>
      <c r="K197" s="43"/>
      <c r="L197" s="38"/>
      <c r="M197" s="43" t="s">
        <v>2096</v>
      </c>
      <c r="N197" s="43"/>
      <c r="O197" s="38" t="s">
        <v>2097</v>
      </c>
      <c r="Q197" s="43" t="str">
        <f>_xlfn.TEXTJOIN(", ",TRUE,wacor_data_dictionary[[#This Row],[Cardiobase Angioplasty]:[Development]])</f>
        <v>Redcap</v>
      </c>
      <c r="AA197" s="38" t="s">
        <v>580</v>
      </c>
      <c r="AC197" s="43"/>
      <c r="AJ197" s="63">
        <v>1</v>
      </c>
      <c r="AK197" s="63"/>
      <c r="AL197" s="63"/>
      <c r="AM197" s="63" t="s">
        <v>1437</v>
      </c>
      <c r="AO197" s="47" t="s">
        <v>1535</v>
      </c>
      <c r="AQ197" s="106"/>
      <c r="AS197"/>
    </row>
    <row r="198" spans="1:47" ht="71.25" x14ac:dyDescent="0.2">
      <c r="A198" s="38" t="s">
        <v>524</v>
      </c>
      <c r="B198" s="43" t="s">
        <v>523</v>
      </c>
      <c r="C198" s="47" t="s">
        <v>1437</v>
      </c>
      <c r="E198" s="43" t="s">
        <v>1514</v>
      </c>
      <c r="F198" s="43" t="s">
        <v>2098</v>
      </c>
      <c r="G198" s="38" t="s">
        <v>1440</v>
      </c>
      <c r="H198" s="43" t="s">
        <v>1529</v>
      </c>
      <c r="I198" s="44" t="s">
        <v>1530</v>
      </c>
      <c r="J198" s="44" t="s">
        <v>629</v>
      </c>
      <c r="K198" s="43"/>
      <c r="L198" s="38"/>
      <c r="M198" s="43" t="s">
        <v>2096</v>
      </c>
      <c r="N198" s="43"/>
      <c r="O198" s="38" t="s">
        <v>1514</v>
      </c>
      <c r="Q198" s="43" t="str">
        <f>_xlfn.TEXTJOIN(", ",TRUE,wacor_data_dictionary[[#This Row],[Cardiobase Angioplasty]:[Development]])</f>
        <v>Redcap</v>
      </c>
      <c r="AA198" s="38" t="s">
        <v>580</v>
      </c>
      <c r="AC198" s="43"/>
      <c r="AH198" s="38" t="str">
        <f>AH190</f>
        <v>BW</v>
      </c>
      <c r="AJ198" s="63">
        <v>1</v>
      </c>
      <c r="AK198" s="63"/>
      <c r="AL198" s="63"/>
      <c r="AM198" s="63" t="str">
        <f>IF(COUNTIF('NCR Indicators'!K:K,"*"&amp;wacor_data_dictionary[[#This Row],[field_id]]&amp;"*")&gt;=1,"Yes","No")</f>
        <v>No</v>
      </c>
      <c r="AO198" s="47" t="s">
        <v>1535</v>
      </c>
      <c r="AQ198" s="106"/>
      <c r="AS198"/>
    </row>
    <row r="199" spans="1:47" ht="71.25" x14ac:dyDescent="0.2">
      <c r="A199" s="38" t="s">
        <v>525</v>
      </c>
      <c r="B199" s="43" t="s">
        <v>523</v>
      </c>
      <c r="C199" s="47" t="s">
        <v>1437</v>
      </c>
      <c r="E199" s="43" t="s">
        <v>1514</v>
      </c>
      <c r="F199" s="43" t="s">
        <v>2099</v>
      </c>
      <c r="G199" s="38" t="s">
        <v>1440</v>
      </c>
      <c r="H199" s="43" t="s">
        <v>1529</v>
      </c>
      <c r="I199" s="44" t="s">
        <v>1530</v>
      </c>
      <c r="J199" s="44" t="s">
        <v>629</v>
      </c>
      <c r="K199" s="43"/>
      <c r="L199" s="38"/>
      <c r="M199" s="43" t="s">
        <v>2096</v>
      </c>
      <c r="N199" s="43"/>
      <c r="O199" s="38" t="s">
        <v>1514</v>
      </c>
      <c r="Q199" s="43" t="str">
        <f>_xlfn.TEXTJOIN(", ",TRUE,wacor_data_dictionary[[#This Row],[Cardiobase Angioplasty]:[Development]])</f>
        <v/>
      </c>
      <c r="AC199" s="43"/>
      <c r="AH199" s="38">
        <f>AH191</f>
        <v>0</v>
      </c>
      <c r="AJ199" s="63">
        <v>0</v>
      </c>
      <c r="AK199" s="63"/>
      <c r="AL199" s="63"/>
      <c r="AM199" s="63" t="str">
        <f>IF(COUNTIF('NCR Indicators'!K:K,"*"&amp;wacor_data_dictionary[[#This Row],[field_id]]&amp;"*")&gt;=1,"Yes","No")</f>
        <v>No</v>
      </c>
      <c r="AO199" s="47" t="s">
        <v>1535</v>
      </c>
      <c r="AQ199" s="106"/>
      <c r="AS199"/>
    </row>
    <row r="200" spans="1:47" ht="71.25" x14ac:dyDescent="0.2">
      <c r="A200" s="38" t="s">
        <v>526</v>
      </c>
      <c r="B200" s="43" t="s">
        <v>523</v>
      </c>
      <c r="C200" s="47" t="s">
        <v>1437</v>
      </c>
      <c r="E200" s="43" t="s">
        <v>1514</v>
      </c>
      <c r="F200" s="43" t="s">
        <v>2100</v>
      </c>
      <c r="G200" s="38" t="s">
        <v>1440</v>
      </c>
      <c r="H200" s="43" t="s">
        <v>1529</v>
      </c>
      <c r="I200" s="44" t="s">
        <v>1530</v>
      </c>
      <c r="J200" s="44" t="s">
        <v>629</v>
      </c>
      <c r="K200" s="43"/>
      <c r="L200" s="38"/>
      <c r="M200" s="43" t="s">
        <v>2096</v>
      </c>
      <c r="N200" s="43"/>
      <c r="O200" s="38" t="s">
        <v>1514</v>
      </c>
      <c r="Q200" s="43" t="str">
        <f>_xlfn.TEXTJOIN(", ",TRUE,wacor_data_dictionary[[#This Row],[Cardiobase Angioplasty]:[Development]])</f>
        <v/>
      </c>
      <c r="AC200" s="43"/>
      <c r="AH200" s="38" t="str">
        <f>AH192</f>
        <v>BW</v>
      </c>
      <c r="AJ200" s="63">
        <v>0</v>
      </c>
      <c r="AK200" s="63"/>
      <c r="AL200" s="63"/>
      <c r="AM200" s="63" t="str">
        <f>IF(COUNTIF('NCR Indicators'!K:K,"*"&amp;wacor_data_dictionary[[#This Row],[field_id]]&amp;"*")&gt;=1,"Yes","No")</f>
        <v>No</v>
      </c>
      <c r="AO200" s="47" t="s">
        <v>1535</v>
      </c>
      <c r="AQ200" s="106"/>
      <c r="AS200"/>
    </row>
    <row r="201" spans="1:47" ht="71.25" x14ac:dyDescent="0.2">
      <c r="A201" s="38" t="s">
        <v>527</v>
      </c>
      <c r="B201" s="43" t="s">
        <v>523</v>
      </c>
      <c r="C201" s="47" t="s">
        <v>1437</v>
      </c>
      <c r="E201" s="43" t="s">
        <v>1514</v>
      </c>
      <c r="F201" s="43" t="s">
        <v>2101</v>
      </c>
      <c r="G201" s="38" t="s">
        <v>1440</v>
      </c>
      <c r="H201" s="43" t="s">
        <v>1529</v>
      </c>
      <c r="I201" s="44" t="s">
        <v>1530</v>
      </c>
      <c r="J201" s="44" t="s">
        <v>629</v>
      </c>
      <c r="K201" s="43"/>
      <c r="L201" s="38"/>
      <c r="M201" s="43" t="s">
        <v>2096</v>
      </c>
      <c r="N201" s="43"/>
      <c r="O201" s="38" t="s">
        <v>1514</v>
      </c>
      <c r="Q201" s="43" t="str">
        <f>_xlfn.TEXTJOIN(", ",TRUE,wacor_data_dictionary[[#This Row],[Cardiobase Angioplasty]:[Development]])</f>
        <v/>
      </c>
      <c r="AC201" s="43"/>
      <c r="AH201" s="38">
        <f>AH193</f>
        <v>0</v>
      </c>
      <c r="AJ201" s="63">
        <v>0</v>
      </c>
      <c r="AK201" s="63"/>
      <c r="AL201" s="63"/>
      <c r="AM201" s="63" t="str">
        <f>IF(COUNTIF('NCR Indicators'!K:K,"*"&amp;wacor_data_dictionary[[#This Row],[field_id]]&amp;"*")&gt;=1,"Yes","No")</f>
        <v>No</v>
      </c>
      <c r="AO201" s="47" t="s">
        <v>1535</v>
      </c>
      <c r="AQ201" s="106"/>
      <c r="AS201"/>
    </row>
    <row r="202" spans="1:47" ht="71.25" x14ac:dyDescent="0.2">
      <c r="A202" s="38" t="s">
        <v>528</v>
      </c>
      <c r="B202" s="43" t="s">
        <v>523</v>
      </c>
      <c r="C202" s="47" t="s">
        <v>1437</v>
      </c>
      <c r="E202" s="43" t="s">
        <v>1514</v>
      </c>
      <c r="F202" s="43" t="s">
        <v>2102</v>
      </c>
      <c r="G202" s="38" t="s">
        <v>1440</v>
      </c>
      <c r="H202" s="43" t="s">
        <v>1529</v>
      </c>
      <c r="I202" s="44" t="s">
        <v>1530</v>
      </c>
      <c r="J202" s="44" t="s">
        <v>629</v>
      </c>
      <c r="K202" s="43"/>
      <c r="L202" s="38"/>
      <c r="M202" s="43" t="s">
        <v>2096</v>
      </c>
      <c r="N202" s="43"/>
      <c r="O202" s="38" t="s">
        <v>1514</v>
      </c>
      <c r="Q202" s="43" t="str">
        <f>_xlfn.TEXTJOIN(", ",TRUE,wacor_data_dictionary[[#This Row],[Cardiobase Angioplasty]:[Development]])</f>
        <v/>
      </c>
      <c r="AC202" s="43"/>
      <c r="AH202" s="38">
        <f>AH194</f>
        <v>0</v>
      </c>
      <c r="AJ202" s="63">
        <v>0</v>
      </c>
      <c r="AK202" s="63"/>
      <c r="AL202" s="63"/>
      <c r="AM202" s="63" t="str">
        <f>IF(COUNTIF('NCR Indicators'!K:K,"*"&amp;wacor_data_dictionary[[#This Row],[field_id]]&amp;"*")&gt;=1,"Yes","No")</f>
        <v>No</v>
      </c>
      <c r="AO202" s="47" t="s">
        <v>1535</v>
      </c>
      <c r="AQ202" s="106"/>
      <c r="AS202"/>
    </row>
    <row r="203" spans="1:47" ht="156.75" x14ac:dyDescent="0.2">
      <c r="A203" s="38" t="s">
        <v>258</v>
      </c>
      <c r="B203" s="43" t="s">
        <v>529</v>
      </c>
      <c r="C203" s="47" t="s">
        <v>1437</v>
      </c>
      <c r="E203" s="47" t="s">
        <v>2103</v>
      </c>
      <c r="F203" s="47" t="s">
        <v>2104</v>
      </c>
      <c r="G203" s="38" t="s">
        <v>1440</v>
      </c>
      <c r="H203" s="43" t="s">
        <v>1846</v>
      </c>
      <c r="I203" s="44" t="s">
        <v>1530</v>
      </c>
      <c r="J203" s="44" t="s">
        <v>629</v>
      </c>
      <c r="K203" s="43"/>
      <c r="L203" s="38"/>
      <c r="M203" s="47" t="s">
        <v>2105</v>
      </c>
      <c r="N203" s="43"/>
      <c r="O203" s="38" t="s">
        <v>2106</v>
      </c>
      <c r="Q203" s="43" t="str">
        <f>_xlfn.TEXTJOIN(", ",TRUE,wacor_data_dictionary[[#This Row],[Cardiobase Angioplasty]:[Development]])</f>
        <v>Cardiobase Angioplasty, Redcap</v>
      </c>
      <c r="R203" s="38" t="s">
        <v>549</v>
      </c>
      <c r="AA203" s="38" t="s">
        <v>580</v>
      </c>
      <c r="AC203" s="43"/>
      <c r="AF203" s="121">
        <v>3</v>
      </c>
      <c r="AH203" s="38" t="s">
        <v>1532</v>
      </c>
      <c r="AJ203" s="63">
        <v>1</v>
      </c>
      <c r="AK203" s="63"/>
      <c r="AL203" s="63"/>
      <c r="AM203" s="63" t="str">
        <f>IF(COUNTIF('NCR Indicators'!K:K,"*"&amp;wacor_data_dictionary[[#This Row],[field_id]]&amp;"*")&gt;=1,"Yes","No")</f>
        <v>Yes</v>
      </c>
      <c r="AO203" s="47" t="s">
        <v>1535</v>
      </c>
      <c r="AP203" s="134"/>
      <c r="AQ203" s="106"/>
      <c r="AS203"/>
    </row>
    <row r="204" spans="1:47" ht="57" x14ac:dyDescent="0.2">
      <c r="A204" s="38" t="s">
        <v>530</v>
      </c>
      <c r="B204" s="43" t="s">
        <v>529</v>
      </c>
      <c r="C204" s="47" t="s">
        <v>1437</v>
      </c>
      <c r="E204" s="43" t="s">
        <v>1514</v>
      </c>
      <c r="F204" s="43" t="s">
        <v>2107</v>
      </c>
      <c r="G204" s="38" t="s">
        <v>1440</v>
      </c>
      <c r="H204" s="43" t="s">
        <v>1529</v>
      </c>
      <c r="I204" s="44" t="s">
        <v>1530</v>
      </c>
      <c r="J204" s="44" t="s">
        <v>629</v>
      </c>
      <c r="K204" s="43"/>
      <c r="L204" s="38"/>
      <c r="M204" s="43" t="s">
        <v>1514</v>
      </c>
      <c r="N204" s="43"/>
      <c r="O204" s="38" t="s">
        <v>1514</v>
      </c>
      <c r="Q204" s="43" t="str">
        <f>_xlfn.TEXTJOIN(", ",TRUE,wacor_data_dictionary[[#This Row],[Cardiobase Angioplasty]:[Development]])</f>
        <v>Cardiobase Angioplasty, Redcap</v>
      </c>
      <c r="R204" s="38" t="s">
        <v>549</v>
      </c>
      <c r="AA204" s="38" t="s">
        <v>580</v>
      </c>
      <c r="AC204" s="43"/>
      <c r="AF204" s="121">
        <v>3</v>
      </c>
      <c r="AH204" s="38">
        <f>AH196</f>
        <v>0</v>
      </c>
      <c r="AJ204" s="63">
        <v>1</v>
      </c>
      <c r="AK204" s="63"/>
      <c r="AL204" s="63"/>
      <c r="AM204" s="63" t="str">
        <f>IF(COUNTIF('NCR Indicators'!K:K,"*"&amp;wacor_data_dictionary[[#This Row],[field_id]]&amp;"*")&gt;=1,"Yes","No")</f>
        <v>No</v>
      </c>
      <c r="AO204" s="47" t="s">
        <v>1535</v>
      </c>
      <c r="AQ204" s="106"/>
      <c r="AS204"/>
    </row>
    <row r="205" spans="1:47" ht="57" x14ac:dyDescent="0.2">
      <c r="A205" s="38" t="s">
        <v>531</v>
      </c>
      <c r="B205" s="43" t="s">
        <v>529</v>
      </c>
      <c r="C205" s="47" t="s">
        <v>1437</v>
      </c>
      <c r="E205" s="43" t="s">
        <v>1514</v>
      </c>
      <c r="F205" s="43" t="s">
        <v>2108</v>
      </c>
      <c r="G205" s="38" t="s">
        <v>1440</v>
      </c>
      <c r="H205" s="43" t="s">
        <v>1529</v>
      </c>
      <c r="I205" s="44" t="s">
        <v>1530</v>
      </c>
      <c r="J205" s="44" t="s">
        <v>629</v>
      </c>
      <c r="K205" s="43"/>
      <c r="L205" s="38"/>
      <c r="M205" s="43" t="s">
        <v>1514</v>
      </c>
      <c r="N205" s="43"/>
      <c r="O205" s="38" t="s">
        <v>1514</v>
      </c>
      <c r="Q205" s="43" t="str">
        <f>_xlfn.TEXTJOIN(", ",TRUE,wacor_data_dictionary[[#This Row],[Cardiobase Angioplasty]:[Development]])</f>
        <v>Cardiobase Angioplasty</v>
      </c>
      <c r="R205" s="38" t="s">
        <v>549</v>
      </c>
      <c r="AC205" s="43"/>
      <c r="AF205" s="121">
        <v>3</v>
      </c>
      <c r="AH205" s="38" t="s">
        <v>1532</v>
      </c>
      <c r="AJ205" s="63">
        <v>0</v>
      </c>
      <c r="AK205" s="63"/>
      <c r="AL205" s="63"/>
      <c r="AM205" s="63" t="str">
        <f>IF(COUNTIF('NCR Indicators'!K:K,"*"&amp;wacor_data_dictionary[[#This Row],[field_id]]&amp;"*")&gt;=1,"Yes","No")</f>
        <v>No</v>
      </c>
      <c r="AO205" s="47" t="s">
        <v>1535</v>
      </c>
      <c r="AQ205" s="106"/>
      <c r="AS205"/>
    </row>
    <row r="206" spans="1:47" ht="57" x14ac:dyDescent="0.2">
      <c r="A206" s="38" t="s">
        <v>532</v>
      </c>
      <c r="B206" s="43" t="s">
        <v>529</v>
      </c>
      <c r="C206" s="47" t="s">
        <v>1437</v>
      </c>
      <c r="E206" s="43" t="s">
        <v>1514</v>
      </c>
      <c r="F206" s="43" t="s">
        <v>2109</v>
      </c>
      <c r="G206" s="38" t="s">
        <v>1440</v>
      </c>
      <c r="H206" s="43" t="s">
        <v>1529</v>
      </c>
      <c r="I206" s="44" t="s">
        <v>1530</v>
      </c>
      <c r="J206" s="44" t="s">
        <v>629</v>
      </c>
      <c r="K206" s="43"/>
      <c r="L206" s="38"/>
      <c r="M206" s="43" t="s">
        <v>1514</v>
      </c>
      <c r="N206" s="43"/>
      <c r="O206" s="38" t="s">
        <v>1514</v>
      </c>
      <c r="Q206" s="43" t="str">
        <f>_xlfn.TEXTJOIN(", ",TRUE,wacor_data_dictionary[[#This Row],[Cardiobase Angioplasty]:[Development]])</f>
        <v>Cardiobase Angioplasty</v>
      </c>
      <c r="R206" s="38" t="s">
        <v>549</v>
      </c>
      <c r="AC206" s="43"/>
      <c r="AF206" s="44">
        <v>3</v>
      </c>
      <c r="AH206" s="38" t="s">
        <v>1532</v>
      </c>
      <c r="AJ206" s="63">
        <v>0</v>
      </c>
      <c r="AK206" s="63"/>
      <c r="AL206" s="63"/>
      <c r="AM206" s="63" t="s">
        <v>1449</v>
      </c>
      <c r="AO206" s="47" t="s">
        <v>1535</v>
      </c>
      <c r="AQ206" s="106"/>
      <c r="AS206"/>
    </row>
    <row r="207" spans="1:47" ht="57" x14ac:dyDescent="0.2">
      <c r="A207" s="38" t="s">
        <v>533</v>
      </c>
      <c r="B207" s="43" t="s">
        <v>529</v>
      </c>
      <c r="C207" s="47" t="s">
        <v>1437</v>
      </c>
      <c r="E207" s="43" t="s">
        <v>1514</v>
      </c>
      <c r="F207" s="43" t="s">
        <v>2110</v>
      </c>
      <c r="G207" s="38" t="s">
        <v>1440</v>
      </c>
      <c r="H207" s="43" t="s">
        <v>1529</v>
      </c>
      <c r="I207" s="44" t="s">
        <v>1530</v>
      </c>
      <c r="J207" s="44" t="s">
        <v>629</v>
      </c>
      <c r="K207" s="43"/>
      <c r="L207" s="38"/>
      <c r="M207" s="43" t="s">
        <v>1514</v>
      </c>
      <c r="N207" s="43"/>
      <c r="Q207" s="43" t="str">
        <f>_xlfn.TEXTJOIN(", ",TRUE,wacor_data_dictionary[[#This Row],[Cardiobase Angioplasty]:[Development]])</f>
        <v>Cardiobase Angioplasty</v>
      </c>
      <c r="R207" s="38" t="s">
        <v>549</v>
      </c>
      <c r="AC207" s="43"/>
      <c r="AF207" s="121">
        <v>3</v>
      </c>
      <c r="AH207" s="38" t="s">
        <v>1532</v>
      </c>
      <c r="AJ207" s="63">
        <v>0</v>
      </c>
      <c r="AK207" s="63"/>
      <c r="AL207" s="63"/>
      <c r="AM207" s="63" t="str">
        <f>IF(COUNTIF('NCR Indicators'!K:K,"*"&amp;wacor_data_dictionary[[#This Row],[field_id]]&amp;"*")&gt;=1,"Yes","No")</f>
        <v>No</v>
      </c>
      <c r="AO207" s="47" t="s">
        <v>1535</v>
      </c>
      <c r="AQ207" s="106"/>
      <c r="AS207"/>
    </row>
    <row r="208" spans="1:47" ht="57" x14ac:dyDescent="0.2">
      <c r="A208" s="38" t="s">
        <v>534</v>
      </c>
      <c r="B208" s="43" t="s">
        <v>529</v>
      </c>
      <c r="C208" s="47" t="s">
        <v>1437</v>
      </c>
      <c r="E208" s="43" t="s">
        <v>1514</v>
      </c>
      <c r="F208" s="43" t="s">
        <v>2111</v>
      </c>
      <c r="G208" s="38" t="s">
        <v>1440</v>
      </c>
      <c r="H208" s="43" t="s">
        <v>1529</v>
      </c>
      <c r="I208" s="44" t="s">
        <v>1530</v>
      </c>
      <c r="J208" s="44" t="s">
        <v>629</v>
      </c>
      <c r="K208" s="43"/>
      <c r="L208" s="38"/>
      <c r="M208" s="43" t="s">
        <v>1514</v>
      </c>
      <c r="N208" s="43"/>
      <c r="O208" s="38" t="s">
        <v>1514</v>
      </c>
      <c r="Q208" s="43" t="str">
        <f>_xlfn.TEXTJOIN(", ",TRUE,wacor_data_dictionary[[#This Row],[Cardiobase Angioplasty]:[Development]])</f>
        <v>Cardiobase Angioplasty</v>
      </c>
      <c r="R208" s="38" t="s">
        <v>549</v>
      </c>
      <c r="AC208" s="43"/>
      <c r="AF208" s="44">
        <v>3</v>
      </c>
      <c r="AH208" s="38" t="str">
        <f>AH200</f>
        <v>BW</v>
      </c>
      <c r="AJ208" s="63">
        <v>0</v>
      </c>
      <c r="AK208" s="63"/>
      <c r="AL208" s="63"/>
      <c r="AM208" s="63" t="s">
        <v>1449</v>
      </c>
      <c r="AO208" s="47" t="s">
        <v>1535</v>
      </c>
      <c r="AQ208" s="112"/>
      <c r="AS208"/>
    </row>
    <row r="209" spans="1:45" x14ac:dyDescent="0.2">
      <c r="A209" s="38" t="s">
        <v>535</v>
      </c>
      <c r="B209" s="43" t="s">
        <v>536</v>
      </c>
      <c r="C209" s="47" t="s">
        <v>1437</v>
      </c>
      <c r="E209" s="43" t="s">
        <v>1514</v>
      </c>
      <c r="F209" s="43" t="s">
        <v>1546</v>
      </c>
      <c r="G209" s="38" t="s">
        <v>2112</v>
      </c>
      <c r="H209" s="43" t="s">
        <v>1514</v>
      </c>
      <c r="I209" s="44" t="s">
        <v>1514</v>
      </c>
      <c r="J209" s="44" t="s">
        <v>1514</v>
      </c>
      <c r="K209" s="43"/>
      <c r="L209" s="38"/>
      <c r="M209" s="43" t="s">
        <v>1514</v>
      </c>
      <c r="N209" s="43"/>
      <c r="O209" s="38" t="s">
        <v>559</v>
      </c>
      <c r="Q209" s="43" t="str">
        <f>_xlfn.TEXTJOIN(", ",TRUE,wacor_data_dictionary[[#This Row],[Cardiobase Angioplasty]:[Development]])</f>
        <v/>
      </c>
      <c r="AC209" s="43"/>
      <c r="AJ209" s="63">
        <v>1</v>
      </c>
      <c r="AK209" s="63"/>
      <c r="AL209" s="63"/>
      <c r="AM209" s="63" t="str">
        <f>IF(COUNTIF('NCR Indicators'!K:K,"*"&amp;wacor_data_dictionary[[#This Row],[field_id]]&amp;"*")&gt;=1,"Yes","No")</f>
        <v>No</v>
      </c>
      <c r="AO209" s="63" t="s">
        <v>572</v>
      </c>
      <c r="AQ209" s="106"/>
      <c r="AS209"/>
    </row>
    <row r="210" spans="1:45" ht="128.25" x14ac:dyDescent="0.2">
      <c r="A210" s="38" t="s">
        <v>537</v>
      </c>
      <c r="B210" s="43" t="s">
        <v>538</v>
      </c>
      <c r="C210" s="47" t="s">
        <v>1437</v>
      </c>
      <c r="E210" s="43" t="s">
        <v>2113</v>
      </c>
      <c r="F210" s="47" t="s">
        <v>2114</v>
      </c>
      <c r="G210" s="38" t="s">
        <v>1440</v>
      </c>
      <c r="H210" s="43" t="s">
        <v>1463</v>
      </c>
      <c r="I210" s="44" t="s">
        <v>1442</v>
      </c>
      <c r="J210" s="44" t="s">
        <v>629</v>
      </c>
      <c r="K210" s="43"/>
      <c r="L210" s="38"/>
      <c r="M210" s="43" t="s">
        <v>2115</v>
      </c>
      <c r="N210" s="43"/>
      <c r="O210" s="38" t="s">
        <v>1445</v>
      </c>
      <c r="Q210" s="43" t="str">
        <f>_xlfn.TEXTJOIN(", ",TRUE,wacor_data_dictionary[[#This Row],[Cardiobase Angioplasty]:[Development]])</f>
        <v>Redcap</v>
      </c>
      <c r="AA210" s="63" t="s">
        <v>580</v>
      </c>
      <c r="AC210" s="43"/>
      <c r="AJ210" s="63">
        <v>1</v>
      </c>
      <c r="AK210" s="63"/>
      <c r="AL210" s="63"/>
      <c r="AM210" s="63" t="str">
        <f>IF(COUNTIF('NCR Indicators'!K:K,"*"&amp;wacor_data_dictionary[[#This Row],[field_id]]&amp;"*")&gt;=1,"Yes","No")</f>
        <v>No</v>
      </c>
      <c r="AO210" s="63" t="s">
        <v>576</v>
      </c>
      <c r="AQ210" s="106"/>
      <c r="AS210"/>
    </row>
    <row r="211" spans="1:45" ht="71.25" x14ac:dyDescent="0.2">
      <c r="A211" s="63" t="s">
        <v>1402</v>
      </c>
      <c r="B211" s="47" t="s">
        <v>1403</v>
      </c>
      <c r="C211" s="63" t="s">
        <v>1437</v>
      </c>
      <c r="D211" s="47" t="s">
        <v>2116</v>
      </c>
      <c r="E211" s="47"/>
      <c r="F211" s="47"/>
      <c r="G211" s="63" t="s">
        <v>1440</v>
      </c>
      <c r="H211" s="47" t="s">
        <v>2117</v>
      </c>
      <c r="I211" s="121">
        <v>1</v>
      </c>
      <c r="J211" s="121">
        <v>4</v>
      </c>
      <c r="K211" s="47"/>
      <c r="L211" s="63"/>
      <c r="M211" s="47"/>
      <c r="N211" s="47"/>
      <c r="O211" s="63" t="s">
        <v>2118</v>
      </c>
      <c r="P211" s="47" t="s">
        <v>2119</v>
      </c>
      <c r="Q211" s="47" t="str">
        <f>_xlfn.TEXTJOIN(", ",TRUE,wacor_data_dictionary[[#This Row],[Cardiobase Angioplasty]:[Development]])</f>
        <v>Redcap</v>
      </c>
      <c r="R211" s="63"/>
      <c r="S211" s="63"/>
      <c r="T211" s="63"/>
      <c r="U211" s="63"/>
      <c r="V211" s="63"/>
      <c r="W211" s="63"/>
      <c r="X211" s="63"/>
      <c r="Y211" s="63"/>
      <c r="Z211" s="63"/>
      <c r="AA211" s="63" t="s">
        <v>580</v>
      </c>
      <c r="AB211" s="63"/>
      <c r="AC211" s="47"/>
      <c r="AD211" s="63"/>
      <c r="AE211" s="63"/>
      <c r="AF211" s="121"/>
      <c r="AG211" s="63"/>
      <c r="AH211" s="63"/>
      <c r="AI211" s="63"/>
      <c r="AJ211" s="63">
        <v>1</v>
      </c>
      <c r="AK211" s="63"/>
      <c r="AL211" s="63"/>
      <c r="AM211" s="63" t="str">
        <f>IF(COUNTIF('NCR Indicators'!K:K,"*"&amp;wacor_data_dictionary[[#This Row],[field_id]]&amp;"*")&gt;=1,"Yes","No")</f>
        <v>No</v>
      </c>
      <c r="AO211" s="63" t="s">
        <v>576</v>
      </c>
      <c r="AQ211" s="106"/>
      <c r="AS211"/>
    </row>
    <row r="212" spans="1:45" ht="42.75" x14ac:dyDescent="0.2">
      <c r="A212" s="43" t="s">
        <v>539</v>
      </c>
      <c r="B212" s="43" t="s">
        <v>540</v>
      </c>
      <c r="C212" s="47" t="s">
        <v>1437</v>
      </c>
      <c r="E212" s="47" t="s">
        <v>2120</v>
      </c>
      <c r="F212" s="43" t="s">
        <v>1739</v>
      </c>
      <c r="G212" s="43" t="s">
        <v>684</v>
      </c>
      <c r="H212" s="43" t="s">
        <v>1740</v>
      </c>
      <c r="I212" s="46" t="s">
        <v>1514</v>
      </c>
      <c r="J212" s="46" t="s">
        <v>1514</v>
      </c>
      <c r="K212" s="43"/>
      <c r="M212" s="43" t="s">
        <v>1741</v>
      </c>
      <c r="N212" s="43"/>
      <c r="O212" s="38" t="s">
        <v>1445</v>
      </c>
      <c r="P212" s="43"/>
      <c r="Q212" s="43" t="str">
        <f>_xlfn.TEXTJOIN(", ",TRUE,wacor_data_dictionary[[#This Row],[Cardiobase Angioplasty]:[Development]])</f>
        <v>Cardiobase Angioplasty, Cardiobase RiskScore, Redcap</v>
      </c>
      <c r="R212" s="47" t="s">
        <v>549</v>
      </c>
      <c r="S212" s="63" t="s">
        <v>551</v>
      </c>
      <c r="T212" s="47"/>
      <c r="U212" s="47"/>
      <c r="V212" s="47"/>
      <c r="W212" s="47"/>
      <c r="X212" s="47"/>
      <c r="Y212" s="47"/>
      <c r="Z212" s="47"/>
      <c r="AA212" s="47" t="s">
        <v>580</v>
      </c>
      <c r="AB212" s="47"/>
      <c r="AC212" s="43" t="s">
        <v>1446</v>
      </c>
      <c r="AD212" s="49">
        <v>702085</v>
      </c>
      <c r="AE212" s="43"/>
      <c r="AF212" s="46">
        <v>1</v>
      </c>
      <c r="AG212" s="40">
        <v>44764</v>
      </c>
      <c r="AH212" s="43"/>
      <c r="AI212" s="43"/>
      <c r="AJ212" s="63">
        <v>1</v>
      </c>
      <c r="AK212" s="63"/>
      <c r="AL212" s="63"/>
      <c r="AM212" s="63" t="str">
        <f>IF(COUNTIF('NCR Indicators'!K:K,"*"&amp;wacor_data_dictionary[[#This Row],[field_id]]&amp;"*")&gt;=1,"Yes","No")</f>
        <v>No</v>
      </c>
      <c r="AN212" s="100"/>
      <c r="AO212" s="140" t="s">
        <v>575</v>
      </c>
      <c r="AP212" s="112"/>
      <c r="AQ212" s="106"/>
      <c r="AS212"/>
    </row>
  </sheetData>
  <phoneticPr fontId="46" type="noConversion"/>
  <conditionalFormatting sqref="A1:AD1 A2:C2 E2:AD2 A18:L18 A3:AD5 D197:AD198 D209:AD210 A197:C211 H208:AD208 D200:G208 D199:N199 H200:N207 P199:AE207 A196:AD196 E211:AD211 A19:M195 N124:Z124 AB124:AE124 A212:AD1048576 N125:AE145 N146:Z147 AB146:AE147 N148:AE198 N208:AE211 N6:AE123 A6:M6 A8:M17 A7 C7:M7">
    <cfRule type="expression" dxfId="146" priority="11" stopIfTrue="1">
      <formula>$K1="0 = not defined"</formula>
    </cfRule>
    <cfRule type="expression" dxfId="145" priority="12" stopIfTrue="1">
      <formula>$K1="10 = definition drafted"</formula>
    </cfRule>
    <cfRule type="expression" dxfId="144" priority="13" stopIfTrue="1">
      <formula>$K1="20 = definition agreed by wacor project team"</formula>
    </cfRule>
    <cfRule type="expression" dxfId="143" priority="14" stopIfTrue="1">
      <formula>$K1="30 = definition out to consultation with consultation group"</formula>
    </cfRule>
    <cfRule type="expression" priority="15" stopIfTrue="1">
      <formula>$K1="40 = definition being revised following feedback from consultation group"</formula>
    </cfRule>
    <cfRule type="expression" dxfId="142" priority="16" stopIfTrue="1">
      <formula>$K1="50 = definition approved by constulation group"</formula>
    </cfRule>
    <cfRule type="expression" dxfId="141" priority="17" stopIfTrue="1">
      <formula>$K1="60 = definition finalised"</formula>
    </cfRule>
    <cfRule type="expression" dxfId="140" priority="18" stopIfTrue="1">
      <formula>$K1="70 = definition sent to PC for scrutiny"</formula>
    </cfRule>
    <cfRule type="expression" dxfId="139" priority="19" stopIfTrue="1">
      <formula>$K1="80 = definition finalised"</formula>
    </cfRule>
    <cfRule type="expression" dxfId="138" priority="20" stopIfTrue="1">
      <formula>$K1="90 = definition retired / superseded"</formula>
    </cfRule>
  </conditionalFormatting>
  <conditionalFormatting sqref="M18">
    <cfRule type="expression" dxfId="137" priority="1" stopIfTrue="1">
      <formula>$K18="0 = not defined"</formula>
    </cfRule>
    <cfRule type="expression" dxfId="136" priority="2" stopIfTrue="1">
      <formula>$K18="10 = definition drafted"</formula>
    </cfRule>
    <cfRule type="expression" dxfId="135" priority="3" stopIfTrue="1">
      <formula>$K18="20 = definition agreed by wacor project team"</formula>
    </cfRule>
    <cfRule type="expression" dxfId="134" priority="4" stopIfTrue="1">
      <formula>$K18="30 = definition out to consultation with consultation group"</formula>
    </cfRule>
    <cfRule type="expression" priority="5" stopIfTrue="1">
      <formula>$K18="40 = definition being revised following feedback from consultation group"</formula>
    </cfRule>
    <cfRule type="expression" dxfId="133" priority="6" stopIfTrue="1">
      <formula>$K18="50 = definition approved by constulation group"</formula>
    </cfRule>
    <cfRule type="expression" dxfId="132" priority="7" stopIfTrue="1">
      <formula>$K18="60 = definition finalised"</formula>
    </cfRule>
    <cfRule type="expression" dxfId="131" priority="8" stopIfTrue="1">
      <formula>$K18="70 = definition sent to PC for scrutiny"</formula>
    </cfRule>
    <cfRule type="expression" dxfId="130" priority="9" stopIfTrue="1">
      <formula>$K18="80 = definition finalised"</formula>
    </cfRule>
    <cfRule type="expression" dxfId="129" priority="10" stopIfTrue="1">
      <formula>$K18="90 = definition retired / superseded"</formula>
    </cfRule>
  </conditionalFormatting>
  <conditionalFormatting sqref="AA147">
    <cfRule type="expression" dxfId="128" priority="61" stopIfTrue="1">
      <formula>$K146="0 = not defined"</formula>
    </cfRule>
    <cfRule type="expression" dxfId="127" priority="62" stopIfTrue="1">
      <formula>$K146="10 = definition drafted"</formula>
    </cfRule>
    <cfRule type="expression" dxfId="126" priority="63" stopIfTrue="1">
      <formula>$K146="20 = definition agreed by wacor project team"</formula>
    </cfRule>
    <cfRule type="expression" dxfId="125" priority="64" stopIfTrue="1">
      <formula>$K146="30 = definition out to consultation with consultation group"</formula>
    </cfRule>
    <cfRule type="expression" priority="65" stopIfTrue="1">
      <formula>$K146="40 = definition being revised following feedback from consultation group"</formula>
    </cfRule>
    <cfRule type="expression" dxfId="124" priority="66" stopIfTrue="1">
      <formula>$K146="50 = definition approved by constulation group"</formula>
    </cfRule>
    <cfRule type="expression" dxfId="123" priority="67" stopIfTrue="1">
      <formula>$K146="60 = definition finalised"</formula>
    </cfRule>
    <cfRule type="expression" dxfId="122" priority="68" stopIfTrue="1">
      <formula>$K146="70 = definition sent to PC for scrutiny"</formula>
    </cfRule>
    <cfRule type="expression" dxfId="121" priority="69" stopIfTrue="1">
      <formula>$K146="80 = definition finalised"</formula>
    </cfRule>
    <cfRule type="expression" dxfId="120" priority="70" stopIfTrue="1">
      <formula>$K146="90 = definition retired / superseded"</formula>
    </cfRule>
  </conditionalFormatting>
  <dataValidations disablePrompts="1" xWindow="2243" yWindow="1083" count="2">
    <dataValidation type="list" allowBlank="1" showInputMessage="1" showErrorMessage="1" promptTitle="Collection method status" prompt="How far advanced is the data collection process for this data element?  Please chose from the options below (the option list is on the spreadsheet in a column to the right of the main table)." sqref="AC7:AC173 AC180:AC195" xr:uid="{5449EC42-84DA-4E82-BF83-D29167CE0DDC}">
      <formula1>$AS$7:$AS$14</formula1>
    </dataValidation>
    <dataValidation type="list" allowBlank="1" showInputMessage="1" showErrorMessage="1" promptTitle="How is the definition going?" prompt="This is a broad status for how far advanced the definition is._x000a_" sqref="K7:K173 K180:K195 K176:K177" xr:uid="{06487C7F-0914-4EB5-899D-39227D1A1291}">
      <formula1>$AR$7:$AR$13</formula1>
    </dataValidation>
  </dataValidations>
  <hyperlinks>
    <hyperlink ref="H190" r:id="rId1" xr:uid="{AC2D988C-B153-424A-B7E4-8F24C8402C95}"/>
    <hyperlink ref="AE185" r:id="rId2" display="https://view.officeapps.live.com/op/view.aspx?src=https%3A%2F%2Fwww.datalinkage-wa.org.au%2Fwp-content%2Fuploads%2F2020%2F08%2FData-Dictionary-Emergency-Department.docx&amp;wdOrigin=BROWSELINK" xr:uid="{62FA4DDB-4B93-48C1-883D-F8BAA874E0C8}"/>
    <hyperlink ref="AE184" r:id="rId3" display="https://view.officeapps.live.com/op/view.aspx?src=https%3A%2F%2Fwww.datalinkage-wa.org.au%2Fwp-content%2Fuploads%2F2020%2F08%2FData-Dictionary-Emergency-Department.docx&amp;wdOrigin=BROWSELINK" xr:uid="{DB8D8940-4087-42BC-A6B8-36611BF7DF7B}"/>
    <hyperlink ref="AD160" r:id="rId4" display="https://meteor.aihw.gov.au/content/291045" xr:uid="{5B7C0CE3-096E-4228-BB41-54D4033379EA}"/>
    <hyperlink ref="AD88" r:id="rId5" display="https://meteor.aihw.gov.au/content/602543" xr:uid="{4A702DF4-44BD-400E-9E5B-5A6981010D52}"/>
    <hyperlink ref="AD151" r:id="rId6" display="_x0009_746669" xr:uid="{CE3E12A8-F3EA-4C2E-8C38-1E1BC77A5ED7}"/>
    <hyperlink ref="AD72" r:id="rId7" display="https://meteor.aihw.gov.au/content/493975" xr:uid="{F3CCCB36-B85E-408A-B9A3-9D080D809DE5}"/>
    <hyperlink ref="AD212" r:id="rId8" display="https://meteor.aihw.gov.au/content/702085" xr:uid="{FAC49EC0-E94C-4F45-872A-63BB5E893CB0}"/>
    <hyperlink ref="AD73" r:id="rId9" display="https://meteor.aihw.gov.au/content/270361" xr:uid="{48CE3660-2AA3-47B0-8947-E1C26351D891}"/>
    <hyperlink ref="AD19" r:id="rId10" display="https://meteor.aihw.gov.au/content/303794" xr:uid="{34C7E6D4-A4BF-44B4-B0EA-CDA4793AF71F}"/>
    <hyperlink ref="AD38" r:id="rId11" display="https://meteor.aihw.gov.au/content/270194" xr:uid="{81A7124A-F03D-4BFF-AF7F-CD4C1BD1FAA6}"/>
    <hyperlink ref="AD41" r:id="rId12" display="https://meteor.aihw.gov.au/content/270236" xr:uid="{85CA3542-43D4-4E87-8F89-2EEA53646BD0}"/>
    <hyperlink ref="AD134" r:id="rId13" display="https://meteor.aihw.gov.au/content/344424" xr:uid="{BB7CA7C1-F2A7-4797-8D3C-D26FFC87D485}"/>
    <hyperlink ref="AD29" r:id="rId14" display="https://meteor.aihw.gov.au/content/696056" xr:uid="{D9C41A54-9C23-4F9A-B5EC-E8214E2E9C52}"/>
    <hyperlink ref="AD47" r:id="rId15" display="https://meteor.aihw.gov.au/content/646025" xr:uid="{349B01C6-601F-4F04-9A97-D47D5E4FD00E}"/>
    <hyperlink ref="AD37" r:id="rId16" display="https://meteor.aihw.gov.au/content/347829" xr:uid="{535921CC-6BB7-46C1-B85D-9C1F0F962A91}"/>
    <hyperlink ref="AJ6" r:id="rId17" xr:uid="{2EB5BC25-48DE-45C5-83C9-EAD554300105}"/>
    <hyperlink ref="AK6" r:id="rId18" xr:uid="{20A7F23B-0BD5-49CA-AFE4-831994864E43}"/>
  </hyperlinks>
  <printOptions headings="1" gridLines="1"/>
  <pageMargins left="0.70866141732283472" right="0.70866141732283472" top="0.74803149606299213" bottom="0.74803149606299213" header="0.31496062992125984" footer="0.31496062992125984"/>
  <pageSetup paperSize="8" scale="29" fitToHeight="17" orientation="landscape" r:id="rId19"/>
  <headerFooter>
    <oddFooter>&amp;L&amp;"Arial,Regular"&amp;Z&amp;F&amp;C&amp;"Arial,Regular"&amp;A&amp;R&amp;"Arial,Regular"&amp;10&amp;P of &amp;N</oddFooter>
  </headerFooter>
  <drawing r:id="rId20"/>
  <legacyDrawing r:id="rId21"/>
  <mc:AlternateContent xmlns:mc="http://schemas.openxmlformats.org/markup-compatibility/2006">
    <mc:Choice Requires="x14">
      <controls>
        <mc:AlternateContent xmlns:mc="http://schemas.openxmlformats.org/markup-compatibility/2006">
          <mc:Choice Requires="x14">
            <control shapeId="4132" r:id="rId22" name="Button 36">
              <controlPr defaultSize="0" print="0" autoFill="0" autoPict="0" macro="[0]!high_detail_view">
                <anchor>
                  <from>
                    <xdr:col>2</xdr:col>
                    <xdr:colOff>1123950</xdr:colOff>
                    <xdr:row>1</xdr:row>
                    <xdr:rowOff>266700</xdr:rowOff>
                  </from>
                  <to>
                    <xdr:col>3</xdr:col>
                    <xdr:colOff>619125</xdr:colOff>
                    <xdr:row>2</xdr:row>
                    <xdr:rowOff>133350</xdr:rowOff>
                  </to>
                </anchor>
              </controlPr>
            </control>
          </mc:Choice>
        </mc:AlternateContent>
        <mc:AlternateContent xmlns:mc="http://schemas.openxmlformats.org/markup-compatibility/2006">
          <mc:Choice Requires="x14">
            <control shapeId="4133" r:id="rId23" name="Button 37">
              <controlPr defaultSize="0" print="0" autoFill="0" autoPict="0" macro="[0]!low_detail_view">
                <anchor>
                  <from>
                    <xdr:col>3</xdr:col>
                    <xdr:colOff>733425</xdr:colOff>
                    <xdr:row>1</xdr:row>
                    <xdr:rowOff>247650</xdr:rowOff>
                  </from>
                  <to>
                    <xdr:col>3</xdr:col>
                    <xdr:colOff>1457325</xdr:colOff>
                    <xdr:row>2</xdr:row>
                    <xdr:rowOff>123825</xdr:rowOff>
                  </to>
                </anchor>
              </controlPr>
            </control>
          </mc:Choice>
        </mc:AlternateContent>
      </controls>
    </mc:Choice>
  </mc:AlternateContent>
  <tableParts count="1">
    <tablePart r:id="rId2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58BCC-2AE2-47B2-BC20-ABEE2B79D6A1}">
  <sheetPr codeName="Sheet6">
    <pageSetUpPr fitToPage="1"/>
  </sheetPr>
  <dimension ref="A1:AL58"/>
  <sheetViews>
    <sheetView topLeftCell="I1" zoomScaleNormal="100" workbookViewId="0">
      <pane ySplit="1" topLeftCell="A9" activePane="bottomLeft" state="frozen"/>
      <selection pane="bottomLeft" activeCell="C11" sqref="C11"/>
    </sheetView>
  </sheetViews>
  <sheetFormatPr defaultColWidth="8.875" defaultRowHeight="12.75" x14ac:dyDescent="0.2"/>
  <cols>
    <col min="1" max="1" width="11.875" style="8" customWidth="1"/>
    <col min="2" max="2" width="41.875" style="16" customWidth="1"/>
    <col min="3" max="3" width="26.125" style="16" customWidth="1"/>
    <col min="4" max="5" width="38.75" style="16" customWidth="1"/>
    <col min="6" max="6" width="26.5" style="16" customWidth="1"/>
    <col min="7" max="7" width="21.625" style="16" customWidth="1"/>
    <col min="8" max="8" width="26" style="16" customWidth="1"/>
    <col min="9" max="9" width="41.625" style="16" customWidth="1"/>
    <col min="10" max="10" width="22.5" style="16" customWidth="1"/>
    <col min="11" max="11" width="48.875" style="8" customWidth="1"/>
    <col min="12" max="12" width="55.25" style="8" customWidth="1"/>
    <col min="13" max="13" width="36.5" style="8" customWidth="1"/>
    <col min="14" max="14" width="48.75" style="8" customWidth="1"/>
    <col min="15" max="15" width="18.875" style="8" customWidth="1"/>
    <col min="16" max="16" width="65.25" style="8" customWidth="1"/>
    <col min="17" max="17" width="22.875" style="8" customWidth="1"/>
    <col min="18" max="16384" width="8.875" style="8"/>
  </cols>
  <sheetData>
    <row r="1" spans="1:17" ht="64.5" thickBot="1" x14ac:dyDescent="0.25">
      <c r="A1" s="20" t="s">
        <v>2121</v>
      </c>
      <c r="B1" s="20" t="s">
        <v>2122</v>
      </c>
      <c r="C1" s="21" t="s">
        <v>2123</v>
      </c>
      <c r="D1" s="22" t="s">
        <v>2124</v>
      </c>
      <c r="E1" s="22" t="s">
        <v>2125</v>
      </c>
      <c r="F1" s="22" t="s">
        <v>2126</v>
      </c>
      <c r="G1" s="22" t="s">
        <v>2127</v>
      </c>
      <c r="H1" s="22" t="s">
        <v>2128</v>
      </c>
      <c r="I1" s="22" t="s">
        <v>2129</v>
      </c>
      <c r="J1" s="22" t="s">
        <v>2130</v>
      </c>
      <c r="K1" s="5" t="s">
        <v>2131</v>
      </c>
      <c r="L1" s="5" t="s">
        <v>2132</v>
      </c>
      <c r="M1" s="6" t="s">
        <v>2133</v>
      </c>
      <c r="N1" s="5" t="s">
        <v>2134</v>
      </c>
      <c r="O1" s="5" t="s">
        <v>2135</v>
      </c>
      <c r="P1" s="5" t="s">
        <v>2136</v>
      </c>
      <c r="Q1" s="7" t="s">
        <v>2137</v>
      </c>
    </row>
    <row r="2" spans="1:17" ht="229.5" x14ac:dyDescent="0.2">
      <c r="A2" s="81" t="s">
        <v>2138</v>
      </c>
      <c r="B2" s="17" t="s">
        <v>2139</v>
      </c>
      <c r="C2" s="9" t="s">
        <v>2140</v>
      </c>
      <c r="D2" s="10" t="s">
        <v>2141</v>
      </c>
      <c r="E2" s="10" t="s">
        <v>2142</v>
      </c>
      <c r="F2" s="10" t="s">
        <v>2034</v>
      </c>
      <c r="G2" s="10" t="s">
        <v>2034</v>
      </c>
      <c r="H2" s="10" t="s">
        <v>2143</v>
      </c>
      <c r="I2" s="10" t="s">
        <v>2144</v>
      </c>
      <c r="J2" s="10" t="s">
        <v>2145</v>
      </c>
      <c r="K2" s="102" t="s">
        <v>2146</v>
      </c>
      <c r="L2" s="102" t="s">
        <v>2147</v>
      </c>
      <c r="M2" s="11" t="s">
        <v>2148</v>
      </c>
      <c r="N2" s="102" t="s">
        <v>2149</v>
      </c>
      <c r="O2" s="102" t="s">
        <v>2150</v>
      </c>
      <c r="P2" s="102" t="s">
        <v>2151</v>
      </c>
      <c r="Q2" s="103" t="s">
        <v>2152</v>
      </c>
    </row>
    <row r="3" spans="1:17" ht="382.5" x14ac:dyDescent="0.2">
      <c r="A3" s="81" t="s">
        <v>2153</v>
      </c>
      <c r="B3" s="18" t="s">
        <v>2154</v>
      </c>
      <c r="C3" s="12" t="s">
        <v>2155</v>
      </c>
      <c r="D3" s="13" t="s">
        <v>2156</v>
      </c>
      <c r="E3" s="13" t="s">
        <v>2157</v>
      </c>
      <c r="F3" s="13" t="s">
        <v>2034</v>
      </c>
      <c r="G3" s="13" t="s">
        <v>2034</v>
      </c>
      <c r="H3" s="13" t="s">
        <v>2158</v>
      </c>
      <c r="I3" s="10" t="s">
        <v>2144</v>
      </c>
      <c r="J3" s="13" t="s">
        <v>2159</v>
      </c>
      <c r="K3" s="103" t="s">
        <v>2160</v>
      </c>
      <c r="L3" s="103" t="s">
        <v>2161</v>
      </c>
      <c r="M3" s="14" t="s">
        <v>2162</v>
      </c>
      <c r="N3" s="103" t="s">
        <v>2163</v>
      </c>
      <c r="O3" s="103" t="s">
        <v>2164</v>
      </c>
      <c r="P3" s="103" t="s">
        <v>2165</v>
      </c>
      <c r="Q3" s="103" t="s">
        <v>2166</v>
      </c>
    </row>
    <row r="4" spans="1:17" ht="395.25" x14ac:dyDescent="0.2">
      <c r="A4" s="81" t="s">
        <v>2167</v>
      </c>
      <c r="B4" s="18" t="s">
        <v>2168</v>
      </c>
      <c r="C4" s="12" t="s">
        <v>2169</v>
      </c>
      <c r="D4" s="13" t="s">
        <v>2170</v>
      </c>
      <c r="E4" s="13" t="s">
        <v>2171</v>
      </c>
      <c r="F4" s="13" t="s">
        <v>2172</v>
      </c>
      <c r="G4" s="13" t="s">
        <v>2173</v>
      </c>
      <c r="H4" s="13" t="s">
        <v>2174</v>
      </c>
      <c r="I4" s="13" t="s">
        <v>2175</v>
      </c>
      <c r="J4" s="13" t="s">
        <v>2176</v>
      </c>
      <c r="K4" s="103" t="s">
        <v>2177</v>
      </c>
      <c r="L4" s="104" t="s">
        <v>2178</v>
      </c>
      <c r="M4" s="14" t="s">
        <v>2179</v>
      </c>
      <c r="N4" s="103" t="s">
        <v>2180</v>
      </c>
      <c r="O4" s="103"/>
      <c r="P4" s="103"/>
      <c r="Q4" s="103" t="s">
        <v>2181</v>
      </c>
    </row>
    <row r="5" spans="1:17" ht="395.25" x14ac:dyDescent="0.2">
      <c r="A5" s="81" t="s">
        <v>2182</v>
      </c>
      <c r="B5" s="18" t="s">
        <v>2183</v>
      </c>
      <c r="C5" s="104" t="s">
        <v>2184</v>
      </c>
      <c r="D5" s="13" t="s">
        <v>2185</v>
      </c>
      <c r="E5" s="13" t="s">
        <v>2186</v>
      </c>
      <c r="F5" s="13" t="s">
        <v>2187</v>
      </c>
      <c r="G5" s="13" t="s">
        <v>2173</v>
      </c>
      <c r="H5" s="13" t="s">
        <v>2188</v>
      </c>
      <c r="I5" s="13" t="s">
        <v>2189</v>
      </c>
      <c r="J5" s="13" t="s">
        <v>2190</v>
      </c>
      <c r="K5" s="103" t="s">
        <v>2191</v>
      </c>
      <c r="L5" s="103" t="s">
        <v>2192</v>
      </c>
      <c r="M5" s="14" t="s">
        <v>2193</v>
      </c>
      <c r="N5" s="103" t="s">
        <v>2034</v>
      </c>
      <c r="O5" s="103"/>
      <c r="P5" s="103" t="s">
        <v>2194</v>
      </c>
      <c r="Q5" s="103" t="s">
        <v>2181</v>
      </c>
    </row>
    <row r="6" spans="1:17" ht="409.5" x14ac:dyDescent="0.2">
      <c r="A6" s="81" t="s">
        <v>2195</v>
      </c>
      <c r="B6" s="18" t="s">
        <v>2196</v>
      </c>
      <c r="C6" s="12" t="s">
        <v>2197</v>
      </c>
      <c r="D6" s="13" t="s">
        <v>2198</v>
      </c>
      <c r="E6" s="13" t="s">
        <v>2199</v>
      </c>
      <c r="F6" s="13" t="s">
        <v>2200</v>
      </c>
      <c r="G6" s="104" t="s">
        <v>2201</v>
      </c>
      <c r="H6" s="13" t="s">
        <v>2202</v>
      </c>
      <c r="I6" s="13" t="s">
        <v>2203</v>
      </c>
      <c r="J6" s="13" t="s">
        <v>2204</v>
      </c>
      <c r="K6" s="103" t="s">
        <v>2205</v>
      </c>
      <c r="L6" s="103" t="s">
        <v>2206</v>
      </c>
      <c r="M6" s="14" t="s">
        <v>2207</v>
      </c>
      <c r="N6" s="105"/>
      <c r="O6" s="103"/>
      <c r="P6" s="105"/>
      <c r="Q6" s="103" t="s">
        <v>2208</v>
      </c>
    </row>
    <row r="7" spans="1:17" ht="409.5" x14ac:dyDescent="0.2">
      <c r="A7" s="81" t="s">
        <v>2209</v>
      </c>
      <c r="B7" s="18" t="s">
        <v>2210</v>
      </c>
      <c r="C7" s="104" t="s">
        <v>2211</v>
      </c>
      <c r="D7" s="13" t="s">
        <v>2212</v>
      </c>
      <c r="E7" s="13" t="s">
        <v>2213</v>
      </c>
      <c r="F7" s="103" t="s">
        <v>2214</v>
      </c>
      <c r="G7" s="103" t="s">
        <v>2215</v>
      </c>
      <c r="H7" s="13" t="s">
        <v>2188</v>
      </c>
      <c r="I7" s="13" t="s">
        <v>2216</v>
      </c>
      <c r="J7" s="104" t="s">
        <v>2204</v>
      </c>
      <c r="K7" s="103" t="s">
        <v>2217</v>
      </c>
      <c r="L7" s="103" t="s">
        <v>2218</v>
      </c>
      <c r="M7" s="14" t="s">
        <v>2219</v>
      </c>
      <c r="N7" s="103" t="s">
        <v>2220</v>
      </c>
      <c r="O7" s="103" t="s">
        <v>2034</v>
      </c>
      <c r="P7" s="12" t="s">
        <v>2221</v>
      </c>
      <c r="Q7" s="103" t="s">
        <v>2181</v>
      </c>
    </row>
    <row r="8" spans="1:17" ht="409.5" x14ac:dyDescent="0.2">
      <c r="A8" s="81" t="s">
        <v>2222</v>
      </c>
      <c r="B8" s="18" t="s">
        <v>2223</v>
      </c>
      <c r="C8" s="12" t="s">
        <v>2224</v>
      </c>
      <c r="D8" s="13" t="s">
        <v>2225</v>
      </c>
      <c r="E8" s="13" t="s">
        <v>2226</v>
      </c>
      <c r="F8" s="13" t="s">
        <v>2227</v>
      </c>
      <c r="G8" s="13" t="s">
        <v>2228</v>
      </c>
      <c r="H8" s="13" t="s">
        <v>2188</v>
      </c>
      <c r="I8" s="13" t="s">
        <v>2229</v>
      </c>
      <c r="J8" s="13" t="s">
        <v>135</v>
      </c>
      <c r="K8" s="104" t="s">
        <v>2230</v>
      </c>
      <c r="L8" s="103" t="s">
        <v>2231</v>
      </c>
      <c r="M8" s="14" t="s">
        <v>2232</v>
      </c>
      <c r="N8" s="104" t="s">
        <v>2233</v>
      </c>
      <c r="O8" s="103"/>
      <c r="P8" s="103" t="s">
        <v>2234</v>
      </c>
      <c r="Q8" s="15" t="s">
        <v>2235</v>
      </c>
    </row>
    <row r="9" spans="1:17" ht="409.5" x14ac:dyDescent="0.2">
      <c r="A9" s="81" t="s">
        <v>2236</v>
      </c>
      <c r="B9" s="18" t="s">
        <v>2237</v>
      </c>
      <c r="C9" s="12" t="s">
        <v>2238</v>
      </c>
      <c r="D9" s="13" t="s">
        <v>2239</v>
      </c>
      <c r="E9" s="13" t="s">
        <v>2240</v>
      </c>
      <c r="F9" s="13" t="s">
        <v>2241</v>
      </c>
      <c r="G9" s="13" t="s">
        <v>2173</v>
      </c>
      <c r="H9" s="13" t="s">
        <v>2188</v>
      </c>
      <c r="I9" s="13" t="s">
        <v>2242</v>
      </c>
      <c r="J9" s="13" t="s">
        <v>2243</v>
      </c>
      <c r="K9" s="103" t="s">
        <v>2244</v>
      </c>
      <c r="L9" s="103" t="s">
        <v>2245</v>
      </c>
      <c r="M9" s="14" t="s">
        <v>2246</v>
      </c>
      <c r="N9" s="103"/>
      <c r="O9" s="103"/>
      <c r="P9" s="103"/>
      <c r="Q9" s="103" t="s">
        <v>2247</v>
      </c>
    </row>
    <row r="10" spans="1:17" ht="408" x14ac:dyDescent="0.2">
      <c r="A10" s="81" t="s">
        <v>2248</v>
      </c>
      <c r="B10" s="18" t="s">
        <v>2249</v>
      </c>
      <c r="C10" s="12" t="s">
        <v>2250</v>
      </c>
      <c r="D10" s="13" t="s">
        <v>2251</v>
      </c>
      <c r="E10" s="13" t="s">
        <v>2252</v>
      </c>
      <c r="F10" s="13" t="s">
        <v>2253</v>
      </c>
      <c r="G10" s="13" t="s">
        <v>2254</v>
      </c>
      <c r="H10" s="13" t="s">
        <v>2188</v>
      </c>
      <c r="I10" s="13" t="s">
        <v>2255</v>
      </c>
      <c r="J10" s="13" t="s">
        <v>1006</v>
      </c>
      <c r="K10" s="103" t="s">
        <v>2256</v>
      </c>
      <c r="L10" s="103" t="s">
        <v>2257</v>
      </c>
      <c r="M10" s="14" t="s">
        <v>2258</v>
      </c>
      <c r="N10" s="103"/>
      <c r="O10" s="103"/>
      <c r="P10" s="103" t="s">
        <v>2259</v>
      </c>
      <c r="Q10" s="103" t="s">
        <v>2260</v>
      </c>
    </row>
    <row r="11" spans="1:17" ht="409.5" x14ac:dyDescent="0.2">
      <c r="A11" s="81" t="s">
        <v>2261</v>
      </c>
      <c r="B11" s="18" t="s">
        <v>2262</v>
      </c>
      <c r="C11" s="12" t="s">
        <v>2263</v>
      </c>
      <c r="D11" s="13" t="s">
        <v>2264</v>
      </c>
      <c r="E11" s="13" t="s">
        <v>2265</v>
      </c>
      <c r="F11" s="13" t="s">
        <v>2266</v>
      </c>
      <c r="G11" s="13" t="s">
        <v>2254</v>
      </c>
      <c r="H11" s="13" t="s">
        <v>2188</v>
      </c>
      <c r="I11" s="13" t="s">
        <v>2267</v>
      </c>
      <c r="J11" s="13" t="s">
        <v>1006</v>
      </c>
      <c r="K11" s="103" t="s">
        <v>2268</v>
      </c>
      <c r="L11" s="103" t="s">
        <v>2269</v>
      </c>
      <c r="M11" s="14" t="s">
        <v>2270</v>
      </c>
      <c r="N11" s="103"/>
      <c r="O11" s="103"/>
      <c r="P11" s="103" t="s">
        <v>2271</v>
      </c>
      <c r="Q11" s="103"/>
    </row>
    <row r="12" spans="1:17" ht="409.5" x14ac:dyDescent="0.2">
      <c r="A12" s="81" t="s">
        <v>2272</v>
      </c>
      <c r="B12" s="19" t="s">
        <v>2273</v>
      </c>
      <c r="C12" s="12" t="s">
        <v>2274</v>
      </c>
      <c r="D12" s="13" t="s">
        <v>2275</v>
      </c>
      <c r="E12" s="13" t="s">
        <v>2276</v>
      </c>
      <c r="F12" s="13" t="s">
        <v>2277</v>
      </c>
      <c r="G12" s="13" t="s">
        <v>2254</v>
      </c>
      <c r="H12" s="13" t="s">
        <v>2188</v>
      </c>
      <c r="I12" s="13" t="s">
        <v>2278</v>
      </c>
      <c r="J12" s="13" t="s">
        <v>1006</v>
      </c>
      <c r="K12" s="103" t="s">
        <v>2279</v>
      </c>
      <c r="L12" s="103" t="s">
        <v>2280</v>
      </c>
      <c r="M12" s="14" t="s">
        <v>2281</v>
      </c>
      <c r="N12" s="103" t="s">
        <v>2282</v>
      </c>
      <c r="O12" s="103"/>
      <c r="P12" s="103" t="s">
        <v>2283</v>
      </c>
      <c r="Q12" s="103"/>
    </row>
    <row r="13" spans="1:17" x14ac:dyDescent="0.2">
      <c r="A13" s="105"/>
      <c r="B13" s="104"/>
      <c r="C13" s="104"/>
      <c r="D13" s="104"/>
      <c r="E13" s="104"/>
      <c r="F13" s="104"/>
      <c r="G13" s="104"/>
      <c r="H13" s="104"/>
      <c r="I13" s="104"/>
      <c r="J13" s="104"/>
      <c r="K13" s="105"/>
      <c r="L13" s="105"/>
      <c r="M13" s="105"/>
      <c r="N13" s="105"/>
      <c r="O13" s="105"/>
      <c r="P13" s="105"/>
      <c r="Q13" s="105"/>
    </row>
    <row r="14" spans="1:17" ht="51" x14ac:dyDescent="0.2">
      <c r="A14" s="105"/>
      <c r="B14" s="104"/>
      <c r="C14" s="104"/>
      <c r="D14" s="104" t="s">
        <v>2284</v>
      </c>
      <c r="E14" s="104"/>
      <c r="F14" s="104"/>
      <c r="G14" s="104"/>
      <c r="H14" s="104"/>
      <c r="I14" s="104"/>
      <c r="J14" s="104"/>
      <c r="K14" s="105"/>
      <c r="L14" s="105"/>
      <c r="M14" s="105"/>
      <c r="N14" s="105"/>
      <c r="O14" s="105"/>
      <c r="P14" s="105"/>
      <c r="Q14" s="105"/>
    </row>
    <row r="15" spans="1:17" x14ac:dyDescent="0.2">
      <c r="A15" s="105"/>
      <c r="B15" s="104"/>
      <c r="C15" s="104"/>
      <c r="D15" s="104"/>
      <c r="E15" s="104"/>
      <c r="F15" s="104"/>
      <c r="G15" s="104"/>
      <c r="H15" s="104"/>
      <c r="I15" s="104"/>
      <c r="J15" s="104"/>
      <c r="K15" s="105"/>
      <c r="L15" s="105"/>
      <c r="M15" s="105"/>
      <c r="N15" s="105"/>
      <c r="O15" s="105"/>
      <c r="P15" s="105"/>
      <c r="Q15" s="105"/>
    </row>
    <row r="16" spans="1:17" ht="63.75" x14ac:dyDescent="0.2">
      <c r="A16" s="105"/>
      <c r="B16" s="104"/>
      <c r="C16" s="104"/>
      <c r="D16" s="104" t="s">
        <v>2285</v>
      </c>
      <c r="E16" s="104"/>
      <c r="F16" s="104"/>
      <c r="G16" s="104"/>
      <c r="H16" s="104"/>
      <c r="I16" s="104"/>
      <c r="J16" s="104"/>
      <c r="K16" s="105"/>
      <c r="L16" s="105"/>
      <c r="M16" s="105"/>
      <c r="N16" s="105"/>
      <c r="O16" s="105"/>
      <c r="P16" s="105"/>
      <c r="Q16" s="105"/>
    </row>
    <row r="17" spans="5:5" x14ac:dyDescent="0.2">
      <c r="E17" s="104"/>
    </row>
    <row r="18" spans="5:5" x14ac:dyDescent="0.2">
      <c r="E18" s="104"/>
    </row>
    <row r="58" spans="38:38" x14ac:dyDescent="0.2">
      <c r="AL58" s="105" t="s">
        <v>2286</v>
      </c>
    </row>
  </sheetData>
  <pageMargins left="0.25" right="0.25" top="0.75" bottom="0.75" header="0.3" footer="0.3"/>
  <pageSetup paperSize="8" scale="34"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0122FF-8494-4BF6-9142-717A272CD4E8}">
  <sheetPr codeName="Sheet21"/>
  <dimension ref="A1:C60"/>
  <sheetViews>
    <sheetView workbookViewId="0">
      <selection activeCell="A10" sqref="A10"/>
    </sheetView>
  </sheetViews>
  <sheetFormatPr defaultRowHeight="14.25" x14ac:dyDescent="0.2"/>
  <cols>
    <col min="1" max="1" width="18.375" bestFit="1" customWidth="1"/>
    <col min="2" max="2" width="18.875" bestFit="1" customWidth="1"/>
    <col min="3" max="3" width="107.375" bestFit="1" customWidth="1"/>
    <col min="4" max="4" width="11.375" bestFit="1" customWidth="1"/>
    <col min="5" max="5" width="4" bestFit="1" customWidth="1"/>
    <col min="6" max="6" width="6" bestFit="1" customWidth="1"/>
    <col min="7" max="11" width="8" bestFit="1" customWidth="1"/>
    <col min="12" max="12" width="8.25" bestFit="1" customWidth="1"/>
    <col min="13" max="13" width="7" bestFit="1" customWidth="1"/>
    <col min="14" max="14" width="5.75" bestFit="1" customWidth="1"/>
    <col min="15" max="19" width="7.75" bestFit="1" customWidth="1"/>
    <col min="20" max="20" width="4.125" bestFit="1" customWidth="1"/>
    <col min="21" max="21" width="5.125" bestFit="1" customWidth="1"/>
    <col min="22" max="22" width="3.125" bestFit="1" customWidth="1"/>
    <col min="23" max="23" width="4.25" bestFit="1" customWidth="1"/>
    <col min="24" max="24" width="4.875" bestFit="1" customWidth="1"/>
    <col min="25" max="25" width="4.625" bestFit="1" customWidth="1"/>
    <col min="26" max="26" width="6.375" bestFit="1" customWidth="1"/>
    <col min="27" max="27" width="3.75" bestFit="1" customWidth="1"/>
    <col min="28" max="28" width="5.125" bestFit="1" customWidth="1"/>
    <col min="29" max="29" width="5.75" bestFit="1" customWidth="1"/>
    <col min="30" max="30" width="3.5" bestFit="1" customWidth="1"/>
    <col min="31" max="31" width="8" bestFit="1" customWidth="1"/>
    <col min="32" max="32" width="4.125" bestFit="1" customWidth="1"/>
    <col min="33" max="33" width="5.25" bestFit="1" customWidth="1"/>
    <col min="34" max="34" width="4.25" bestFit="1" customWidth="1"/>
    <col min="35" max="35" width="4.125" bestFit="1" customWidth="1"/>
    <col min="36" max="36" width="4.25" bestFit="1" customWidth="1"/>
    <col min="37" max="37" width="7.375" bestFit="1" customWidth="1"/>
    <col min="38" max="38" width="5.75" bestFit="1" customWidth="1"/>
    <col min="39" max="39" width="4.125" bestFit="1" customWidth="1"/>
    <col min="40" max="40" width="4.75" bestFit="1" customWidth="1"/>
    <col min="41" max="41" width="6.375" bestFit="1" customWidth="1"/>
    <col min="42" max="42" width="3.125" bestFit="1" customWidth="1"/>
    <col min="43" max="43" width="2.625" bestFit="1" customWidth="1"/>
    <col min="44" max="44" width="4.75" bestFit="1" customWidth="1"/>
    <col min="45" max="45" width="3.25" bestFit="1" customWidth="1"/>
    <col min="46" max="46" width="4.375" bestFit="1" customWidth="1"/>
    <col min="47" max="47" width="4.5" bestFit="1" customWidth="1"/>
    <col min="48" max="48" width="5" bestFit="1" customWidth="1"/>
    <col min="49" max="49" width="5.5" bestFit="1" customWidth="1"/>
    <col min="50" max="50" width="7.625" bestFit="1" customWidth="1"/>
    <col min="51" max="51" width="9.125" bestFit="1" customWidth="1"/>
    <col min="52" max="52" width="5.75" bestFit="1" customWidth="1"/>
    <col min="53" max="53" width="7.875" bestFit="1" customWidth="1"/>
    <col min="54" max="54" width="5.375" bestFit="1" customWidth="1"/>
    <col min="55" max="55" width="3.625" bestFit="1" customWidth="1"/>
    <col min="56" max="56" width="6.75" bestFit="1" customWidth="1"/>
    <col min="57" max="58" width="4.125" bestFit="1" customWidth="1"/>
    <col min="59" max="59" width="7.375" bestFit="1" customWidth="1"/>
    <col min="60" max="60" width="5.625" bestFit="1" customWidth="1"/>
    <col min="61" max="61" width="4.5" bestFit="1" customWidth="1"/>
    <col min="62" max="62" width="6.75" bestFit="1" customWidth="1"/>
    <col min="63" max="63" width="5.125" bestFit="1" customWidth="1"/>
    <col min="64" max="64" width="6.25" bestFit="1" customWidth="1"/>
    <col min="65" max="65" width="4.125" bestFit="1" customWidth="1"/>
    <col min="66" max="66" width="4.875" bestFit="1" customWidth="1"/>
    <col min="67" max="67" width="5.5" bestFit="1" customWidth="1"/>
    <col min="68" max="68" width="3.125" bestFit="1" customWidth="1"/>
    <col min="69" max="69" width="4.375" bestFit="1" customWidth="1"/>
    <col min="70" max="70" width="7.375" bestFit="1" customWidth="1"/>
    <col min="71" max="71" width="5" bestFit="1" customWidth="1"/>
    <col min="72" max="72" width="4.625" bestFit="1" customWidth="1"/>
    <col min="73" max="73" width="3.625" bestFit="1" customWidth="1"/>
    <col min="74" max="74" width="8.75" bestFit="1" customWidth="1"/>
    <col min="75" max="75" width="3.5" bestFit="1" customWidth="1"/>
    <col min="76" max="76" width="6.375" bestFit="1" customWidth="1"/>
    <col min="77" max="77" width="8" bestFit="1" customWidth="1"/>
    <col min="78" max="78" width="9.5" bestFit="1" customWidth="1"/>
    <col min="79" max="80" width="6.25" bestFit="1" customWidth="1"/>
    <col min="81" max="81" width="6.375" bestFit="1" customWidth="1"/>
    <col min="82" max="82" width="8" bestFit="1" customWidth="1"/>
    <col min="83" max="83" width="9.5" bestFit="1" customWidth="1"/>
    <col min="84" max="85" width="6.25" bestFit="1" customWidth="1"/>
    <col min="86" max="86" width="6.375" bestFit="1" customWidth="1"/>
    <col min="87" max="87" width="8" bestFit="1" customWidth="1"/>
    <col min="88" max="88" width="9.5" bestFit="1" customWidth="1"/>
    <col min="89" max="90" width="6.25" bestFit="1" customWidth="1"/>
    <col min="91" max="91" width="6.375" bestFit="1" customWidth="1"/>
    <col min="92" max="92" width="8" bestFit="1" customWidth="1"/>
    <col min="93" max="93" width="9.5" bestFit="1" customWidth="1"/>
    <col min="94" max="95" width="6.25" bestFit="1" customWidth="1"/>
    <col min="96" max="96" width="6.375" bestFit="1" customWidth="1"/>
    <col min="97" max="97" width="8" bestFit="1" customWidth="1"/>
    <col min="98" max="98" width="9.5" bestFit="1" customWidth="1"/>
    <col min="99" max="100" width="6.25" bestFit="1" customWidth="1"/>
    <col min="101" max="101" width="4.875" bestFit="1" customWidth="1"/>
    <col min="102" max="102" width="7.625" bestFit="1" customWidth="1"/>
    <col min="103" max="103" width="5.875" bestFit="1" customWidth="1"/>
    <col min="104" max="104" width="6.5" bestFit="1" customWidth="1"/>
    <col min="105" max="105" width="11.5" bestFit="1" customWidth="1"/>
    <col min="106" max="106" width="6" bestFit="1" customWidth="1"/>
    <col min="107" max="107" width="4.875" bestFit="1" customWidth="1"/>
    <col min="108" max="108" width="4.375" bestFit="1" customWidth="1"/>
    <col min="109" max="109" width="5" bestFit="1" customWidth="1"/>
    <col min="110" max="110" width="4.75" bestFit="1" customWidth="1"/>
    <col min="111" max="111" width="4" bestFit="1" customWidth="1"/>
    <col min="112" max="112" width="8.625" bestFit="1" customWidth="1"/>
    <col min="113" max="113" width="5" bestFit="1" customWidth="1"/>
    <col min="114" max="118" width="7" bestFit="1" customWidth="1"/>
    <col min="119" max="119" width="6.25" bestFit="1" customWidth="1"/>
    <col min="120" max="120" width="3.5" bestFit="1" customWidth="1"/>
    <col min="121" max="121" width="5.5" bestFit="1" customWidth="1"/>
    <col min="122" max="126" width="7.5" bestFit="1" customWidth="1"/>
    <col min="127" max="127" width="3.75" bestFit="1" customWidth="1"/>
    <col min="128" max="128" width="3.625" bestFit="1" customWidth="1"/>
    <col min="129" max="130" width="4.25" bestFit="1" customWidth="1"/>
    <col min="131" max="131" width="5" bestFit="1" customWidth="1"/>
    <col min="132" max="132" width="3.125" bestFit="1" customWidth="1"/>
    <col min="133" max="133" width="4.625" bestFit="1" customWidth="1"/>
    <col min="134" max="134" width="6.625" bestFit="1" customWidth="1"/>
    <col min="135" max="136" width="5.25" bestFit="1" customWidth="1"/>
    <col min="137" max="137" width="5.625" bestFit="1" customWidth="1"/>
    <col min="138" max="142" width="7.625" bestFit="1" customWidth="1"/>
    <col min="143" max="143" width="4.375" bestFit="1" customWidth="1"/>
    <col min="144" max="144" width="4" bestFit="1" customWidth="1"/>
    <col min="145" max="145" width="6.125" bestFit="1" customWidth="1"/>
    <col min="147" max="147" width="6.125" bestFit="1" customWidth="1"/>
    <col min="148" max="149" width="3.75" bestFit="1" customWidth="1"/>
    <col min="150" max="150" width="4.5" bestFit="1" customWidth="1"/>
    <col min="151" max="151" width="6.125" bestFit="1" customWidth="1"/>
    <col min="152" max="152" width="5.25" bestFit="1" customWidth="1"/>
    <col min="153" max="153" width="3.5" bestFit="1" customWidth="1"/>
    <col min="154" max="154" width="3.75" bestFit="1" customWidth="1"/>
    <col min="155" max="155" width="5.875" bestFit="1" customWidth="1"/>
    <col min="156" max="156" width="4.625" bestFit="1" customWidth="1"/>
    <col min="157" max="157" width="2.75" bestFit="1" customWidth="1"/>
    <col min="158" max="158" width="4.75" bestFit="1" customWidth="1"/>
    <col min="159" max="163" width="6.75" bestFit="1" customWidth="1"/>
    <col min="164" max="164" width="3.625" bestFit="1" customWidth="1"/>
    <col min="165" max="165" width="3.75" bestFit="1" customWidth="1"/>
    <col min="166" max="166" width="3.625" bestFit="1" customWidth="1"/>
    <col min="167" max="167" width="7.75" bestFit="1" customWidth="1"/>
    <col min="168" max="172" width="9.75" bestFit="1" customWidth="1"/>
    <col min="173" max="173" width="5.375" bestFit="1" customWidth="1"/>
    <col min="174" max="178" width="7.375" bestFit="1" customWidth="1"/>
    <col min="179" max="179" width="14.25" bestFit="1" customWidth="1"/>
    <col min="180" max="180" width="7.375" bestFit="1" customWidth="1"/>
    <col min="181" max="181" width="3.75" bestFit="1" customWidth="1"/>
    <col min="182" max="182" width="22.625" bestFit="1" customWidth="1"/>
    <col min="183" max="183" width="22.5" bestFit="1" customWidth="1"/>
    <col min="184" max="184" width="27.125" bestFit="1" customWidth="1"/>
    <col min="185" max="185" width="19.75" bestFit="1" customWidth="1"/>
    <col min="186" max="186" width="19.625" bestFit="1" customWidth="1"/>
    <col min="187" max="187" width="7.625" bestFit="1" customWidth="1"/>
    <col min="188" max="188" width="17.875" bestFit="1" customWidth="1"/>
    <col min="189" max="189" width="18.25" bestFit="1" customWidth="1"/>
    <col min="190" max="190" width="18.125" bestFit="1" customWidth="1"/>
    <col min="191" max="191" width="17.75" bestFit="1" customWidth="1"/>
    <col min="192" max="192" width="7.125" bestFit="1" customWidth="1"/>
    <col min="193" max="193" width="23.625" bestFit="1" customWidth="1"/>
    <col min="194" max="194" width="23.5" bestFit="1" customWidth="1"/>
    <col min="195" max="195" width="4.375" bestFit="1" customWidth="1"/>
    <col min="196" max="196" width="11.375" bestFit="1" customWidth="1"/>
  </cols>
  <sheetData>
    <row r="1" spans="1:3" x14ac:dyDescent="0.2">
      <c r="A1" s="77" t="s">
        <v>261</v>
      </c>
      <c r="B1" t="s">
        <v>1437</v>
      </c>
    </row>
    <row r="2" spans="1:3" x14ac:dyDescent="0.2">
      <c r="A2" s="77" t="s">
        <v>1429</v>
      </c>
      <c r="B2" t="s">
        <v>262</v>
      </c>
    </row>
    <row r="4" spans="1:3" ht="15" x14ac:dyDescent="0.25">
      <c r="A4" s="77" t="s">
        <v>2287</v>
      </c>
      <c r="B4" t="s">
        <v>2288</v>
      </c>
      <c r="C4" s="120" t="s">
        <v>266</v>
      </c>
    </row>
    <row r="5" spans="1:3" x14ac:dyDescent="0.2">
      <c r="A5" s="78" t="s">
        <v>109</v>
      </c>
      <c r="B5">
        <v>1</v>
      </c>
      <c r="C5" t="str">
        <f>VLOOKUP(A5,data_elements!A:B,2,FALSE)</f>
        <v>Acute Coronary Syndrome</v>
      </c>
    </row>
    <row r="6" spans="1:3" x14ac:dyDescent="0.2">
      <c r="A6" s="78" t="s">
        <v>111</v>
      </c>
      <c r="B6">
        <v>1</v>
      </c>
      <c r="C6" t="str">
        <f>VLOOKUP(A6,data_elements!A:B,2,FALSE)</f>
        <v>Type of ACS (select ONE):</v>
      </c>
    </row>
    <row r="7" spans="1:3" x14ac:dyDescent="0.2">
      <c r="A7" s="78" t="s">
        <v>137</v>
      </c>
      <c r="B7">
        <v>1</v>
      </c>
      <c r="C7" t="str">
        <f>VLOOKUP(A7,data_elements!A:B,2,FALSE)</f>
        <v>Cardiac rehabilitation referral</v>
      </c>
    </row>
    <row r="8" spans="1:3" x14ac:dyDescent="0.2">
      <c r="A8" s="78" t="s">
        <v>246</v>
      </c>
      <c r="B8">
        <v>1</v>
      </c>
      <c r="C8" t="str">
        <f>VLOOKUP(A8,data_elements!A:B,2,FALSE)</f>
        <v>Cardiac rehospitalisation</v>
      </c>
    </row>
    <row r="9" spans="1:3" x14ac:dyDescent="0.2">
      <c r="A9" s="78" t="s">
        <v>117</v>
      </c>
      <c r="B9">
        <v>1</v>
      </c>
      <c r="C9" t="str">
        <f>VLOOKUP(A9,data_elements!A:B,2,FALSE)</f>
        <v>Aspirin prescribed at discharge</v>
      </c>
    </row>
    <row r="10" spans="1:3" x14ac:dyDescent="0.2">
      <c r="A10" s="78" t="s">
        <v>144</v>
      </c>
      <c r="B10">
        <v>1</v>
      </c>
      <c r="C10" t="str">
        <f>VLOOKUP(A10,data_elements!A:B,2,FALSE)</f>
        <v>Balloon/device date</v>
      </c>
    </row>
    <row r="11" spans="1:3" x14ac:dyDescent="0.2">
      <c r="A11" s="78" t="s">
        <v>148</v>
      </c>
      <c r="B11">
        <v>1</v>
      </c>
      <c r="C11" t="str">
        <f>VLOOKUP(A11,data_elements!A:B,2,FALSE)</f>
        <v>Date of diagnostic ECG</v>
      </c>
    </row>
    <row r="12" spans="1:3" x14ac:dyDescent="0.2">
      <c r="A12" s="78" t="s">
        <v>105</v>
      </c>
      <c r="B12">
        <v>1</v>
      </c>
      <c r="C12" t="str">
        <f>VLOOKUP(A12,data_elements!A:B,2,FALSE)</f>
        <v>Discharge status</v>
      </c>
    </row>
    <row r="13" spans="1:3" x14ac:dyDescent="0.2">
      <c r="A13" s="78" t="s">
        <v>154</v>
      </c>
      <c r="B13">
        <v>1</v>
      </c>
      <c r="C13" t="str">
        <f>VLOOKUP(A13,data_elements!A:B,2,FALSE)</f>
        <v>Date of death</v>
      </c>
    </row>
    <row r="14" spans="1:3" x14ac:dyDescent="0.2">
      <c r="A14" s="78" t="s">
        <v>158</v>
      </c>
      <c r="B14">
        <v>1</v>
      </c>
      <c r="C14" t="str">
        <f>VLOOKUP(A14,data_elements!A:B,2,FALSE)</f>
        <v>Date of arrival at PCI hospital</v>
      </c>
    </row>
    <row r="15" spans="1:3" x14ac:dyDescent="0.2">
      <c r="A15" s="78" t="s">
        <v>119</v>
      </c>
      <c r="B15">
        <v>1</v>
      </c>
      <c r="C15" t="str">
        <f>VLOOKUP(A15,data_elements!A:B,2,FALSE)</f>
        <v>Other antiplatelet prescribed at discharge</v>
      </c>
    </row>
    <row r="16" spans="1:3" x14ac:dyDescent="0.2">
      <c r="A16" s="78" t="s">
        <v>113</v>
      </c>
      <c r="B16">
        <v>1</v>
      </c>
      <c r="C16" t="str">
        <f>VLOOKUP(A16,data_elements!A:B,2,FALSE)</f>
        <v>Other Lipid Lowering Therapies prescribed at discharge</v>
      </c>
    </row>
    <row r="17" spans="1:3" x14ac:dyDescent="0.2">
      <c r="A17" s="78" t="s">
        <v>121</v>
      </c>
      <c r="B17">
        <v>1</v>
      </c>
      <c r="C17" t="str">
        <f>VLOOKUP(A17,data_elements!A:B,2,FALSE)</f>
        <v>PCI procedure date</v>
      </c>
    </row>
    <row r="18" spans="1:3" x14ac:dyDescent="0.2">
      <c r="A18" s="78" t="s">
        <v>115</v>
      </c>
      <c r="B18">
        <v>1</v>
      </c>
      <c r="C18" t="str">
        <f>VLOOKUP(A18,data_elements!A:B,2,FALSE)</f>
        <v>Statin prescribed at discharge</v>
      </c>
    </row>
    <row r="19" spans="1:3" x14ac:dyDescent="0.2">
      <c r="A19" s="78" t="s">
        <v>328</v>
      </c>
      <c r="B19">
        <v>1</v>
      </c>
      <c r="C19" t="str">
        <f>VLOOKUP(A19,data_elements!A:B,2,FALSE)</f>
        <v>Diagnostic ECG to balloon [mins]</v>
      </c>
    </row>
    <row r="20" spans="1:3" x14ac:dyDescent="0.2">
      <c r="A20" s="78" t="s">
        <v>332</v>
      </c>
      <c r="B20">
        <v>0</v>
      </c>
      <c r="C20" t="str">
        <f>VLOOKUP(A20,data_elements!A:B,2,FALSE)</f>
        <v>Ejection fraction (EF) test result 
Digitally Derived %</v>
      </c>
    </row>
    <row r="21" spans="1:3" x14ac:dyDescent="0.2">
      <c r="A21" s="78" t="s">
        <v>224</v>
      </c>
      <c r="B21">
        <v>0</v>
      </c>
      <c r="C21" t="str">
        <f>VLOOKUP(A21,data_elements!A:B,2,FALSE)</f>
        <v>In-hospital bleeding</v>
      </c>
    </row>
    <row r="22" spans="1:3" x14ac:dyDescent="0.2">
      <c r="A22" s="78" t="s">
        <v>226</v>
      </c>
      <c r="B22">
        <v>0</v>
      </c>
      <c r="C22" t="str">
        <f>VLOOKUP(A22,data_elements!A:B,2,FALSE)</f>
        <v>In-hospital bleeding site</v>
      </c>
    </row>
    <row r="23" spans="1:3" x14ac:dyDescent="0.2">
      <c r="A23" s="78" t="s">
        <v>373</v>
      </c>
      <c r="B23">
        <v>0</v>
      </c>
      <c r="C23" t="str">
        <f>VLOOKUP(A23,data_elements!A:B,2,FALSE)</f>
        <v>In hospital stent thrombosis</v>
      </c>
    </row>
    <row r="24" spans="1:3" x14ac:dyDescent="0.2">
      <c r="A24" s="78" t="s">
        <v>170</v>
      </c>
      <c r="B24">
        <v>1</v>
      </c>
      <c r="C24" t="str">
        <f>VLOOKUP(A24,data_elements!A:B,2,FALSE)</f>
        <v>In-hospital stroke</v>
      </c>
    </row>
    <row r="25" spans="1:3" x14ac:dyDescent="0.2">
      <c r="A25" s="78" t="s">
        <v>173</v>
      </c>
      <c r="B25">
        <v>1</v>
      </c>
      <c r="C25" t="str">
        <f>VLOOKUP(A25,data_elements!A:B,2,FALSE)</f>
        <v>Inter-hospital transfer</v>
      </c>
    </row>
    <row r="26" spans="1:3" x14ac:dyDescent="0.2">
      <c r="A26" s="78" t="s">
        <v>231</v>
      </c>
      <c r="B26">
        <v>0</v>
      </c>
      <c r="C26" t="str">
        <f>VLOOKUP(A26,data_elements!A:B,2,FALSE)</f>
        <v>In-hospital target LESION revascularisation</v>
      </c>
    </row>
    <row r="27" spans="1:3" x14ac:dyDescent="0.2">
      <c r="A27" s="78" t="s">
        <v>175</v>
      </c>
      <c r="B27">
        <v>1</v>
      </c>
      <c r="C27" t="str">
        <f>VLOOKUP(A27,data_elements!A:B,2,FALSE)</f>
        <v>Planned cardiac rehospitalisation</v>
      </c>
    </row>
    <row r="28" spans="1:3" x14ac:dyDescent="0.2">
      <c r="A28" s="78" t="s">
        <v>177</v>
      </c>
      <c r="B28">
        <v>1</v>
      </c>
      <c r="C28" t="str">
        <f>VLOOKUP(A28,data_elements!A:B,2,FALSE)</f>
        <v>PCI rehospitalisation</v>
      </c>
    </row>
    <row r="29" spans="1:3" x14ac:dyDescent="0.2">
      <c r="A29" s="78" t="s">
        <v>249</v>
      </c>
      <c r="B29">
        <v>1</v>
      </c>
      <c r="C29" t="str">
        <f>VLOOKUP(A29,data_elements!A:B,2,FALSE)</f>
        <v>Follow-up status</v>
      </c>
    </row>
    <row r="30" spans="1:3" x14ac:dyDescent="0.2">
      <c r="A30" s="78" t="s">
        <v>179</v>
      </c>
      <c r="B30">
        <v>1</v>
      </c>
      <c r="C30" t="str">
        <f>VLOOKUP(A30,data_elements!A:B,2,FALSE)</f>
        <v>Balloon/device time</v>
      </c>
    </row>
    <row r="31" spans="1:3" x14ac:dyDescent="0.2">
      <c r="A31" s="78" t="s">
        <v>180</v>
      </c>
      <c r="B31">
        <v>1</v>
      </c>
      <c r="C31" t="str">
        <f>VLOOKUP(A31,data_elements!A:B,2,FALSE)</f>
        <v>Time of diagnostic ECG</v>
      </c>
    </row>
    <row r="32" spans="1:3" x14ac:dyDescent="0.2">
      <c r="A32" s="78" t="s">
        <v>256</v>
      </c>
      <c r="B32">
        <v>0</v>
      </c>
      <c r="C32" t="str">
        <f>VLOOKUP(A32,data_elements!A:B,2,FALSE)</f>
        <v>Target LESION revascularisation (TLR)</v>
      </c>
    </row>
    <row r="33" spans="1:3" x14ac:dyDescent="0.2">
      <c r="A33" s="78" t="s">
        <v>181</v>
      </c>
      <c r="B33">
        <v>1</v>
      </c>
      <c r="C33" t="str">
        <f>VLOOKUP(A33,data_elements!A:B,2,FALSE)</f>
        <v>Time of arrival at PCI hospital</v>
      </c>
    </row>
    <row r="34" spans="1:3" x14ac:dyDescent="0.2">
      <c r="A34" s="78" t="s">
        <v>258</v>
      </c>
      <c r="B34">
        <v>0</v>
      </c>
      <c r="C34" t="str">
        <f>VLOOKUP(A34,data_elements!A:B,2,FALSE)</f>
        <v>Target Vessel revascularisation (PCI)</v>
      </c>
    </row>
    <row r="35" spans="1:3" x14ac:dyDescent="0.2">
      <c r="A35" s="78" t="s">
        <v>541</v>
      </c>
      <c r="B35">
        <v>23</v>
      </c>
      <c r="C35" t="e">
        <f>VLOOKUP(A35,data_elements!A:B,2,FALSE)</f>
        <v>#N/A</v>
      </c>
    </row>
    <row r="36" spans="1:3" x14ac:dyDescent="0.2">
      <c r="C36" t="e">
        <f>VLOOKUP(A36,data_elements!A:B,2,FALSE)</f>
        <v>#N/A</v>
      </c>
    </row>
    <row r="37" spans="1:3" x14ac:dyDescent="0.2">
      <c r="C37" t="e">
        <f>VLOOKUP(A37,data_elements!A:B,2,FALSE)</f>
        <v>#N/A</v>
      </c>
    </row>
    <row r="38" spans="1:3" x14ac:dyDescent="0.2">
      <c r="C38" t="e">
        <f>VLOOKUP(A38,data_elements!A:B,2,FALSE)</f>
        <v>#N/A</v>
      </c>
    </row>
    <row r="39" spans="1:3" x14ac:dyDescent="0.2">
      <c r="C39" t="e">
        <f>VLOOKUP(A39,data_elements!A:B,2,FALSE)</f>
        <v>#N/A</v>
      </c>
    </row>
    <row r="40" spans="1:3" x14ac:dyDescent="0.2">
      <c r="C40" t="e">
        <f>VLOOKUP(A40,data_elements!A:B,2,FALSE)</f>
        <v>#N/A</v>
      </c>
    </row>
    <row r="41" spans="1:3" x14ac:dyDescent="0.2">
      <c r="C41" t="e">
        <f>VLOOKUP(A41,data_elements!A:B,2,FALSE)</f>
        <v>#N/A</v>
      </c>
    </row>
    <row r="42" spans="1:3" x14ac:dyDescent="0.2">
      <c r="C42" t="e">
        <f>VLOOKUP(A42,data_elements!A:B,2,FALSE)</f>
        <v>#N/A</v>
      </c>
    </row>
    <row r="43" spans="1:3" x14ac:dyDescent="0.2">
      <c r="C43" t="e">
        <f>VLOOKUP(A43,data_elements!A:B,2,FALSE)</f>
        <v>#N/A</v>
      </c>
    </row>
    <row r="44" spans="1:3" x14ac:dyDescent="0.2">
      <c r="C44" t="e">
        <f>VLOOKUP(A44,data_elements!A:B,2,FALSE)</f>
        <v>#N/A</v>
      </c>
    </row>
    <row r="45" spans="1:3" x14ac:dyDescent="0.2">
      <c r="C45" t="e">
        <f>VLOOKUP(A45,data_elements!A:B,2,FALSE)</f>
        <v>#N/A</v>
      </c>
    </row>
    <row r="46" spans="1:3" x14ac:dyDescent="0.2">
      <c r="C46" t="e">
        <f>VLOOKUP(A46,data_elements!A:B,2,FALSE)</f>
        <v>#N/A</v>
      </c>
    </row>
    <row r="47" spans="1:3" x14ac:dyDescent="0.2">
      <c r="C47" t="e">
        <f>VLOOKUP(A47,data_elements!A:B,2,FALSE)</f>
        <v>#N/A</v>
      </c>
    </row>
    <row r="48" spans="1:3" x14ac:dyDescent="0.2">
      <c r="C48" t="e">
        <f>VLOOKUP(A48,data_elements!A:B,2,FALSE)</f>
        <v>#N/A</v>
      </c>
    </row>
    <row r="49" spans="3:3" x14ac:dyDescent="0.2">
      <c r="C49" t="e">
        <f>VLOOKUP(A49,data_elements!A:B,2,FALSE)</f>
        <v>#N/A</v>
      </c>
    </row>
    <row r="50" spans="3:3" x14ac:dyDescent="0.2">
      <c r="C50" t="e">
        <f>VLOOKUP(A50,data_elements!A:B,2,FALSE)</f>
        <v>#N/A</v>
      </c>
    </row>
    <row r="51" spans="3:3" x14ac:dyDescent="0.2">
      <c r="C51" t="e">
        <f>VLOOKUP(A51,data_elements!A:B,2,FALSE)</f>
        <v>#N/A</v>
      </c>
    </row>
    <row r="52" spans="3:3" x14ac:dyDescent="0.2">
      <c r="C52" t="e">
        <f>VLOOKUP(A52,data_elements!A:B,2,FALSE)</f>
        <v>#N/A</v>
      </c>
    </row>
    <row r="53" spans="3:3" x14ac:dyDescent="0.2">
      <c r="C53" t="e">
        <f>VLOOKUP(A53,data_elements!A:B,2,FALSE)</f>
        <v>#N/A</v>
      </c>
    </row>
    <row r="54" spans="3:3" x14ac:dyDescent="0.2">
      <c r="C54" t="e">
        <f>VLOOKUP(A54,data_elements!A:B,2,FALSE)</f>
        <v>#N/A</v>
      </c>
    </row>
    <row r="55" spans="3:3" x14ac:dyDescent="0.2">
      <c r="C55" t="e">
        <f>VLOOKUP(A55,data_elements!A:B,2,FALSE)</f>
        <v>#N/A</v>
      </c>
    </row>
    <row r="56" spans="3:3" x14ac:dyDescent="0.2">
      <c r="C56" t="e">
        <f>VLOOKUP(A56,data_elements!A:B,2,FALSE)</f>
        <v>#N/A</v>
      </c>
    </row>
    <row r="57" spans="3:3" x14ac:dyDescent="0.2">
      <c r="C57" t="e">
        <f>VLOOKUP(A57,data_elements!A:B,2,FALSE)</f>
        <v>#N/A</v>
      </c>
    </row>
    <row r="58" spans="3:3" x14ac:dyDescent="0.2">
      <c r="C58" t="e">
        <f>VLOOKUP(A58,data_elements!A:B,2,FALSE)</f>
        <v>#N/A</v>
      </c>
    </row>
    <row r="59" spans="3:3" x14ac:dyDescent="0.2">
      <c r="C59" t="e">
        <f>VLOOKUP(A59,data_elements!A:B,2,FALSE)</f>
        <v>#N/A</v>
      </c>
    </row>
    <row r="60" spans="3:3" x14ac:dyDescent="0.2">
      <c r="C60" t="e">
        <f>VLOOKUP(A60,data_elements!A:B,2,FALSE)</f>
        <v>#N/A</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7F3FB-B642-46AA-94A5-856F90C797F7}">
  <dimension ref="A1:D25"/>
  <sheetViews>
    <sheetView workbookViewId="0">
      <selection activeCell="A8" sqref="A8"/>
    </sheetView>
  </sheetViews>
  <sheetFormatPr defaultRowHeight="14.25" x14ac:dyDescent="0.2"/>
  <cols>
    <col min="1" max="1" width="40.875" customWidth="1"/>
    <col min="2" max="2" width="53.875" customWidth="1"/>
    <col min="3" max="3" width="17.75" customWidth="1"/>
    <col min="4" max="4" width="13.75" customWidth="1"/>
  </cols>
  <sheetData>
    <row r="1" spans="1:4" x14ac:dyDescent="0.2">
      <c r="A1" t="s">
        <v>2289</v>
      </c>
      <c r="B1" t="s">
        <v>597</v>
      </c>
      <c r="C1" t="s">
        <v>2290</v>
      </c>
      <c r="D1" t="s">
        <v>2291</v>
      </c>
    </row>
    <row r="2" spans="1:4" x14ac:dyDescent="0.2">
      <c r="A2" s="152" t="s">
        <v>2292</v>
      </c>
      <c r="B2" s="36" t="s">
        <v>2293</v>
      </c>
      <c r="C2">
        <v>9314</v>
      </c>
      <c r="D2">
        <v>267</v>
      </c>
    </row>
    <row r="3" spans="1:4" x14ac:dyDescent="0.2">
      <c r="A3" s="153" t="s">
        <v>2294</v>
      </c>
      <c r="B3" s="36" t="s">
        <v>2295</v>
      </c>
      <c r="C3">
        <v>9314</v>
      </c>
      <c r="D3">
        <v>51</v>
      </c>
    </row>
    <row r="4" spans="1:4" x14ac:dyDescent="0.2">
      <c r="A4" s="151" t="s">
        <v>2296</v>
      </c>
      <c r="B4" s="36" t="s">
        <v>2297</v>
      </c>
      <c r="C4">
        <v>9314</v>
      </c>
      <c r="D4">
        <v>439</v>
      </c>
    </row>
    <row r="5" spans="1:4" x14ac:dyDescent="0.2">
      <c r="A5" s="151" t="s">
        <v>2298</v>
      </c>
      <c r="B5" s="36" t="s">
        <v>2299</v>
      </c>
      <c r="C5">
        <v>9314</v>
      </c>
      <c r="D5">
        <v>2</v>
      </c>
    </row>
    <row r="6" spans="1:4" ht="28.5" x14ac:dyDescent="0.2">
      <c r="A6" s="152" t="s">
        <v>2300</v>
      </c>
      <c r="B6" s="36" t="s">
        <v>2301</v>
      </c>
      <c r="C6">
        <v>9314</v>
      </c>
      <c r="D6">
        <v>2787</v>
      </c>
    </row>
    <row r="7" spans="1:4" ht="28.5" x14ac:dyDescent="0.2">
      <c r="A7" s="152" t="s">
        <v>2302</v>
      </c>
      <c r="B7" s="36" t="s">
        <v>2303</v>
      </c>
      <c r="C7">
        <v>9314</v>
      </c>
      <c r="D7">
        <v>9028</v>
      </c>
    </row>
    <row r="8" spans="1:4" x14ac:dyDescent="0.2">
      <c r="A8" s="152"/>
      <c r="B8" s="36"/>
      <c r="C8">
        <v>9314</v>
      </c>
    </row>
    <row r="9" spans="1:4" x14ac:dyDescent="0.2">
      <c r="A9" s="152"/>
      <c r="B9" s="36"/>
      <c r="C9">
        <v>9314</v>
      </c>
    </row>
    <row r="10" spans="1:4" x14ac:dyDescent="0.2">
      <c r="A10" s="152"/>
      <c r="B10" s="36"/>
      <c r="C10">
        <v>9314</v>
      </c>
    </row>
    <row r="11" spans="1:4" x14ac:dyDescent="0.2">
      <c r="A11" s="36"/>
      <c r="B11" s="36"/>
      <c r="C11">
        <v>9314</v>
      </c>
    </row>
    <row r="12" spans="1:4" x14ac:dyDescent="0.2">
      <c r="A12" s="36"/>
      <c r="B12" s="36"/>
    </row>
    <row r="13" spans="1:4" x14ac:dyDescent="0.2">
      <c r="A13" s="36"/>
      <c r="B13" s="36"/>
    </row>
    <row r="14" spans="1:4" x14ac:dyDescent="0.2">
      <c r="A14" s="36"/>
      <c r="B14" s="36"/>
    </row>
    <row r="15" spans="1:4" x14ac:dyDescent="0.2">
      <c r="A15" s="36"/>
      <c r="B15" s="36"/>
    </row>
    <row r="16" spans="1:4" x14ac:dyDescent="0.2">
      <c r="A16" s="36"/>
      <c r="B16" s="36"/>
    </row>
    <row r="17" spans="1:2" x14ac:dyDescent="0.2">
      <c r="A17" s="36"/>
      <c r="B17" s="36"/>
    </row>
    <row r="18" spans="1:2" x14ac:dyDescent="0.2">
      <c r="A18" s="36"/>
      <c r="B18" s="36"/>
    </row>
    <row r="19" spans="1:2" x14ac:dyDescent="0.2">
      <c r="A19" s="36"/>
      <c r="B19" s="36"/>
    </row>
    <row r="20" spans="1:2" x14ac:dyDescent="0.2">
      <c r="A20" s="36"/>
      <c r="B20" s="36"/>
    </row>
    <row r="21" spans="1:2" x14ac:dyDescent="0.2">
      <c r="A21" s="36"/>
      <c r="B21" s="36"/>
    </row>
    <row r="22" spans="1:2" x14ac:dyDescent="0.2">
      <c r="A22" s="36"/>
      <c r="B22" s="36"/>
    </row>
    <row r="23" spans="1:2" x14ac:dyDescent="0.2">
      <c r="A23" s="36"/>
      <c r="B23" s="36"/>
    </row>
    <row r="24" spans="1:2" x14ac:dyDescent="0.2">
      <c r="A24" s="36"/>
      <c r="B24" s="36"/>
    </row>
    <row r="25" spans="1:2" x14ac:dyDescent="0.2">
      <c r="A25" s="36"/>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E6A73-7496-4389-B94A-6C6547934661}">
  <sheetPr codeName="Sheet3"/>
  <dimension ref="A1:C172"/>
  <sheetViews>
    <sheetView workbookViewId="0">
      <selection activeCell="B8" sqref="B8"/>
    </sheetView>
  </sheetViews>
  <sheetFormatPr defaultColWidth="9" defaultRowHeight="14.25" x14ac:dyDescent="0.2"/>
  <cols>
    <col min="1" max="1" width="15.75" style="47" customWidth="1"/>
    <col min="2" max="2" width="51.75" style="47" customWidth="1"/>
    <col min="3" max="16384" width="9" style="47"/>
  </cols>
  <sheetData>
    <row r="1" spans="1:3" x14ac:dyDescent="0.2">
      <c r="A1" s="47" t="s">
        <v>2304</v>
      </c>
      <c r="B1" s="47" t="s">
        <v>2305</v>
      </c>
      <c r="C1" s="47" t="s">
        <v>2306</v>
      </c>
    </row>
    <row r="2" spans="1:3" hidden="1" x14ac:dyDescent="0.2">
      <c r="A2" s="47" t="s">
        <v>359</v>
      </c>
      <c r="B2" s="47" t="s">
        <v>133</v>
      </c>
      <c r="C2" s="47">
        <v>1</v>
      </c>
    </row>
    <row r="3" spans="1:3" hidden="1" x14ac:dyDescent="0.2">
      <c r="A3" s="47" t="s">
        <v>457</v>
      </c>
      <c r="B3" s="47" t="s">
        <v>133</v>
      </c>
      <c r="C3" s="47">
        <v>2</v>
      </c>
    </row>
    <row r="4" spans="1:3" hidden="1" x14ac:dyDescent="0.2">
      <c r="A4" s="47" t="s">
        <v>1398</v>
      </c>
      <c r="B4" s="47" t="s">
        <v>2307</v>
      </c>
      <c r="C4" s="47">
        <v>3</v>
      </c>
    </row>
    <row r="5" spans="1:3" hidden="1" x14ac:dyDescent="0.2">
      <c r="A5" s="47" t="s">
        <v>1392</v>
      </c>
      <c r="B5" s="47" t="s">
        <v>2307</v>
      </c>
      <c r="C5" s="47">
        <v>4</v>
      </c>
    </row>
    <row r="6" spans="1:3" hidden="1" x14ac:dyDescent="0.2">
      <c r="A6" s="47" t="s">
        <v>357</v>
      </c>
      <c r="B6" s="47" t="s">
        <v>133</v>
      </c>
      <c r="C6" s="47">
        <v>5</v>
      </c>
    </row>
    <row r="7" spans="1:3" hidden="1" x14ac:dyDescent="0.2">
      <c r="A7" s="47" t="s">
        <v>441</v>
      </c>
      <c r="B7" s="47" t="s">
        <v>133</v>
      </c>
      <c r="C7" s="47">
        <v>6</v>
      </c>
    </row>
    <row r="8" spans="1:3" x14ac:dyDescent="0.2">
      <c r="A8" s="47" t="s">
        <v>488</v>
      </c>
      <c r="B8" s="47" t="s">
        <v>2308</v>
      </c>
      <c r="C8" s="47">
        <v>7</v>
      </c>
    </row>
    <row r="9" spans="1:3" hidden="1" x14ac:dyDescent="0.2">
      <c r="A9" s="47" t="s">
        <v>382</v>
      </c>
      <c r="B9" s="47" t="s">
        <v>133</v>
      </c>
      <c r="C9" s="47">
        <v>8</v>
      </c>
    </row>
    <row r="10" spans="1:3" hidden="1" x14ac:dyDescent="0.2">
      <c r="A10" s="47" t="s">
        <v>158</v>
      </c>
      <c r="C10" s="47">
        <v>9</v>
      </c>
    </row>
    <row r="11" spans="1:3" x14ac:dyDescent="0.2">
      <c r="A11" s="47" t="s">
        <v>181</v>
      </c>
      <c r="B11" s="47" t="s">
        <v>2309</v>
      </c>
      <c r="C11" s="47">
        <v>10</v>
      </c>
    </row>
    <row r="12" spans="1:3" hidden="1" x14ac:dyDescent="0.2">
      <c r="A12" s="47" t="s">
        <v>275</v>
      </c>
      <c r="B12" s="47" t="s">
        <v>133</v>
      </c>
      <c r="C12" s="47">
        <v>11</v>
      </c>
    </row>
    <row r="13" spans="1:3" x14ac:dyDescent="0.2">
      <c r="A13" s="47" t="s">
        <v>361</v>
      </c>
      <c r="B13" s="47" t="s">
        <v>2310</v>
      </c>
      <c r="C13" s="47">
        <v>12</v>
      </c>
    </row>
    <row r="14" spans="1:3" x14ac:dyDescent="0.2">
      <c r="A14" s="47" t="s">
        <v>539</v>
      </c>
      <c r="B14" s="47" t="s">
        <v>2310</v>
      </c>
      <c r="C14" s="47">
        <v>13</v>
      </c>
    </row>
    <row r="15" spans="1:3" hidden="1" x14ac:dyDescent="0.2">
      <c r="A15" s="47" t="s">
        <v>121</v>
      </c>
      <c r="B15" s="47" t="s">
        <v>133</v>
      </c>
      <c r="C15" s="47">
        <v>14</v>
      </c>
    </row>
    <row r="16" spans="1:3" x14ac:dyDescent="0.2">
      <c r="A16" s="47" t="s">
        <v>223</v>
      </c>
      <c r="B16" s="47" t="s">
        <v>2309</v>
      </c>
      <c r="C16" s="47">
        <v>15</v>
      </c>
    </row>
    <row r="17" spans="1:3" hidden="1" x14ac:dyDescent="0.2">
      <c r="A17" s="47" t="s">
        <v>469</v>
      </c>
      <c r="B17" s="47" t="s">
        <v>2307</v>
      </c>
      <c r="C17" s="47">
        <v>16</v>
      </c>
    </row>
    <row r="18" spans="1:3" hidden="1" x14ac:dyDescent="0.2">
      <c r="A18" s="47" t="s">
        <v>1400</v>
      </c>
      <c r="B18" s="47" t="s">
        <v>133</v>
      </c>
      <c r="C18" s="47">
        <v>17</v>
      </c>
    </row>
    <row r="19" spans="1:3" hidden="1" x14ac:dyDescent="0.2">
      <c r="A19" s="47" t="s">
        <v>300</v>
      </c>
      <c r="B19" s="47" t="s">
        <v>133</v>
      </c>
      <c r="C19" s="47">
        <v>18</v>
      </c>
    </row>
    <row r="20" spans="1:3" x14ac:dyDescent="0.2">
      <c r="A20" s="47" t="s">
        <v>305</v>
      </c>
      <c r="B20" s="47" t="s">
        <v>2311</v>
      </c>
      <c r="C20" s="47">
        <v>19</v>
      </c>
    </row>
    <row r="21" spans="1:3" hidden="1" x14ac:dyDescent="0.2">
      <c r="A21" s="47" t="s">
        <v>475</v>
      </c>
      <c r="B21" s="47" t="s">
        <v>2307</v>
      </c>
      <c r="C21" s="47">
        <v>20</v>
      </c>
    </row>
    <row r="22" spans="1:3" hidden="1" x14ac:dyDescent="0.2">
      <c r="A22" s="47" t="s">
        <v>477</v>
      </c>
      <c r="C22" s="47">
        <v>21</v>
      </c>
    </row>
    <row r="23" spans="1:3" hidden="1" x14ac:dyDescent="0.2">
      <c r="A23" s="47" t="s">
        <v>448</v>
      </c>
      <c r="B23" s="47" t="s">
        <v>133</v>
      </c>
      <c r="C23" s="47">
        <v>22</v>
      </c>
    </row>
    <row r="24" spans="1:3" hidden="1" x14ac:dyDescent="0.2">
      <c r="A24" s="47" t="s">
        <v>321</v>
      </c>
      <c r="B24" s="47" t="s">
        <v>133</v>
      </c>
      <c r="C24" s="47">
        <v>23</v>
      </c>
    </row>
    <row r="25" spans="1:3" hidden="1" x14ac:dyDescent="0.2">
      <c r="A25" s="47" t="s">
        <v>471</v>
      </c>
      <c r="B25" s="47" t="s">
        <v>133</v>
      </c>
      <c r="C25" s="47">
        <v>24</v>
      </c>
    </row>
    <row r="26" spans="1:3" hidden="1" x14ac:dyDescent="0.2">
      <c r="A26" s="47" t="s">
        <v>323</v>
      </c>
      <c r="B26" s="47" t="s">
        <v>133</v>
      </c>
      <c r="C26" s="47">
        <v>25</v>
      </c>
    </row>
    <row r="27" spans="1:3" hidden="1" x14ac:dyDescent="0.2">
      <c r="A27" s="47" t="s">
        <v>459</v>
      </c>
      <c r="B27" s="47" t="s">
        <v>133</v>
      </c>
      <c r="C27" s="47">
        <v>26</v>
      </c>
    </row>
    <row r="28" spans="1:3" hidden="1" x14ac:dyDescent="0.2">
      <c r="A28" s="47" t="s">
        <v>431</v>
      </c>
      <c r="B28" s="47" t="s">
        <v>133</v>
      </c>
      <c r="C28" s="47">
        <v>27</v>
      </c>
    </row>
    <row r="29" spans="1:3" hidden="1" x14ac:dyDescent="0.2">
      <c r="A29" s="47" t="s">
        <v>339</v>
      </c>
      <c r="C29" s="47">
        <v>28</v>
      </c>
    </row>
    <row r="30" spans="1:3" hidden="1" x14ac:dyDescent="0.2">
      <c r="A30" s="47" t="s">
        <v>308</v>
      </c>
      <c r="C30" s="47">
        <v>29</v>
      </c>
    </row>
    <row r="31" spans="1:3" x14ac:dyDescent="0.2">
      <c r="A31" s="47" t="s">
        <v>337</v>
      </c>
      <c r="B31" s="47" t="s">
        <v>2311</v>
      </c>
      <c r="C31" s="47">
        <v>30</v>
      </c>
    </row>
    <row r="32" spans="1:3" hidden="1" x14ac:dyDescent="0.2">
      <c r="A32" s="47" t="s">
        <v>332</v>
      </c>
      <c r="C32" s="47">
        <v>31</v>
      </c>
    </row>
    <row r="33" spans="1:3" hidden="1" x14ac:dyDescent="0.2">
      <c r="A33" s="47" t="s">
        <v>335</v>
      </c>
      <c r="C33" s="47">
        <v>32</v>
      </c>
    </row>
    <row r="34" spans="1:3" hidden="1" x14ac:dyDescent="0.2">
      <c r="A34" s="47" t="s">
        <v>343</v>
      </c>
      <c r="B34" s="47" t="s">
        <v>133</v>
      </c>
      <c r="C34" s="47">
        <v>33</v>
      </c>
    </row>
    <row r="35" spans="1:3" hidden="1" x14ac:dyDescent="0.2">
      <c r="A35" s="47" t="s">
        <v>489</v>
      </c>
      <c r="B35" s="47" t="s">
        <v>133</v>
      </c>
      <c r="C35" s="47">
        <v>34</v>
      </c>
    </row>
    <row r="36" spans="1:3" hidden="1" x14ac:dyDescent="0.2">
      <c r="A36" s="47" t="s">
        <v>439</v>
      </c>
      <c r="C36" s="47">
        <v>35</v>
      </c>
    </row>
    <row r="37" spans="1:3" hidden="1" x14ac:dyDescent="0.2">
      <c r="A37" s="47" t="s">
        <v>465</v>
      </c>
      <c r="B37" s="47" t="s">
        <v>2307</v>
      </c>
      <c r="C37" s="47">
        <v>36</v>
      </c>
    </row>
    <row r="38" spans="1:3" hidden="1" x14ac:dyDescent="0.2">
      <c r="A38" s="47" t="s">
        <v>109</v>
      </c>
      <c r="B38" s="47" t="s">
        <v>133</v>
      </c>
      <c r="C38" s="47">
        <v>37</v>
      </c>
    </row>
    <row r="39" spans="1:3" x14ac:dyDescent="0.2">
      <c r="A39" s="47" t="s">
        <v>325</v>
      </c>
      <c r="B39" s="47" t="s">
        <v>2312</v>
      </c>
      <c r="C39" s="47">
        <v>38</v>
      </c>
    </row>
    <row r="40" spans="1:3" x14ac:dyDescent="0.2">
      <c r="A40" s="47" t="s">
        <v>520</v>
      </c>
      <c r="B40" s="47" t="s">
        <v>2312</v>
      </c>
      <c r="C40" s="47">
        <v>39</v>
      </c>
    </row>
    <row r="41" spans="1:3" hidden="1" x14ac:dyDescent="0.2">
      <c r="A41" s="47" t="s">
        <v>437</v>
      </c>
      <c r="B41" s="47" t="s">
        <v>133</v>
      </c>
      <c r="C41" s="47">
        <v>40</v>
      </c>
    </row>
    <row r="42" spans="1:3" hidden="1" x14ac:dyDescent="0.2">
      <c r="A42" s="47" t="s">
        <v>111</v>
      </c>
      <c r="B42" s="47" t="s">
        <v>133</v>
      </c>
      <c r="C42" s="47">
        <v>41</v>
      </c>
    </row>
    <row r="43" spans="1:3" hidden="1" x14ac:dyDescent="0.2">
      <c r="A43" s="47" t="s">
        <v>173</v>
      </c>
      <c r="B43" s="47" t="s">
        <v>133</v>
      </c>
      <c r="C43" s="47">
        <v>42</v>
      </c>
    </row>
    <row r="44" spans="1:3" hidden="1" x14ac:dyDescent="0.2">
      <c r="A44" s="47" t="s">
        <v>463</v>
      </c>
      <c r="B44" s="47" t="s">
        <v>133</v>
      </c>
      <c r="C44" s="47">
        <v>43</v>
      </c>
    </row>
    <row r="45" spans="1:3" hidden="1" x14ac:dyDescent="0.2">
      <c r="A45" s="47" t="s">
        <v>179</v>
      </c>
      <c r="C45" s="47">
        <v>44</v>
      </c>
    </row>
    <row r="46" spans="1:3" hidden="1" x14ac:dyDescent="0.2">
      <c r="A46" s="47" t="s">
        <v>497</v>
      </c>
      <c r="B46" s="47" t="s">
        <v>133</v>
      </c>
      <c r="C46" s="47">
        <v>45</v>
      </c>
    </row>
    <row r="47" spans="1:3" hidden="1" x14ac:dyDescent="0.2">
      <c r="A47" s="47" t="s">
        <v>310</v>
      </c>
      <c r="B47" s="47" t="s">
        <v>133</v>
      </c>
      <c r="C47" s="47">
        <v>46</v>
      </c>
    </row>
    <row r="48" spans="1:3" hidden="1" x14ac:dyDescent="0.2">
      <c r="A48" s="47" t="s">
        <v>508</v>
      </c>
      <c r="B48" s="47" t="s">
        <v>133</v>
      </c>
      <c r="C48" s="47">
        <v>47</v>
      </c>
    </row>
    <row r="49" spans="1:3" hidden="1" x14ac:dyDescent="0.2">
      <c r="A49" s="47" t="s">
        <v>148</v>
      </c>
      <c r="B49" s="47" t="s">
        <v>133</v>
      </c>
      <c r="C49" s="47">
        <v>48</v>
      </c>
    </row>
    <row r="50" spans="1:3" hidden="1" x14ac:dyDescent="0.2">
      <c r="A50" s="47" t="s">
        <v>180</v>
      </c>
      <c r="B50" s="47" t="s">
        <v>133</v>
      </c>
      <c r="C50" s="47">
        <v>49</v>
      </c>
    </row>
    <row r="51" spans="1:3" x14ac:dyDescent="0.2">
      <c r="A51" s="47" t="s">
        <v>123</v>
      </c>
      <c r="B51" s="47" t="s">
        <v>2313</v>
      </c>
      <c r="C51" s="47">
        <v>50</v>
      </c>
    </row>
    <row r="52" spans="1:3" hidden="1" x14ac:dyDescent="0.2">
      <c r="A52" s="47" t="s">
        <v>461</v>
      </c>
      <c r="B52" s="47" t="s">
        <v>133</v>
      </c>
      <c r="C52" s="47">
        <v>51</v>
      </c>
    </row>
    <row r="53" spans="1:3" x14ac:dyDescent="0.2">
      <c r="A53" s="47" t="s">
        <v>1396</v>
      </c>
      <c r="B53" s="47" t="s">
        <v>2311</v>
      </c>
      <c r="C53" s="47">
        <v>52</v>
      </c>
    </row>
    <row r="54" spans="1:3" x14ac:dyDescent="0.2">
      <c r="A54" s="47" t="s">
        <v>1394</v>
      </c>
      <c r="B54" s="47" t="s">
        <v>2311</v>
      </c>
      <c r="C54" s="47">
        <v>53</v>
      </c>
    </row>
    <row r="55" spans="1:3" hidden="1" x14ac:dyDescent="0.2">
      <c r="A55" s="47" t="s">
        <v>1380</v>
      </c>
      <c r="B55" s="47" t="s">
        <v>133</v>
      </c>
      <c r="C55" s="47">
        <v>54</v>
      </c>
    </row>
    <row r="56" spans="1:3" hidden="1" x14ac:dyDescent="0.2">
      <c r="A56" s="47" t="s">
        <v>1382</v>
      </c>
      <c r="C56" s="47">
        <v>55</v>
      </c>
    </row>
    <row r="57" spans="1:3" x14ac:dyDescent="0.2">
      <c r="A57" s="47" t="s">
        <v>1384</v>
      </c>
      <c r="B57" s="47" t="s">
        <v>2311</v>
      </c>
      <c r="C57" s="47">
        <v>56</v>
      </c>
    </row>
    <row r="58" spans="1:3" x14ac:dyDescent="0.2">
      <c r="A58" s="47" t="s">
        <v>1385</v>
      </c>
      <c r="B58" s="47" t="s">
        <v>2311</v>
      </c>
      <c r="C58" s="47">
        <v>57</v>
      </c>
    </row>
    <row r="59" spans="1:3" x14ac:dyDescent="0.2">
      <c r="A59" s="47" t="s">
        <v>1386</v>
      </c>
      <c r="B59" s="47" t="s">
        <v>2311</v>
      </c>
      <c r="C59" s="47">
        <v>58</v>
      </c>
    </row>
    <row r="60" spans="1:3" x14ac:dyDescent="0.2">
      <c r="A60" s="47" t="s">
        <v>1387</v>
      </c>
      <c r="B60" s="47" t="s">
        <v>2311</v>
      </c>
      <c r="C60" s="47">
        <v>59</v>
      </c>
    </row>
    <row r="61" spans="1:3" x14ac:dyDescent="0.2">
      <c r="A61" s="47" t="s">
        <v>1388</v>
      </c>
      <c r="B61" s="47" t="s">
        <v>2311</v>
      </c>
      <c r="C61" s="47">
        <v>60</v>
      </c>
    </row>
    <row r="62" spans="1:3" x14ac:dyDescent="0.2">
      <c r="A62" s="47" t="s">
        <v>1389</v>
      </c>
      <c r="B62" s="47" t="s">
        <v>2311</v>
      </c>
      <c r="C62" s="47">
        <v>61</v>
      </c>
    </row>
    <row r="63" spans="1:3" x14ac:dyDescent="0.2">
      <c r="A63" s="47" t="s">
        <v>1390</v>
      </c>
      <c r="B63" s="47" t="s">
        <v>2311</v>
      </c>
      <c r="C63" s="47">
        <v>62</v>
      </c>
    </row>
    <row r="64" spans="1:3" x14ac:dyDescent="0.2">
      <c r="A64" s="47" t="s">
        <v>1391</v>
      </c>
      <c r="B64" s="47" t="s">
        <v>2311</v>
      </c>
      <c r="C64" s="47">
        <v>63</v>
      </c>
    </row>
    <row r="65" spans="1:3" x14ac:dyDescent="0.2">
      <c r="A65" s="47" t="s">
        <v>467</v>
      </c>
      <c r="B65" s="47" t="s">
        <v>2311</v>
      </c>
      <c r="C65" s="47">
        <v>64</v>
      </c>
    </row>
    <row r="66" spans="1:3" x14ac:dyDescent="0.2">
      <c r="A66" s="47" t="s">
        <v>537</v>
      </c>
      <c r="B66" s="150" t="s">
        <v>2311</v>
      </c>
      <c r="C66" s="47">
        <v>65</v>
      </c>
    </row>
    <row r="67" spans="1:3" x14ac:dyDescent="0.2">
      <c r="A67" s="47" t="s">
        <v>1402</v>
      </c>
      <c r="B67" s="150" t="s">
        <v>2311</v>
      </c>
      <c r="C67" s="47">
        <v>66</v>
      </c>
    </row>
    <row r="68" spans="1:3" hidden="1" x14ac:dyDescent="0.2">
      <c r="A68" s="47" t="s">
        <v>394</v>
      </c>
      <c r="B68" s="47" t="s">
        <v>133</v>
      </c>
      <c r="C68" s="47">
        <v>67</v>
      </c>
    </row>
    <row r="69" spans="1:3" hidden="1" x14ac:dyDescent="0.2">
      <c r="A69" s="47" t="s">
        <v>390</v>
      </c>
      <c r="B69" s="47" t="s">
        <v>133</v>
      </c>
      <c r="C69" s="47">
        <v>68</v>
      </c>
    </row>
    <row r="70" spans="1:3" hidden="1" x14ac:dyDescent="0.2">
      <c r="A70" s="47" t="s">
        <v>392</v>
      </c>
      <c r="B70" s="47" t="s">
        <v>133</v>
      </c>
      <c r="C70" s="47">
        <v>69</v>
      </c>
    </row>
    <row r="71" spans="1:3" hidden="1" x14ac:dyDescent="0.2">
      <c r="A71" s="47" t="s">
        <v>396</v>
      </c>
      <c r="C71" s="47">
        <v>70</v>
      </c>
    </row>
    <row r="72" spans="1:3" hidden="1" x14ac:dyDescent="0.2">
      <c r="A72" s="47" t="s">
        <v>398</v>
      </c>
      <c r="C72" s="47">
        <v>71</v>
      </c>
    </row>
    <row r="73" spans="1:3" hidden="1" x14ac:dyDescent="0.2">
      <c r="A73" s="47" t="s">
        <v>402</v>
      </c>
      <c r="C73" s="47">
        <v>72</v>
      </c>
    </row>
    <row r="74" spans="1:3" hidden="1" x14ac:dyDescent="0.2">
      <c r="A74" s="47" t="s">
        <v>400</v>
      </c>
      <c r="C74" s="47">
        <v>73</v>
      </c>
    </row>
    <row r="75" spans="1:3" hidden="1" x14ac:dyDescent="0.2">
      <c r="A75" s="47" t="s">
        <v>401</v>
      </c>
      <c r="C75" s="47">
        <v>74</v>
      </c>
    </row>
    <row r="76" spans="1:3" hidden="1" x14ac:dyDescent="0.2">
      <c r="A76" s="47" t="s">
        <v>403</v>
      </c>
      <c r="C76" s="47">
        <v>75</v>
      </c>
    </row>
    <row r="77" spans="1:3" hidden="1" x14ac:dyDescent="0.2">
      <c r="A77" s="47" t="s">
        <v>404</v>
      </c>
      <c r="C77" s="47">
        <v>76</v>
      </c>
    </row>
    <row r="78" spans="1:3" hidden="1" x14ac:dyDescent="0.2">
      <c r="A78" s="47" t="s">
        <v>407</v>
      </c>
      <c r="C78" s="47">
        <v>77</v>
      </c>
    </row>
    <row r="79" spans="1:3" hidden="1" x14ac:dyDescent="0.2">
      <c r="A79" s="47" t="s">
        <v>405</v>
      </c>
      <c r="C79" s="47">
        <v>78</v>
      </c>
    </row>
    <row r="80" spans="1:3" hidden="1" x14ac:dyDescent="0.2">
      <c r="A80" s="47" t="s">
        <v>406</v>
      </c>
      <c r="C80" s="47">
        <v>79</v>
      </c>
    </row>
    <row r="81" spans="1:3" hidden="1" x14ac:dyDescent="0.2">
      <c r="A81" s="47" t="s">
        <v>408</v>
      </c>
      <c r="C81" s="47">
        <v>80</v>
      </c>
    </row>
    <row r="82" spans="1:3" hidden="1" x14ac:dyDescent="0.2">
      <c r="A82" s="47" t="s">
        <v>409</v>
      </c>
      <c r="C82" s="47">
        <v>81</v>
      </c>
    </row>
    <row r="83" spans="1:3" hidden="1" x14ac:dyDescent="0.2">
      <c r="A83" s="47" t="s">
        <v>412</v>
      </c>
      <c r="C83" s="47">
        <v>82</v>
      </c>
    </row>
    <row r="84" spans="1:3" hidden="1" x14ac:dyDescent="0.2">
      <c r="A84" s="47" t="s">
        <v>410</v>
      </c>
      <c r="C84" s="47">
        <v>83</v>
      </c>
    </row>
    <row r="85" spans="1:3" hidden="1" x14ac:dyDescent="0.2">
      <c r="A85" s="47" t="s">
        <v>411</v>
      </c>
      <c r="C85" s="47">
        <v>84</v>
      </c>
    </row>
    <row r="86" spans="1:3" hidden="1" x14ac:dyDescent="0.2">
      <c r="A86" s="47" t="s">
        <v>413</v>
      </c>
      <c r="C86" s="47">
        <v>85</v>
      </c>
    </row>
    <row r="87" spans="1:3" hidden="1" x14ac:dyDescent="0.2">
      <c r="A87" s="47" t="s">
        <v>414</v>
      </c>
      <c r="C87" s="47">
        <v>86</v>
      </c>
    </row>
    <row r="88" spans="1:3" hidden="1" x14ac:dyDescent="0.2">
      <c r="A88" s="47" t="s">
        <v>417</v>
      </c>
      <c r="C88" s="47">
        <v>87</v>
      </c>
    </row>
    <row r="89" spans="1:3" hidden="1" x14ac:dyDescent="0.2">
      <c r="A89" s="47" t="s">
        <v>415</v>
      </c>
      <c r="C89" s="47">
        <v>88</v>
      </c>
    </row>
    <row r="90" spans="1:3" hidden="1" x14ac:dyDescent="0.2">
      <c r="A90" s="47" t="s">
        <v>416</v>
      </c>
      <c r="C90" s="47">
        <v>89</v>
      </c>
    </row>
    <row r="91" spans="1:3" hidden="1" x14ac:dyDescent="0.2">
      <c r="A91" s="47" t="s">
        <v>418</v>
      </c>
      <c r="C91" s="47">
        <v>90</v>
      </c>
    </row>
    <row r="92" spans="1:3" hidden="1" x14ac:dyDescent="0.2">
      <c r="A92" s="47" t="s">
        <v>419</v>
      </c>
      <c r="C92" s="47">
        <v>91</v>
      </c>
    </row>
    <row r="93" spans="1:3" hidden="1" x14ac:dyDescent="0.2">
      <c r="A93" s="47" t="s">
        <v>504</v>
      </c>
      <c r="C93" s="47">
        <v>92</v>
      </c>
    </row>
    <row r="94" spans="1:3" hidden="1" x14ac:dyDescent="0.2">
      <c r="A94" s="47" t="s">
        <v>297</v>
      </c>
      <c r="C94" s="47">
        <v>93</v>
      </c>
    </row>
    <row r="95" spans="1:3" hidden="1" x14ac:dyDescent="0.2">
      <c r="A95" s="47" t="s">
        <v>510</v>
      </c>
      <c r="C95" s="47">
        <v>94</v>
      </c>
    </row>
    <row r="96" spans="1:3" x14ac:dyDescent="0.2">
      <c r="A96" s="47" t="s">
        <v>367</v>
      </c>
      <c r="B96" s="47" t="s">
        <v>2311</v>
      </c>
      <c r="C96" s="47">
        <v>95</v>
      </c>
    </row>
    <row r="97" spans="1:3" hidden="1" x14ac:dyDescent="0.2">
      <c r="A97" s="47" t="s">
        <v>237</v>
      </c>
      <c r="C97" s="47">
        <v>96</v>
      </c>
    </row>
    <row r="98" spans="1:3" hidden="1" x14ac:dyDescent="0.2">
      <c r="A98" s="47" t="s">
        <v>240</v>
      </c>
      <c r="C98" s="47">
        <v>97</v>
      </c>
    </row>
    <row r="99" spans="1:3" x14ac:dyDescent="0.2">
      <c r="A99" s="47" t="s">
        <v>234</v>
      </c>
      <c r="B99" s="47" t="s">
        <v>2311</v>
      </c>
      <c r="C99" s="47">
        <v>98</v>
      </c>
    </row>
    <row r="100" spans="1:3" x14ac:dyDescent="0.2">
      <c r="A100" s="47" t="s">
        <v>231</v>
      </c>
      <c r="B100" s="47" t="s">
        <v>2311</v>
      </c>
      <c r="C100" s="47">
        <v>99</v>
      </c>
    </row>
    <row r="101" spans="1:3" x14ac:dyDescent="0.2">
      <c r="A101" s="47" t="s">
        <v>365</v>
      </c>
      <c r="B101" s="47" t="s">
        <v>2311</v>
      </c>
      <c r="C101" s="47">
        <v>100</v>
      </c>
    </row>
    <row r="102" spans="1:3" x14ac:dyDescent="0.2">
      <c r="A102" s="47" t="s">
        <v>369</v>
      </c>
      <c r="B102" s="47" t="s">
        <v>2311</v>
      </c>
      <c r="C102" s="47">
        <v>101</v>
      </c>
    </row>
    <row r="103" spans="1:3" x14ac:dyDescent="0.2">
      <c r="A103" s="47" t="s">
        <v>379</v>
      </c>
      <c r="B103" s="47" t="s">
        <v>2311</v>
      </c>
      <c r="C103" s="47">
        <v>102</v>
      </c>
    </row>
    <row r="104" spans="1:3" hidden="1" x14ac:dyDescent="0.2">
      <c r="A104" s="47" t="s">
        <v>170</v>
      </c>
      <c r="C104" s="47">
        <v>103</v>
      </c>
    </row>
    <row r="105" spans="1:3" hidden="1" x14ac:dyDescent="0.2">
      <c r="A105" s="47" t="s">
        <v>375</v>
      </c>
      <c r="C105" s="47">
        <v>104</v>
      </c>
    </row>
    <row r="106" spans="1:3" x14ac:dyDescent="0.2">
      <c r="A106" s="47" t="s">
        <v>224</v>
      </c>
      <c r="B106" s="47" t="s">
        <v>2311</v>
      </c>
      <c r="C106" s="47">
        <v>105</v>
      </c>
    </row>
    <row r="107" spans="1:3" x14ac:dyDescent="0.2">
      <c r="A107" s="47" t="s">
        <v>226</v>
      </c>
      <c r="B107" s="47" t="s">
        <v>2311</v>
      </c>
      <c r="C107" s="47">
        <v>106</v>
      </c>
    </row>
    <row r="108" spans="1:3" x14ac:dyDescent="0.2">
      <c r="A108" s="47" t="s">
        <v>373</v>
      </c>
      <c r="B108" s="47" t="s">
        <v>2311</v>
      </c>
      <c r="C108" s="47">
        <v>107</v>
      </c>
    </row>
    <row r="109" spans="1:3" hidden="1" x14ac:dyDescent="0.2">
      <c r="A109" s="47" t="s">
        <v>105</v>
      </c>
      <c r="C109" s="47">
        <v>108</v>
      </c>
    </row>
    <row r="110" spans="1:3" hidden="1" x14ac:dyDescent="0.2">
      <c r="A110" s="47" t="s">
        <v>107</v>
      </c>
      <c r="B110" s="47" t="s">
        <v>133</v>
      </c>
      <c r="C110" s="47">
        <v>109</v>
      </c>
    </row>
    <row r="111" spans="1:3" hidden="1" x14ac:dyDescent="0.2">
      <c r="A111" s="47" t="s">
        <v>137</v>
      </c>
      <c r="B111" s="47" t="s">
        <v>133</v>
      </c>
      <c r="C111" s="47">
        <v>110</v>
      </c>
    </row>
    <row r="112" spans="1:3" hidden="1" x14ac:dyDescent="0.2">
      <c r="A112" s="47" t="s">
        <v>423</v>
      </c>
      <c r="B112" s="47" t="s">
        <v>133</v>
      </c>
      <c r="C112" s="47">
        <v>111</v>
      </c>
    </row>
    <row r="113" spans="1:3" x14ac:dyDescent="0.2">
      <c r="A113" s="47" t="s">
        <v>117</v>
      </c>
      <c r="B113" s="47" t="s">
        <v>2314</v>
      </c>
      <c r="C113" s="47">
        <v>112</v>
      </c>
    </row>
    <row r="114" spans="1:3" x14ac:dyDescent="0.2">
      <c r="A114" s="47" t="s">
        <v>119</v>
      </c>
      <c r="B114" s="151" t="s">
        <v>2314</v>
      </c>
      <c r="C114" s="47">
        <v>113</v>
      </c>
    </row>
    <row r="115" spans="1:3" x14ac:dyDescent="0.2">
      <c r="A115" s="47" t="s">
        <v>115</v>
      </c>
      <c r="B115" s="151" t="s">
        <v>2314</v>
      </c>
      <c r="C115" s="47">
        <v>114</v>
      </c>
    </row>
    <row r="116" spans="1:3" x14ac:dyDescent="0.2">
      <c r="A116" s="47" t="s">
        <v>113</v>
      </c>
      <c r="B116" s="151" t="s">
        <v>2314</v>
      </c>
      <c r="C116" s="47">
        <v>115</v>
      </c>
    </row>
    <row r="117" spans="1:3" hidden="1" x14ac:dyDescent="0.2">
      <c r="A117" s="47" t="s">
        <v>312</v>
      </c>
      <c r="B117" s="47" t="s">
        <v>133</v>
      </c>
      <c r="C117" s="47">
        <v>116</v>
      </c>
    </row>
    <row r="118" spans="1:3" hidden="1" x14ac:dyDescent="0.2">
      <c r="A118" s="47" t="s">
        <v>249</v>
      </c>
      <c r="B118" s="47" t="s">
        <v>133</v>
      </c>
      <c r="C118" s="47">
        <v>117</v>
      </c>
    </row>
    <row r="119" spans="1:3" hidden="1" x14ac:dyDescent="0.2">
      <c r="A119" s="47" t="s">
        <v>154</v>
      </c>
      <c r="B119" s="47" t="s">
        <v>133</v>
      </c>
      <c r="C119" s="47">
        <v>118</v>
      </c>
    </row>
    <row r="120" spans="1:3" hidden="1" x14ac:dyDescent="0.2">
      <c r="A120" s="47" t="s">
        <v>243</v>
      </c>
      <c r="C120" s="47">
        <v>119</v>
      </c>
    </row>
    <row r="121" spans="1:3" hidden="1" x14ac:dyDescent="0.2">
      <c r="A121" s="47" t="s">
        <v>420</v>
      </c>
      <c r="C121" s="47">
        <v>120</v>
      </c>
    </row>
    <row r="122" spans="1:3" x14ac:dyDescent="0.2">
      <c r="A122" s="47" t="s">
        <v>499</v>
      </c>
      <c r="B122" s="47" t="s">
        <v>2311</v>
      </c>
      <c r="C122" s="47">
        <v>121</v>
      </c>
    </row>
    <row r="123" spans="1:3" hidden="1" x14ac:dyDescent="0.2">
      <c r="A123" s="47" t="s">
        <v>433</v>
      </c>
      <c r="C123" s="47">
        <v>122</v>
      </c>
    </row>
    <row r="124" spans="1:3" hidden="1" x14ac:dyDescent="0.2">
      <c r="A124" s="47" t="s">
        <v>435</v>
      </c>
      <c r="C124" s="47">
        <v>123</v>
      </c>
    </row>
    <row r="125" spans="1:3" hidden="1" x14ac:dyDescent="0.2">
      <c r="A125" s="47" t="s">
        <v>246</v>
      </c>
      <c r="C125" s="47">
        <v>124</v>
      </c>
    </row>
    <row r="126" spans="1:3" hidden="1" x14ac:dyDescent="0.2">
      <c r="A126" s="47" t="s">
        <v>479</v>
      </c>
      <c r="C126" s="47">
        <v>125</v>
      </c>
    </row>
    <row r="127" spans="1:3" hidden="1" x14ac:dyDescent="0.2">
      <c r="A127" s="47" t="s">
        <v>175</v>
      </c>
      <c r="C127" s="47">
        <v>126</v>
      </c>
    </row>
    <row r="128" spans="1:3" hidden="1" x14ac:dyDescent="0.2">
      <c r="A128" s="47" t="s">
        <v>177</v>
      </c>
      <c r="C128" s="47">
        <v>127</v>
      </c>
    </row>
    <row r="129" spans="1:3" x14ac:dyDescent="0.2">
      <c r="A129" s="47" t="s">
        <v>258</v>
      </c>
      <c r="B129" s="150" t="s">
        <v>2311</v>
      </c>
      <c r="C129" s="47">
        <v>128</v>
      </c>
    </row>
    <row r="130" spans="1:3" x14ac:dyDescent="0.2">
      <c r="A130" s="47" t="s">
        <v>256</v>
      </c>
      <c r="B130" s="47" t="s">
        <v>2311</v>
      </c>
      <c r="C130" s="47">
        <v>129</v>
      </c>
    </row>
    <row r="131" spans="1:3" hidden="1" x14ac:dyDescent="0.2">
      <c r="A131" s="47" t="s">
        <v>280</v>
      </c>
      <c r="C131" s="47">
        <v>130</v>
      </c>
    </row>
    <row r="132" spans="1:3" x14ac:dyDescent="0.2">
      <c r="A132" s="47" t="s">
        <v>522</v>
      </c>
      <c r="B132" s="150" t="s">
        <v>2311</v>
      </c>
      <c r="C132" s="47">
        <v>131</v>
      </c>
    </row>
    <row r="133" spans="1:3" hidden="1" x14ac:dyDescent="0.2">
      <c r="A133" s="47" t="s">
        <v>291</v>
      </c>
      <c r="C133" s="47">
        <v>132</v>
      </c>
    </row>
    <row r="134" spans="1:3" hidden="1" x14ac:dyDescent="0.2">
      <c r="A134" s="47" t="s">
        <v>481</v>
      </c>
      <c r="C134" s="47">
        <v>133</v>
      </c>
    </row>
    <row r="135" spans="1:3" hidden="1" x14ac:dyDescent="0.2">
      <c r="A135" s="47" t="s">
        <v>443</v>
      </c>
      <c r="C135" s="47">
        <v>134</v>
      </c>
    </row>
    <row r="136" spans="1:3" hidden="1" x14ac:dyDescent="0.2">
      <c r="A136" s="47" t="s">
        <v>452</v>
      </c>
      <c r="C136" s="47">
        <v>135</v>
      </c>
    </row>
    <row r="137" spans="1:3" x14ac:dyDescent="0.2">
      <c r="A137" s="47" t="s">
        <v>530</v>
      </c>
      <c r="B137" s="150" t="s">
        <v>2311</v>
      </c>
      <c r="C137" s="47">
        <v>136</v>
      </c>
    </row>
    <row r="138" spans="1:3" x14ac:dyDescent="0.2">
      <c r="A138" s="47" t="s">
        <v>513</v>
      </c>
      <c r="B138" s="47" t="s">
        <v>2311</v>
      </c>
      <c r="C138" s="47">
        <v>137</v>
      </c>
    </row>
    <row r="139" spans="1:3" hidden="1" x14ac:dyDescent="0.2">
      <c r="A139" s="47" t="s">
        <v>283</v>
      </c>
      <c r="C139" s="47">
        <v>138</v>
      </c>
    </row>
    <row r="140" spans="1:3" x14ac:dyDescent="0.2">
      <c r="A140" s="47" t="s">
        <v>524</v>
      </c>
      <c r="B140" s="150" t="s">
        <v>2311</v>
      </c>
      <c r="C140" s="47">
        <v>139</v>
      </c>
    </row>
    <row r="141" spans="1:3" hidden="1" x14ac:dyDescent="0.2">
      <c r="A141" s="47" t="s">
        <v>293</v>
      </c>
      <c r="C141" s="47">
        <v>140</v>
      </c>
    </row>
    <row r="142" spans="1:3" hidden="1" x14ac:dyDescent="0.2">
      <c r="A142" s="47" t="s">
        <v>482</v>
      </c>
      <c r="C142" s="47">
        <v>141</v>
      </c>
    </row>
    <row r="143" spans="1:3" hidden="1" x14ac:dyDescent="0.2">
      <c r="A143" s="47" t="s">
        <v>444</v>
      </c>
      <c r="C143" s="47">
        <v>142</v>
      </c>
    </row>
    <row r="144" spans="1:3" hidden="1" x14ac:dyDescent="0.2">
      <c r="A144" s="47" t="s">
        <v>453</v>
      </c>
      <c r="C144" s="47">
        <v>143</v>
      </c>
    </row>
    <row r="145" spans="1:3" hidden="1" x14ac:dyDescent="0.2">
      <c r="A145" s="47" t="s">
        <v>531</v>
      </c>
      <c r="B145" s="47" t="s">
        <v>2307</v>
      </c>
      <c r="C145" s="47">
        <v>144</v>
      </c>
    </row>
    <row r="146" spans="1:3" hidden="1" x14ac:dyDescent="0.2">
      <c r="A146" s="47" t="s">
        <v>514</v>
      </c>
      <c r="B146" s="47" t="s">
        <v>2307</v>
      </c>
      <c r="C146" s="47">
        <v>145</v>
      </c>
    </row>
    <row r="147" spans="1:3" hidden="1" x14ac:dyDescent="0.2">
      <c r="A147" s="47" t="s">
        <v>284</v>
      </c>
      <c r="C147" s="47">
        <v>146</v>
      </c>
    </row>
    <row r="148" spans="1:3" hidden="1" x14ac:dyDescent="0.2">
      <c r="A148" s="47" t="s">
        <v>525</v>
      </c>
      <c r="B148" s="47" t="s">
        <v>2307</v>
      </c>
      <c r="C148" s="47">
        <v>147</v>
      </c>
    </row>
    <row r="149" spans="1:3" hidden="1" x14ac:dyDescent="0.2">
      <c r="A149" s="47" t="s">
        <v>294</v>
      </c>
      <c r="C149" s="47">
        <v>148</v>
      </c>
    </row>
    <row r="150" spans="1:3" hidden="1" x14ac:dyDescent="0.2">
      <c r="A150" s="47" t="s">
        <v>483</v>
      </c>
      <c r="C150" s="47">
        <v>149</v>
      </c>
    </row>
    <row r="151" spans="1:3" hidden="1" x14ac:dyDescent="0.2">
      <c r="A151" s="47" t="s">
        <v>445</v>
      </c>
      <c r="C151" s="47">
        <v>150</v>
      </c>
    </row>
    <row r="152" spans="1:3" hidden="1" x14ac:dyDescent="0.2">
      <c r="A152" s="47" t="s">
        <v>454</v>
      </c>
      <c r="C152" s="47">
        <v>151</v>
      </c>
    </row>
    <row r="153" spans="1:3" hidden="1" x14ac:dyDescent="0.2">
      <c r="A153" s="47" t="s">
        <v>532</v>
      </c>
      <c r="B153" s="47" t="s">
        <v>2307</v>
      </c>
      <c r="C153" s="47">
        <v>152</v>
      </c>
    </row>
    <row r="154" spans="1:3" hidden="1" x14ac:dyDescent="0.2">
      <c r="A154" s="47" t="s">
        <v>515</v>
      </c>
      <c r="B154" s="47" t="s">
        <v>2307</v>
      </c>
      <c r="C154" s="47">
        <v>153</v>
      </c>
    </row>
    <row r="155" spans="1:3" hidden="1" x14ac:dyDescent="0.2">
      <c r="A155" s="47" t="s">
        <v>285</v>
      </c>
      <c r="C155" s="47">
        <v>154</v>
      </c>
    </row>
    <row r="156" spans="1:3" hidden="1" x14ac:dyDescent="0.2">
      <c r="A156" s="47" t="s">
        <v>526</v>
      </c>
      <c r="B156" s="47" t="s">
        <v>2307</v>
      </c>
      <c r="C156" s="47">
        <v>155</v>
      </c>
    </row>
    <row r="157" spans="1:3" hidden="1" x14ac:dyDescent="0.2">
      <c r="A157" s="47" t="s">
        <v>295</v>
      </c>
      <c r="C157" s="47">
        <v>156</v>
      </c>
    </row>
    <row r="158" spans="1:3" hidden="1" x14ac:dyDescent="0.2">
      <c r="A158" s="47" t="s">
        <v>484</v>
      </c>
      <c r="C158" s="47">
        <v>157</v>
      </c>
    </row>
    <row r="159" spans="1:3" hidden="1" x14ac:dyDescent="0.2">
      <c r="A159" s="47" t="s">
        <v>446</v>
      </c>
      <c r="C159" s="47">
        <v>158</v>
      </c>
    </row>
    <row r="160" spans="1:3" hidden="1" x14ac:dyDescent="0.2">
      <c r="A160" s="47" t="s">
        <v>455</v>
      </c>
      <c r="C160" s="47">
        <v>159</v>
      </c>
    </row>
    <row r="161" spans="1:3" hidden="1" x14ac:dyDescent="0.2">
      <c r="A161" s="47" t="s">
        <v>533</v>
      </c>
      <c r="B161" s="47" t="s">
        <v>2307</v>
      </c>
      <c r="C161" s="47">
        <v>160</v>
      </c>
    </row>
    <row r="162" spans="1:3" hidden="1" x14ac:dyDescent="0.2">
      <c r="A162" s="47" t="s">
        <v>516</v>
      </c>
      <c r="B162" s="47" t="s">
        <v>2307</v>
      </c>
      <c r="C162" s="47">
        <v>161</v>
      </c>
    </row>
    <row r="163" spans="1:3" hidden="1" x14ac:dyDescent="0.2">
      <c r="A163" s="47" t="s">
        <v>286</v>
      </c>
      <c r="C163" s="47">
        <v>162</v>
      </c>
    </row>
    <row r="164" spans="1:3" hidden="1" x14ac:dyDescent="0.2">
      <c r="A164" s="47" t="s">
        <v>527</v>
      </c>
      <c r="B164" s="47" t="s">
        <v>2307</v>
      </c>
      <c r="C164" s="47">
        <v>163</v>
      </c>
    </row>
    <row r="165" spans="1:3" hidden="1" x14ac:dyDescent="0.2">
      <c r="A165" s="47" t="s">
        <v>296</v>
      </c>
      <c r="C165" s="47">
        <v>164</v>
      </c>
    </row>
    <row r="166" spans="1:3" hidden="1" x14ac:dyDescent="0.2">
      <c r="A166" s="47" t="s">
        <v>485</v>
      </c>
      <c r="C166" s="47">
        <v>165</v>
      </c>
    </row>
    <row r="167" spans="1:3" hidden="1" x14ac:dyDescent="0.2">
      <c r="A167" s="47" t="s">
        <v>447</v>
      </c>
      <c r="C167" s="47">
        <v>166</v>
      </c>
    </row>
    <row r="168" spans="1:3" hidden="1" x14ac:dyDescent="0.2">
      <c r="A168" s="47" t="s">
        <v>456</v>
      </c>
      <c r="C168" s="47">
        <v>167</v>
      </c>
    </row>
    <row r="169" spans="1:3" hidden="1" x14ac:dyDescent="0.2">
      <c r="A169" s="47" t="s">
        <v>534</v>
      </c>
      <c r="B169" s="47" t="s">
        <v>2307</v>
      </c>
      <c r="C169" s="47">
        <v>168</v>
      </c>
    </row>
    <row r="170" spans="1:3" hidden="1" x14ac:dyDescent="0.2">
      <c r="A170" s="47" t="s">
        <v>517</v>
      </c>
      <c r="B170" s="47" t="s">
        <v>2307</v>
      </c>
      <c r="C170" s="47">
        <v>169</v>
      </c>
    </row>
    <row r="171" spans="1:3" hidden="1" x14ac:dyDescent="0.2">
      <c r="A171" s="47" t="s">
        <v>287</v>
      </c>
      <c r="C171" s="47">
        <v>170</v>
      </c>
    </row>
    <row r="172" spans="1:3" hidden="1" x14ac:dyDescent="0.2">
      <c r="A172" s="47" t="s">
        <v>528</v>
      </c>
      <c r="B172" s="47" t="s">
        <v>2307</v>
      </c>
      <c r="C172" s="47">
        <v>171</v>
      </c>
    </row>
  </sheetData>
  <pageMargins left="0.7" right="0.7" top="0.75" bottom="0.75" header="0.3" footer="0.3"/>
  <pageSetup paperSize="9" orientation="portrait"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FEF10-1184-4E15-B74A-F3BC62DAFAE6}">
  <sheetPr codeName="Sheet8">
    <pageSetUpPr fitToPage="1"/>
  </sheetPr>
  <dimension ref="A1:Z186"/>
  <sheetViews>
    <sheetView topLeftCell="B20" zoomScale="80" zoomScaleNormal="80" workbookViewId="0">
      <selection activeCell="B20" sqref="B20"/>
    </sheetView>
  </sheetViews>
  <sheetFormatPr defaultColWidth="9" defaultRowHeight="14.25" x14ac:dyDescent="0.2"/>
  <cols>
    <col min="1" max="1" width="23.875" style="36" customWidth="1"/>
    <col min="2" max="2" width="19.75" style="36" customWidth="1"/>
    <col min="3" max="3" width="31.875" style="36" customWidth="1"/>
    <col min="4" max="4" width="39.75" style="36" customWidth="1"/>
    <col min="5" max="5" width="20.875" style="36" customWidth="1"/>
    <col min="6" max="6" width="32.25" style="36" customWidth="1"/>
    <col min="7" max="7" width="34" style="36" customWidth="1"/>
    <col min="8" max="8" width="81" style="36" customWidth="1"/>
    <col min="9" max="9" width="12.375" style="36" customWidth="1"/>
    <col min="10" max="10" width="14" style="36" customWidth="1"/>
    <col min="11" max="11" width="14.375" style="36" customWidth="1"/>
    <col min="12" max="12" width="81" style="36" customWidth="1"/>
    <col min="13" max="13" width="15.25" style="36" customWidth="1"/>
    <col min="14" max="14" width="12.875" style="36" customWidth="1"/>
    <col min="15" max="15" width="15" style="36" customWidth="1"/>
    <col min="16" max="16" width="14" style="36" customWidth="1"/>
    <col min="17" max="17" width="22" style="36" customWidth="1"/>
    <col min="18" max="18" width="16.75" style="36" customWidth="1"/>
    <col min="19" max="19" width="16.375" style="36" customWidth="1"/>
    <col min="20" max="20" width="20" style="36" customWidth="1"/>
    <col min="21" max="24" width="11.75" style="36" customWidth="1"/>
    <col min="25" max="25" width="11.25" style="36" customWidth="1"/>
    <col min="26" max="27" width="19.25" style="36" customWidth="1"/>
    <col min="28" max="28" width="13.5" style="36" bestFit="1" customWidth="1"/>
    <col min="29" max="16384" width="9" style="36"/>
  </cols>
  <sheetData>
    <row r="1" spans="1:26" customFormat="1" ht="15" x14ac:dyDescent="0.25">
      <c r="A1" s="37" t="s">
        <v>2315</v>
      </c>
    </row>
    <row r="2" spans="1:26" ht="28.5" x14ac:dyDescent="0.2">
      <c r="A2" s="36" t="s">
        <v>2316</v>
      </c>
      <c r="B2" s="36" t="s">
        <v>2317</v>
      </c>
      <c r="C2" s="36" t="s">
        <v>266</v>
      </c>
      <c r="D2" s="36" t="s">
        <v>1411</v>
      </c>
      <c r="E2" s="36" t="s">
        <v>2318</v>
      </c>
      <c r="F2" s="36" t="s">
        <v>2319</v>
      </c>
      <c r="G2" s="36" t="s">
        <v>1410</v>
      </c>
      <c r="H2" s="36" t="s">
        <v>1412</v>
      </c>
      <c r="I2" s="36" t="s">
        <v>1413</v>
      </c>
      <c r="J2" s="36" t="s">
        <v>2320</v>
      </c>
      <c r="K2" s="36" t="s">
        <v>2321</v>
      </c>
      <c r="L2" s="36" t="s">
        <v>2322</v>
      </c>
      <c r="M2" s="36" t="s">
        <v>2323</v>
      </c>
      <c r="N2" s="36" t="s">
        <v>2324</v>
      </c>
      <c r="O2" s="36" t="s">
        <v>2325</v>
      </c>
      <c r="P2" s="36" t="s">
        <v>2326</v>
      </c>
      <c r="Q2" s="36" t="s">
        <v>2327</v>
      </c>
      <c r="R2" s="36" t="s">
        <v>2328</v>
      </c>
      <c r="S2" s="36" t="s">
        <v>2329</v>
      </c>
      <c r="T2" s="36" t="s">
        <v>2330</v>
      </c>
      <c r="U2" s="36" t="s">
        <v>2331</v>
      </c>
      <c r="V2" s="36" t="s">
        <v>2332</v>
      </c>
      <c r="W2" s="36" t="s">
        <v>2333</v>
      </c>
      <c r="X2" s="36" t="s">
        <v>2334</v>
      </c>
      <c r="Y2" s="36" t="s">
        <v>2335</v>
      </c>
      <c r="Z2" s="36" t="s">
        <v>2336</v>
      </c>
    </row>
    <row r="3" spans="1:26" x14ac:dyDescent="0.2">
      <c r="A3" s="36" t="s">
        <v>2337</v>
      </c>
      <c r="B3" s="36" t="s">
        <v>349</v>
      </c>
      <c r="C3" s="36" t="s">
        <v>350</v>
      </c>
      <c r="E3" s="36" t="s">
        <v>2338</v>
      </c>
      <c r="Z3" s="36">
        <v>1</v>
      </c>
    </row>
    <row r="4" spans="1:26" x14ac:dyDescent="0.2">
      <c r="A4" s="36" t="s">
        <v>2337</v>
      </c>
      <c r="B4" s="36" t="s">
        <v>386</v>
      </c>
      <c r="C4" s="36" t="s">
        <v>387</v>
      </c>
      <c r="E4" s="36" t="s">
        <v>2338</v>
      </c>
      <c r="Z4" s="36">
        <v>2</v>
      </c>
    </row>
    <row r="5" spans="1:26" ht="128.25" x14ac:dyDescent="0.2">
      <c r="A5" s="36" t="s">
        <v>2337</v>
      </c>
      <c r="B5" s="36" t="s">
        <v>502</v>
      </c>
      <c r="C5" s="36" t="s">
        <v>503</v>
      </c>
      <c r="D5" s="36" t="s">
        <v>2006</v>
      </c>
      <c r="E5" s="36" t="s">
        <v>2338</v>
      </c>
      <c r="F5" s="36" t="s">
        <v>2339</v>
      </c>
      <c r="Z5" s="36">
        <v>3</v>
      </c>
    </row>
    <row r="6" spans="1:26" x14ac:dyDescent="0.2">
      <c r="A6" s="36" t="s">
        <v>2337</v>
      </c>
      <c r="B6" s="36" t="s">
        <v>345</v>
      </c>
      <c r="C6" s="36" t="s">
        <v>346</v>
      </c>
      <c r="E6" s="36" t="s">
        <v>2338</v>
      </c>
      <c r="F6" s="36" t="s">
        <v>2340</v>
      </c>
      <c r="Z6" s="36">
        <v>4</v>
      </c>
    </row>
    <row r="7" spans="1:26" ht="57" x14ac:dyDescent="0.2">
      <c r="A7" s="36" t="s">
        <v>2337</v>
      </c>
      <c r="B7" s="36" t="s">
        <v>486</v>
      </c>
      <c r="C7" s="36" t="s">
        <v>487</v>
      </c>
      <c r="D7" s="36" t="s">
        <v>2341</v>
      </c>
      <c r="E7" s="36" t="s">
        <v>2342</v>
      </c>
      <c r="F7" s="36" t="s">
        <v>2343</v>
      </c>
      <c r="Z7" s="36">
        <v>5</v>
      </c>
    </row>
    <row r="8" spans="1:26" ht="28.5" x14ac:dyDescent="0.2">
      <c r="A8" s="36" t="s">
        <v>2337</v>
      </c>
      <c r="B8" s="36" t="s">
        <v>1353</v>
      </c>
      <c r="C8" s="36" t="s">
        <v>1354</v>
      </c>
      <c r="D8" s="36" t="s">
        <v>2344</v>
      </c>
      <c r="E8" s="36" t="s">
        <v>2345</v>
      </c>
      <c r="Z8" s="36">
        <v>6</v>
      </c>
    </row>
    <row r="9" spans="1:26" ht="42.75" x14ac:dyDescent="0.2">
      <c r="A9" s="36" t="s">
        <v>2346</v>
      </c>
      <c r="B9" s="36" t="s">
        <v>427</v>
      </c>
      <c r="C9" s="36" t="s">
        <v>428</v>
      </c>
      <c r="D9" s="36" t="s">
        <v>1861</v>
      </c>
      <c r="E9" s="36" t="s">
        <v>1723</v>
      </c>
      <c r="G9" s="36" t="s">
        <v>634</v>
      </c>
      <c r="Z9" s="36">
        <v>7</v>
      </c>
    </row>
    <row r="10" spans="1:26" ht="42.75" x14ac:dyDescent="0.2">
      <c r="A10" s="36" t="s">
        <v>2346</v>
      </c>
      <c r="B10" s="36" t="s">
        <v>441</v>
      </c>
      <c r="C10" s="36" t="s">
        <v>442</v>
      </c>
      <c r="E10" s="36" t="s">
        <v>1445</v>
      </c>
      <c r="F10" s="36" t="s">
        <v>2347</v>
      </c>
      <c r="K10" s="36" t="s">
        <v>2348</v>
      </c>
      <c r="Z10" s="36">
        <v>8</v>
      </c>
    </row>
    <row r="11" spans="1:26" ht="28.5" x14ac:dyDescent="0.2">
      <c r="A11" s="36" t="s">
        <v>2346</v>
      </c>
      <c r="B11" s="36" t="s">
        <v>488</v>
      </c>
      <c r="C11" s="36" t="s">
        <v>488</v>
      </c>
      <c r="D11" s="36" t="s">
        <v>1975</v>
      </c>
      <c r="E11" s="36" t="s">
        <v>1445</v>
      </c>
      <c r="G11" s="36" t="s">
        <v>1440</v>
      </c>
      <c r="H11" s="36" t="s">
        <v>629</v>
      </c>
      <c r="I11" s="36" t="s">
        <v>637</v>
      </c>
      <c r="K11" s="36" t="s">
        <v>2349</v>
      </c>
      <c r="Z11" s="36">
        <v>9</v>
      </c>
    </row>
    <row r="12" spans="1:26" ht="71.25" x14ac:dyDescent="0.2">
      <c r="A12" s="36" t="s">
        <v>2346</v>
      </c>
      <c r="B12" s="36" t="s">
        <v>382</v>
      </c>
      <c r="C12" s="36" t="s">
        <v>383</v>
      </c>
      <c r="D12" s="36" t="s">
        <v>1798</v>
      </c>
      <c r="E12" s="36" t="s">
        <v>1445</v>
      </c>
      <c r="H12" s="36" t="s">
        <v>1530</v>
      </c>
      <c r="I12" s="36" t="s">
        <v>642</v>
      </c>
      <c r="K12" s="36" t="s">
        <v>2350</v>
      </c>
      <c r="Z12" s="36">
        <v>10</v>
      </c>
    </row>
    <row r="13" spans="1:26" x14ac:dyDescent="0.2">
      <c r="A13" s="36" t="s">
        <v>2351</v>
      </c>
      <c r="B13" s="36" t="s">
        <v>359</v>
      </c>
      <c r="C13" s="36" t="s">
        <v>360</v>
      </c>
      <c r="E13" s="36" t="s">
        <v>2338</v>
      </c>
      <c r="Z13" s="36">
        <v>11</v>
      </c>
    </row>
    <row r="14" spans="1:26" ht="42.75" x14ac:dyDescent="0.2">
      <c r="A14" s="36" t="s">
        <v>2351</v>
      </c>
      <c r="B14" s="36" t="s">
        <v>425</v>
      </c>
      <c r="C14" s="36" t="s">
        <v>426</v>
      </c>
      <c r="E14" s="36" t="s">
        <v>2338</v>
      </c>
      <c r="G14" s="36" t="s">
        <v>634</v>
      </c>
      <c r="M14" s="36" t="s">
        <v>2352</v>
      </c>
      <c r="Z14" s="36">
        <v>12</v>
      </c>
    </row>
    <row r="15" spans="1:26" ht="57" x14ac:dyDescent="0.2">
      <c r="A15" s="36" t="s">
        <v>2351</v>
      </c>
      <c r="B15" s="36" t="s">
        <v>357</v>
      </c>
      <c r="C15" s="36" t="s">
        <v>358</v>
      </c>
      <c r="E15" s="36" t="s">
        <v>2338</v>
      </c>
      <c r="M15" s="36" t="s">
        <v>2353</v>
      </c>
      <c r="Z15" s="36">
        <v>13</v>
      </c>
    </row>
    <row r="16" spans="1:26" ht="114" x14ac:dyDescent="0.2">
      <c r="A16" s="36" t="s">
        <v>2351</v>
      </c>
      <c r="B16" s="36" t="s">
        <v>502</v>
      </c>
      <c r="C16" s="36" t="s">
        <v>503</v>
      </c>
      <c r="E16" s="36" t="s">
        <v>2338</v>
      </c>
      <c r="G16" s="36" t="s">
        <v>2354</v>
      </c>
      <c r="Z16" s="36">
        <v>14</v>
      </c>
    </row>
    <row r="17" spans="1:26" ht="28.5" x14ac:dyDescent="0.2">
      <c r="A17" s="36" t="s">
        <v>2351</v>
      </c>
      <c r="B17" s="36" t="s">
        <v>473</v>
      </c>
      <c r="C17" s="36" t="s">
        <v>474</v>
      </c>
      <c r="E17" s="36" t="s">
        <v>2338</v>
      </c>
      <c r="G17" s="36" t="s">
        <v>1946</v>
      </c>
      <c r="Z17" s="36">
        <v>15</v>
      </c>
    </row>
    <row r="18" spans="1:26" ht="28.5" x14ac:dyDescent="0.2">
      <c r="A18" s="36" t="s">
        <v>2351</v>
      </c>
      <c r="B18" s="36" t="s">
        <v>535</v>
      </c>
      <c r="C18" s="36" t="s">
        <v>536</v>
      </c>
      <c r="E18" s="36" t="s">
        <v>559</v>
      </c>
      <c r="G18" s="36" t="s">
        <v>2112</v>
      </c>
      <c r="Z18" s="36">
        <v>16</v>
      </c>
    </row>
    <row r="19" spans="1:26" x14ac:dyDescent="0.2">
      <c r="A19" s="36" t="s">
        <v>2351</v>
      </c>
      <c r="B19" s="36" t="s">
        <v>330</v>
      </c>
      <c r="C19" s="36" t="s">
        <v>331</v>
      </c>
      <c r="E19" s="36" t="s">
        <v>2338</v>
      </c>
      <c r="Z19" s="36">
        <v>17</v>
      </c>
    </row>
    <row r="20" spans="1:26" x14ac:dyDescent="0.2">
      <c r="A20" s="36" t="s">
        <v>2351</v>
      </c>
      <c r="B20" s="36" t="s">
        <v>288</v>
      </c>
      <c r="C20" s="36" t="s">
        <v>289</v>
      </c>
      <c r="E20" s="36" t="s">
        <v>2338</v>
      </c>
      <c r="Z20" s="36">
        <v>18</v>
      </c>
    </row>
    <row r="21" spans="1:26" ht="28.5" x14ac:dyDescent="0.2">
      <c r="A21" s="36" t="s">
        <v>2351</v>
      </c>
      <c r="B21" s="36" t="s">
        <v>491</v>
      </c>
      <c r="C21" s="36" t="s">
        <v>492</v>
      </c>
      <c r="E21" s="36" t="s">
        <v>2355</v>
      </c>
      <c r="G21" s="36" t="s">
        <v>1983</v>
      </c>
      <c r="Z21" s="36">
        <v>19</v>
      </c>
    </row>
    <row r="22" spans="1:26" ht="57" x14ac:dyDescent="0.2">
      <c r="A22" s="36" t="s">
        <v>2356</v>
      </c>
      <c r="B22" s="36" t="s">
        <v>347</v>
      </c>
      <c r="C22" s="36" t="s">
        <v>348</v>
      </c>
      <c r="E22" s="36" t="s">
        <v>1723</v>
      </c>
      <c r="F22" s="36" t="s">
        <v>2357</v>
      </c>
      <c r="G22" s="36" t="s">
        <v>634</v>
      </c>
      <c r="K22" s="36" t="s">
        <v>2358</v>
      </c>
      <c r="Z22" s="36">
        <v>20</v>
      </c>
    </row>
    <row r="23" spans="1:26" ht="71.25" x14ac:dyDescent="0.2">
      <c r="A23" s="36" t="s">
        <v>2356</v>
      </c>
      <c r="B23" s="36" t="s">
        <v>457</v>
      </c>
      <c r="C23" s="36" t="s">
        <v>458</v>
      </c>
      <c r="D23" s="36" t="s">
        <v>1921</v>
      </c>
      <c r="G23" s="36" t="s">
        <v>665</v>
      </c>
      <c r="H23" s="36" t="s">
        <v>1442</v>
      </c>
      <c r="I23" s="36" t="s">
        <v>2359</v>
      </c>
      <c r="O23" s="36" t="s">
        <v>1920</v>
      </c>
      <c r="Z23" s="36">
        <v>21</v>
      </c>
    </row>
    <row r="24" spans="1:26" ht="99.75" x14ac:dyDescent="0.2">
      <c r="A24" s="36" t="s">
        <v>2356</v>
      </c>
      <c r="B24" s="36" t="s">
        <v>357</v>
      </c>
      <c r="C24" s="36" t="s">
        <v>667</v>
      </c>
      <c r="E24" s="36" t="s">
        <v>1445</v>
      </c>
      <c r="J24" s="36" t="s">
        <v>2360</v>
      </c>
      <c r="Z24" s="36">
        <v>22</v>
      </c>
    </row>
    <row r="25" spans="1:26" ht="57" x14ac:dyDescent="0.2">
      <c r="A25" s="36" t="s">
        <v>2356</v>
      </c>
      <c r="B25" s="36" t="s">
        <v>425</v>
      </c>
      <c r="C25" s="36" t="s">
        <v>426</v>
      </c>
      <c r="E25" s="36" t="s">
        <v>2361</v>
      </c>
      <c r="G25" s="36" t="s">
        <v>634</v>
      </c>
      <c r="J25" s="36" t="s">
        <v>2362</v>
      </c>
      <c r="K25" s="36" t="s">
        <v>2363</v>
      </c>
      <c r="Z25" s="36">
        <v>23</v>
      </c>
    </row>
    <row r="26" spans="1:26" ht="114" x14ac:dyDescent="0.2">
      <c r="A26" s="36" t="s">
        <v>2356</v>
      </c>
      <c r="B26" s="36" t="s">
        <v>158</v>
      </c>
      <c r="C26" s="36" t="s">
        <v>316</v>
      </c>
      <c r="E26" s="36" t="s">
        <v>1445</v>
      </c>
      <c r="G26" s="36" t="s">
        <v>647</v>
      </c>
      <c r="K26" s="36" t="s">
        <v>2364</v>
      </c>
      <c r="N26" s="36" t="s">
        <v>2365</v>
      </c>
      <c r="O26" s="36" t="s">
        <v>2366</v>
      </c>
      <c r="P26" s="36" t="s">
        <v>669</v>
      </c>
      <c r="Z26" s="36">
        <v>24</v>
      </c>
    </row>
    <row r="27" spans="1:26" ht="199.5" x14ac:dyDescent="0.2">
      <c r="A27" s="36" t="s">
        <v>2356</v>
      </c>
      <c r="B27" s="36" t="s">
        <v>181</v>
      </c>
      <c r="C27" s="36" t="s">
        <v>518</v>
      </c>
      <c r="E27" s="36" t="s">
        <v>1445</v>
      </c>
      <c r="G27" s="36" t="s">
        <v>675</v>
      </c>
      <c r="H27" s="36" t="s">
        <v>2012</v>
      </c>
      <c r="I27" s="36" t="s">
        <v>2013</v>
      </c>
      <c r="K27" s="36" t="s">
        <v>2367</v>
      </c>
      <c r="N27" s="36" t="s">
        <v>2365</v>
      </c>
      <c r="O27" s="36" t="s">
        <v>2368</v>
      </c>
      <c r="P27" s="36" t="s">
        <v>673</v>
      </c>
      <c r="Z27" s="36">
        <v>25</v>
      </c>
    </row>
    <row r="28" spans="1:26" ht="57" x14ac:dyDescent="0.2">
      <c r="A28" s="36" t="s">
        <v>2356</v>
      </c>
      <c r="B28" s="36" t="s">
        <v>275</v>
      </c>
      <c r="C28" s="36" t="s">
        <v>276</v>
      </c>
      <c r="D28" s="36" t="s">
        <v>1511</v>
      </c>
      <c r="G28" s="36" t="s">
        <v>1510</v>
      </c>
      <c r="H28" s="36" t="s">
        <v>715</v>
      </c>
      <c r="I28" s="36" t="s">
        <v>1066</v>
      </c>
      <c r="K28" s="36" t="s">
        <v>2369</v>
      </c>
      <c r="O28" s="36" t="s">
        <v>2370</v>
      </c>
      <c r="P28" s="36" t="s">
        <v>2371</v>
      </c>
      <c r="Z28" s="36">
        <v>26</v>
      </c>
    </row>
    <row r="29" spans="1:26" ht="114" x14ac:dyDescent="0.2">
      <c r="A29" s="36" t="s">
        <v>2356</v>
      </c>
      <c r="B29" s="36" t="s">
        <v>361</v>
      </c>
      <c r="C29" s="36" t="s">
        <v>362</v>
      </c>
      <c r="D29" s="36" t="s">
        <v>1740</v>
      </c>
      <c r="G29" s="36" t="s">
        <v>684</v>
      </c>
      <c r="O29" s="36" t="s">
        <v>2372</v>
      </c>
      <c r="P29" s="36" t="s">
        <v>678</v>
      </c>
      <c r="Z29" s="36">
        <v>27</v>
      </c>
    </row>
    <row r="30" spans="1:26" ht="99.75" x14ac:dyDescent="0.2">
      <c r="A30" s="36" t="s">
        <v>2356</v>
      </c>
      <c r="B30" s="36" t="s">
        <v>539</v>
      </c>
      <c r="C30" s="36" t="s">
        <v>540</v>
      </c>
      <c r="D30" s="36" t="s">
        <v>1740</v>
      </c>
      <c r="G30" s="36" t="s">
        <v>684</v>
      </c>
      <c r="O30" s="36" t="s">
        <v>2373</v>
      </c>
      <c r="P30" s="36" t="s">
        <v>686</v>
      </c>
      <c r="Z30" s="36">
        <v>28</v>
      </c>
    </row>
    <row r="31" spans="1:26" ht="42.75" x14ac:dyDescent="0.2">
      <c r="A31" s="36" t="s">
        <v>2356</v>
      </c>
      <c r="B31" s="36" t="s">
        <v>277</v>
      </c>
      <c r="C31" s="36" t="s">
        <v>278</v>
      </c>
      <c r="E31" s="36" t="s">
        <v>1525</v>
      </c>
      <c r="G31" s="36" t="s">
        <v>1524</v>
      </c>
      <c r="J31" s="36" t="s">
        <v>2374</v>
      </c>
      <c r="K31" s="36" t="s">
        <v>2375</v>
      </c>
      <c r="O31" s="36" t="s">
        <v>1582</v>
      </c>
      <c r="P31" s="36" t="s">
        <v>1582</v>
      </c>
      <c r="Z31" s="36">
        <v>29</v>
      </c>
    </row>
    <row r="32" spans="1:26" ht="313.5" x14ac:dyDescent="0.2">
      <c r="A32" s="36" t="s">
        <v>2356</v>
      </c>
      <c r="B32" s="36" t="s">
        <v>121</v>
      </c>
      <c r="C32" s="36" t="s">
        <v>320</v>
      </c>
      <c r="E32" s="36" t="s">
        <v>1445</v>
      </c>
      <c r="G32" s="36" t="s">
        <v>647</v>
      </c>
      <c r="K32" s="36" t="s">
        <v>2376</v>
      </c>
      <c r="N32" s="36" t="s">
        <v>2365</v>
      </c>
      <c r="O32" s="36" t="s">
        <v>2377</v>
      </c>
      <c r="P32" s="36" t="s">
        <v>2378</v>
      </c>
      <c r="Z32" s="36">
        <v>30</v>
      </c>
    </row>
    <row r="33" spans="1:26" ht="171" x14ac:dyDescent="0.2">
      <c r="A33" s="36" t="s">
        <v>2356</v>
      </c>
      <c r="B33" s="36" t="s">
        <v>223</v>
      </c>
      <c r="C33" s="36" t="s">
        <v>519</v>
      </c>
      <c r="E33" s="36" t="s">
        <v>1445</v>
      </c>
      <c r="G33" s="36" t="s">
        <v>675</v>
      </c>
      <c r="H33" s="36" t="s">
        <v>2012</v>
      </c>
      <c r="I33" s="36" t="s">
        <v>2013</v>
      </c>
      <c r="K33" s="36" t="s">
        <v>2379</v>
      </c>
      <c r="N33" s="36" t="s">
        <v>2365</v>
      </c>
      <c r="O33" s="36" t="s">
        <v>2380</v>
      </c>
      <c r="P33" s="36" t="s">
        <v>702</v>
      </c>
      <c r="Z33" s="36">
        <v>31</v>
      </c>
    </row>
    <row r="34" spans="1:26" ht="128.25" x14ac:dyDescent="0.2">
      <c r="A34" s="36" t="s">
        <v>2356</v>
      </c>
      <c r="B34" s="36" t="s">
        <v>469</v>
      </c>
      <c r="C34" s="36" t="s">
        <v>470</v>
      </c>
      <c r="E34" s="36" t="s">
        <v>1721</v>
      </c>
      <c r="F34" s="36" t="s">
        <v>2381</v>
      </c>
      <c r="G34" s="36" t="s">
        <v>1940</v>
      </c>
      <c r="O34" s="36" t="s">
        <v>2382</v>
      </c>
      <c r="P34" s="36" t="s">
        <v>706</v>
      </c>
      <c r="Z34" s="36">
        <v>32</v>
      </c>
    </row>
    <row r="35" spans="1:26" ht="28.5" x14ac:dyDescent="0.2">
      <c r="A35" s="36" t="s">
        <v>2356</v>
      </c>
      <c r="B35" s="36" t="s">
        <v>429</v>
      </c>
      <c r="C35" s="36" t="s">
        <v>430</v>
      </c>
      <c r="E35" s="36" t="s">
        <v>1525</v>
      </c>
      <c r="G35" s="36" t="s">
        <v>1863</v>
      </c>
      <c r="P35" s="36" t="s">
        <v>1862</v>
      </c>
      <c r="Z35" s="36">
        <v>33</v>
      </c>
    </row>
    <row r="36" spans="1:26" ht="199.5" x14ac:dyDescent="0.2">
      <c r="A36" s="36" t="s">
        <v>2356</v>
      </c>
      <c r="B36" s="36" t="s">
        <v>300</v>
      </c>
      <c r="C36" s="36" t="s">
        <v>301</v>
      </c>
      <c r="D36" s="36" t="s">
        <v>1463</v>
      </c>
      <c r="E36" s="36" t="s">
        <v>1445</v>
      </c>
      <c r="G36" s="36" t="s">
        <v>1440</v>
      </c>
      <c r="H36" s="36" t="s">
        <v>1442</v>
      </c>
      <c r="I36" s="36" t="s">
        <v>629</v>
      </c>
      <c r="K36" s="36" t="s">
        <v>2383</v>
      </c>
      <c r="O36" s="36" t="s">
        <v>2384</v>
      </c>
      <c r="P36" s="36" t="s">
        <v>714</v>
      </c>
      <c r="Q36" s="36" t="s">
        <v>2385</v>
      </c>
      <c r="Z36" s="36">
        <v>34</v>
      </c>
    </row>
    <row r="37" spans="1:26" ht="356.25" x14ac:dyDescent="0.2">
      <c r="A37" s="36" t="s">
        <v>2356</v>
      </c>
      <c r="B37" s="36" t="s">
        <v>305</v>
      </c>
      <c r="C37" s="36" t="s">
        <v>306</v>
      </c>
      <c r="D37" s="36" t="s">
        <v>1594</v>
      </c>
      <c r="E37" s="36" t="s">
        <v>1596</v>
      </c>
      <c r="G37" s="36" t="s">
        <v>1440</v>
      </c>
      <c r="H37" s="36" t="s">
        <v>629</v>
      </c>
      <c r="I37" s="36" t="s">
        <v>642</v>
      </c>
      <c r="K37" s="36" t="s">
        <v>2386</v>
      </c>
      <c r="O37" s="36" t="s">
        <v>2387</v>
      </c>
      <c r="P37" s="36" t="s">
        <v>2388</v>
      </c>
      <c r="Q37" s="36" t="s">
        <v>2389</v>
      </c>
      <c r="Z37" s="36">
        <v>35</v>
      </c>
    </row>
    <row r="38" spans="1:26" ht="409.5" x14ac:dyDescent="0.2">
      <c r="A38" s="36" t="s">
        <v>2356</v>
      </c>
      <c r="B38" s="36" t="s">
        <v>475</v>
      </c>
      <c r="C38" s="36" t="s">
        <v>476</v>
      </c>
      <c r="D38" s="36" t="s">
        <v>1463</v>
      </c>
      <c r="E38" s="36" t="s">
        <v>1950</v>
      </c>
      <c r="G38" s="36" t="s">
        <v>1440</v>
      </c>
      <c r="H38" s="36" t="s">
        <v>1442</v>
      </c>
      <c r="I38" s="36" t="s">
        <v>629</v>
      </c>
      <c r="J38" s="36" t="s">
        <v>2390</v>
      </c>
      <c r="K38" s="36" t="s">
        <v>2391</v>
      </c>
      <c r="O38" s="36" t="s">
        <v>2392</v>
      </c>
      <c r="P38" s="36" t="s">
        <v>2393</v>
      </c>
      <c r="Z38" s="36">
        <v>36</v>
      </c>
    </row>
    <row r="39" spans="1:26" ht="409.5" x14ac:dyDescent="0.2">
      <c r="A39" s="36" t="s">
        <v>2356</v>
      </c>
      <c r="B39" s="36" t="s">
        <v>477</v>
      </c>
      <c r="C39" s="36" t="s">
        <v>478</v>
      </c>
      <c r="D39" s="36" t="s">
        <v>1463</v>
      </c>
      <c r="E39" s="36" t="s">
        <v>1954</v>
      </c>
      <c r="G39" s="36" t="s">
        <v>1440</v>
      </c>
      <c r="H39" s="36" t="s">
        <v>1442</v>
      </c>
      <c r="I39" s="36" t="s">
        <v>629</v>
      </c>
      <c r="J39" s="36" t="s">
        <v>2390</v>
      </c>
      <c r="K39" s="36" t="s">
        <v>2391</v>
      </c>
      <c r="O39" s="36" t="s">
        <v>2394</v>
      </c>
      <c r="P39" s="36" t="s">
        <v>2395</v>
      </c>
      <c r="Z39" s="36">
        <v>37</v>
      </c>
    </row>
    <row r="40" spans="1:26" ht="128.25" x14ac:dyDescent="0.2">
      <c r="A40" s="36" t="s">
        <v>2356</v>
      </c>
      <c r="B40" s="36" t="s">
        <v>448</v>
      </c>
      <c r="C40" s="36" t="s">
        <v>449</v>
      </c>
      <c r="D40" s="36" t="s">
        <v>1463</v>
      </c>
      <c r="E40" s="36" t="s">
        <v>1445</v>
      </c>
      <c r="H40" s="36" t="s">
        <v>1442</v>
      </c>
      <c r="I40" s="36" t="s">
        <v>629</v>
      </c>
      <c r="K40" s="36" t="s">
        <v>2383</v>
      </c>
      <c r="O40" s="36" t="s">
        <v>2396</v>
      </c>
      <c r="P40" s="36" t="s">
        <v>2397</v>
      </c>
      <c r="Q40" s="36" t="s">
        <v>2385</v>
      </c>
      <c r="Z40" s="36">
        <v>38</v>
      </c>
    </row>
    <row r="41" spans="1:26" ht="171" x14ac:dyDescent="0.2">
      <c r="A41" s="36" t="s">
        <v>2356</v>
      </c>
      <c r="B41" s="36" t="s">
        <v>321</v>
      </c>
      <c r="C41" s="36" t="s">
        <v>322</v>
      </c>
      <c r="E41" s="36" t="s">
        <v>1662</v>
      </c>
      <c r="G41" s="36" t="s">
        <v>647</v>
      </c>
      <c r="J41" s="36" t="s">
        <v>2398</v>
      </c>
      <c r="K41" s="36" t="s">
        <v>2399</v>
      </c>
      <c r="O41" s="36" t="s">
        <v>2400</v>
      </c>
      <c r="P41" s="36" t="s">
        <v>2401</v>
      </c>
      <c r="Q41" s="36" t="s">
        <v>2389</v>
      </c>
      <c r="Z41" s="36">
        <v>39</v>
      </c>
    </row>
    <row r="42" spans="1:26" ht="285" x14ac:dyDescent="0.2">
      <c r="A42" s="36" t="s">
        <v>2356</v>
      </c>
      <c r="B42" s="36" t="s">
        <v>471</v>
      </c>
      <c r="C42" s="36" t="s">
        <v>472</v>
      </c>
      <c r="D42" s="36" t="s">
        <v>1463</v>
      </c>
      <c r="E42" s="36" t="s">
        <v>1445</v>
      </c>
      <c r="G42" s="36" t="s">
        <v>1440</v>
      </c>
      <c r="H42" s="36" t="s">
        <v>1442</v>
      </c>
      <c r="I42" s="36" t="s">
        <v>629</v>
      </c>
      <c r="K42" s="36" t="s">
        <v>2383</v>
      </c>
      <c r="O42" s="36" t="s">
        <v>2402</v>
      </c>
      <c r="P42" s="36" t="s">
        <v>2403</v>
      </c>
      <c r="Q42" s="36" t="s">
        <v>2385</v>
      </c>
      <c r="Z42" s="36">
        <v>40</v>
      </c>
    </row>
    <row r="43" spans="1:26" ht="171" x14ac:dyDescent="0.2">
      <c r="A43" s="36" t="s">
        <v>2356</v>
      </c>
      <c r="B43" s="36" t="s">
        <v>323</v>
      </c>
      <c r="C43" s="36" t="s">
        <v>324</v>
      </c>
      <c r="E43" s="36" t="s">
        <v>1671</v>
      </c>
      <c r="G43" s="36" t="s">
        <v>647</v>
      </c>
      <c r="J43" s="36" t="s">
        <v>2404</v>
      </c>
      <c r="K43" s="36" t="s">
        <v>2405</v>
      </c>
      <c r="O43" s="36" t="s">
        <v>2406</v>
      </c>
      <c r="P43" s="36" t="s">
        <v>2407</v>
      </c>
      <c r="Q43" s="36" t="s">
        <v>2389</v>
      </c>
      <c r="Z43" s="36">
        <v>41</v>
      </c>
    </row>
    <row r="44" spans="1:26" ht="99.75" x14ac:dyDescent="0.2">
      <c r="A44" s="36" t="s">
        <v>2356</v>
      </c>
      <c r="B44" s="36" t="s">
        <v>431</v>
      </c>
      <c r="C44" s="36" t="s">
        <v>432</v>
      </c>
      <c r="D44" s="36" t="s">
        <v>1866</v>
      </c>
      <c r="E44" s="36" t="s">
        <v>1867</v>
      </c>
      <c r="H44" s="36" t="s">
        <v>629</v>
      </c>
      <c r="I44" s="36" t="s">
        <v>629</v>
      </c>
      <c r="J44" s="36" t="s">
        <v>2408</v>
      </c>
      <c r="K44" s="36" t="s">
        <v>2409</v>
      </c>
      <c r="O44" s="36" t="s">
        <v>2410</v>
      </c>
      <c r="P44" s="36" t="s">
        <v>2411</v>
      </c>
      <c r="Z44" s="36">
        <v>43</v>
      </c>
    </row>
    <row r="45" spans="1:26" ht="409.5" x14ac:dyDescent="0.2">
      <c r="A45" s="36" t="s">
        <v>2356</v>
      </c>
      <c r="B45" s="36" t="s">
        <v>339</v>
      </c>
      <c r="C45" s="36" t="s">
        <v>340</v>
      </c>
      <c r="D45" s="36" t="s">
        <v>1463</v>
      </c>
      <c r="E45" s="36" t="s">
        <v>1445</v>
      </c>
      <c r="G45" s="36" t="s">
        <v>1440</v>
      </c>
      <c r="H45" s="36" t="s">
        <v>1442</v>
      </c>
      <c r="I45" s="36" t="s">
        <v>629</v>
      </c>
      <c r="K45" s="36" t="s">
        <v>2383</v>
      </c>
      <c r="O45" s="36" t="s">
        <v>2412</v>
      </c>
      <c r="P45" s="36" t="s">
        <v>2413</v>
      </c>
      <c r="Q45" s="36" t="s">
        <v>2385</v>
      </c>
      <c r="Z45" s="36">
        <v>44</v>
      </c>
    </row>
    <row r="46" spans="1:26" ht="313.5" x14ac:dyDescent="0.2">
      <c r="A46" s="36" t="s">
        <v>2356</v>
      </c>
      <c r="B46" s="36" t="s">
        <v>308</v>
      </c>
      <c r="C46" s="36" t="s">
        <v>309</v>
      </c>
      <c r="E46" s="36" t="s">
        <v>1607</v>
      </c>
      <c r="G46" s="36" t="s">
        <v>647</v>
      </c>
      <c r="J46" s="36" t="s">
        <v>2414</v>
      </c>
      <c r="K46" s="36" t="s">
        <v>2415</v>
      </c>
      <c r="O46" s="36" t="s">
        <v>2416</v>
      </c>
      <c r="P46" s="36" t="s">
        <v>767</v>
      </c>
      <c r="Q46" s="36" t="s">
        <v>2389</v>
      </c>
      <c r="Z46" s="36">
        <v>45</v>
      </c>
    </row>
    <row r="47" spans="1:26" ht="228" x14ac:dyDescent="0.2">
      <c r="A47" s="36" t="s">
        <v>2356</v>
      </c>
      <c r="B47" s="36" t="s">
        <v>337</v>
      </c>
      <c r="C47" s="36" t="s">
        <v>338</v>
      </c>
      <c r="D47" s="36" t="s">
        <v>1705</v>
      </c>
      <c r="E47" s="36" t="s">
        <v>1607</v>
      </c>
      <c r="H47" s="36" t="s">
        <v>629</v>
      </c>
      <c r="I47" s="36" t="s">
        <v>660</v>
      </c>
      <c r="K47" s="36" t="s">
        <v>2417</v>
      </c>
      <c r="O47" s="36" t="s">
        <v>2418</v>
      </c>
      <c r="P47" s="36" t="s">
        <v>2419</v>
      </c>
      <c r="Q47" s="36" t="s">
        <v>2389</v>
      </c>
      <c r="Z47" s="36">
        <v>46</v>
      </c>
    </row>
    <row r="48" spans="1:26" ht="356.25" x14ac:dyDescent="0.2">
      <c r="A48" s="36" t="s">
        <v>2356</v>
      </c>
      <c r="B48" s="36" t="s">
        <v>332</v>
      </c>
      <c r="C48" s="36" t="s">
        <v>2420</v>
      </c>
      <c r="D48" s="36" t="s">
        <v>1693</v>
      </c>
      <c r="E48" s="36" t="s">
        <v>1696</v>
      </c>
      <c r="G48" s="36" t="s">
        <v>1692</v>
      </c>
      <c r="H48" s="36" t="s">
        <v>1694</v>
      </c>
      <c r="I48" s="36" t="s">
        <v>1023</v>
      </c>
      <c r="J48" s="36" t="s">
        <v>2421</v>
      </c>
      <c r="K48" s="36" t="s">
        <v>2422</v>
      </c>
      <c r="O48" s="36" t="s">
        <v>2423</v>
      </c>
      <c r="P48" s="36" t="s">
        <v>2424</v>
      </c>
      <c r="Q48" s="36" t="s">
        <v>2389</v>
      </c>
      <c r="Z48" s="36">
        <v>47</v>
      </c>
    </row>
    <row r="49" spans="1:26" ht="409.5" x14ac:dyDescent="0.2">
      <c r="A49" s="36" t="s">
        <v>2356</v>
      </c>
      <c r="B49" s="36" t="s">
        <v>335</v>
      </c>
      <c r="C49" s="36" t="s">
        <v>2425</v>
      </c>
      <c r="D49" s="36" t="s">
        <v>1700</v>
      </c>
      <c r="E49" s="36" t="s">
        <v>1701</v>
      </c>
      <c r="G49" s="36" t="s">
        <v>1440</v>
      </c>
      <c r="H49" s="36" t="s">
        <v>629</v>
      </c>
      <c r="I49" s="36" t="s">
        <v>650</v>
      </c>
      <c r="J49" s="36" t="s">
        <v>2300</v>
      </c>
      <c r="K49" s="36" t="s">
        <v>2426</v>
      </c>
      <c r="O49" s="36" t="s">
        <v>2427</v>
      </c>
      <c r="P49" s="36" t="s">
        <v>2428</v>
      </c>
      <c r="Q49" s="36" t="s">
        <v>2389</v>
      </c>
      <c r="Z49" s="36">
        <v>48</v>
      </c>
    </row>
    <row r="50" spans="1:26" ht="213.75" x14ac:dyDescent="0.2">
      <c r="A50" s="36" t="s">
        <v>2356</v>
      </c>
      <c r="B50" s="36" t="s">
        <v>341</v>
      </c>
      <c r="C50" s="36" t="s">
        <v>342</v>
      </c>
      <c r="D50" s="36" t="s">
        <v>1713</v>
      </c>
      <c r="E50" s="36" t="s">
        <v>1525</v>
      </c>
      <c r="G50" s="36" t="s">
        <v>1712</v>
      </c>
      <c r="J50" s="36" t="s">
        <v>2429</v>
      </c>
      <c r="K50" s="36" t="s">
        <v>2375</v>
      </c>
      <c r="O50" s="36" t="s">
        <v>1582</v>
      </c>
      <c r="P50" s="36" t="s">
        <v>2430</v>
      </c>
      <c r="Z50" s="36">
        <v>49</v>
      </c>
    </row>
    <row r="51" spans="1:26" ht="114" x14ac:dyDescent="0.2">
      <c r="A51" s="36" t="s">
        <v>2356</v>
      </c>
      <c r="B51" s="36" t="s">
        <v>343</v>
      </c>
      <c r="C51" s="36" t="s">
        <v>344</v>
      </c>
      <c r="D51" s="36" t="s">
        <v>1713</v>
      </c>
      <c r="E51" s="36" t="s">
        <v>1721</v>
      </c>
      <c r="G51" s="36" t="s">
        <v>1712</v>
      </c>
      <c r="H51" s="36" t="s">
        <v>1718</v>
      </c>
      <c r="I51" s="36" t="s">
        <v>1719</v>
      </c>
      <c r="J51" s="36" t="s">
        <v>2431</v>
      </c>
      <c r="O51" s="36" t="s">
        <v>2432</v>
      </c>
      <c r="P51" s="36" t="s">
        <v>2433</v>
      </c>
      <c r="Z51" s="36">
        <v>50</v>
      </c>
    </row>
    <row r="52" spans="1:26" ht="409.5" x14ac:dyDescent="0.2">
      <c r="A52" s="36" t="s">
        <v>2356</v>
      </c>
      <c r="B52" s="36" t="s">
        <v>489</v>
      </c>
      <c r="C52" s="36" t="s">
        <v>490</v>
      </c>
      <c r="D52" s="36" t="s">
        <v>1463</v>
      </c>
      <c r="E52" s="36" t="s">
        <v>1445</v>
      </c>
      <c r="G52" s="36" t="s">
        <v>1440</v>
      </c>
      <c r="H52" s="36" t="s">
        <v>1442</v>
      </c>
      <c r="I52" s="36" t="s">
        <v>629</v>
      </c>
      <c r="K52" s="36" t="s">
        <v>2434</v>
      </c>
      <c r="O52" s="36" t="s">
        <v>2435</v>
      </c>
      <c r="P52" s="36" t="s">
        <v>2436</v>
      </c>
      <c r="Z52" s="36">
        <v>51</v>
      </c>
    </row>
    <row r="53" spans="1:26" ht="213.75" x14ac:dyDescent="0.2">
      <c r="A53" s="36" t="s">
        <v>2356</v>
      </c>
      <c r="B53" s="36" t="s">
        <v>439</v>
      </c>
      <c r="C53" s="36" t="s">
        <v>440</v>
      </c>
      <c r="D53" s="36" t="s">
        <v>1463</v>
      </c>
      <c r="E53" s="36" t="s">
        <v>1445</v>
      </c>
      <c r="G53" s="36" t="s">
        <v>1440</v>
      </c>
      <c r="H53" s="36" t="s">
        <v>1442</v>
      </c>
      <c r="I53" s="36" t="s">
        <v>629</v>
      </c>
      <c r="K53" s="36" t="s">
        <v>2437</v>
      </c>
      <c r="O53" s="36" t="s">
        <v>2438</v>
      </c>
      <c r="P53" s="36" t="s">
        <v>2439</v>
      </c>
      <c r="Z53" s="36">
        <v>52</v>
      </c>
    </row>
    <row r="54" spans="1:26" ht="185.25" x14ac:dyDescent="0.2">
      <c r="A54" s="36" t="s">
        <v>2356</v>
      </c>
      <c r="B54" s="36" t="s">
        <v>465</v>
      </c>
      <c r="C54" s="36" t="s">
        <v>466</v>
      </c>
      <c r="D54" s="36" t="s">
        <v>1463</v>
      </c>
      <c r="E54" s="36" t="s">
        <v>1445</v>
      </c>
      <c r="G54" s="36" t="s">
        <v>1440</v>
      </c>
      <c r="H54" s="36" t="s">
        <v>1442</v>
      </c>
      <c r="I54" s="36" t="s">
        <v>629</v>
      </c>
      <c r="K54" s="36" t="s">
        <v>2440</v>
      </c>
      <c r="O54" s="36" t="s">
        <v>2441</v>
      </c>
      <c r="P54" s="36" t="s">
        <v>2442</v>
      </c>
      <c r="Z54" s="36">
        <v>53</v>
      </c>
    </row>
    <row r="55" spans="1:26" ht="384.75" x14ac:dyDescent="0.2">
      <c r="A55" s="36" t="s">
        <v>2443</v>
      </c>
      <c r="B55" s="36" t="s">
        <v>109</v>
      </c>
      <c r="C55" s="36" t="s">
        <v>2444</v>
      </c>
      <c r="D55" s="36" t="s">
        <v>1441</v>
      </c>
      <c r="E55" s="36" t="s">
        <v>1445</v>
      </c>
      <c r="G55" s="36" t="s">
        <v>1440</v>
      </c>
      <c r="H55" s="36" t="s">
        <v>1442</v>
      </c>
      <c r="I55" s="36" t="s">
        <v>629</v>
      </c>
      <c r="K55" s="36" t="s">
        <v>2445</v>
      </c>
      <c r="O55" s="36" t="s">
        <v>271</v>
      </c>
      <c r="P55" s="36" t="s">
        <v>2446</v>
      </c>
      <c r="R55" s="36" t="s">
        <v>2385</v>
      </c>
      <c r="Z55" s="36">
        <v>54</v>
      </c>
    </row>
    <row r="56" spans="1:26" ht="409.5" x14ac:dyDescent="0.2">
      <c r="A56" s="36" t="s">
        <v>2443</v>
      </c>
      <c r="B56" s="36" t="s">
        <v>325</v>
      </c>
      <c r="C56" s="36" t="s">
        <v>326</v>
      </c>
      <c r="E56" s="36" t="s">
        <v>1680</v>
      </c>
      <c r="G56" s="36" t="s">
        <v>647</v>
      </c>
      <c r="H56" s="36" t="s">
        <v>1678</v>
      </c>
      <c r="I56" s="36" t="s">
        <v>1679</v>
      </c>
      <c r="J56" s="36" t="s">
        <v>2447</v>
      </c>
      <c r="K56" s="36" t="s">
        <v>2448</v>
      </c>
      <c r="N56" s="36" t="s">
        <v>2365</v>
      </c>
      <c r="O56" s="36" t="s">
        <v>2449</v>
      </c>
      <c r="P56" s="36" t="s">
        <v>802</v>
      </c>
      <c r="R56" s="36" t="s">
        <v>2389</v>
      </c>
      <c r="Z56" s="36">
        <v>55</v>
      </c>
    </row>
    <row r="57" spans="1:26" ht="409.5" x14ac:dyDescent="0.2">
      <c r="A57" s="36" t="s">
        <v>2443</v>
      </c>
      <c r="B57" s="36" t="s">
        <v>520</v>
      </c>
      <c r="C57" s="36" t="s">
        <v>521</v>
      </c>
      <c r="E57" s="36" t="s">
        <v>1680</v>
      </c>
      <c r="G57" s="36" t="s">
        <v>675</v>
      </c>
      <c r="J57" s="36" t="s">
        <v>2450</v>
      </c>
      <c r="K57" s="36" t="s">
        <v>2451</v>
      </c>
      <c r="N57" s="36" t="s">
        <v>2365</v>
      </c>
      <c r="O57" s="36" t="s">
        <v>2452</v>
      </c>
      <c r="P57" s="36" t="s">
        <v>2453</v>
      </c>
      <c r="R57" s="36" t="s">
        <v>2389</v>
      </c>
      <c r="Z57" s="36">
        <v>56</v>
      </c>
    </row>
    <row r="58" spans="1:26" ht="99.75" x14ac:dyDescent="0.2">
      <c r="A58" s="36" t="s">
        <v>2443</v>
      </c>
      <c r="B58" s="36" t="s">
        <v>437</v>
      </c>
      <c r="C58" s="36" t="s">
        <v>438</v>
      </c>
      <c r="D58" s="36" t="s">
        <v>1878</v>
      </c>
      <c r="G58" s="36" t="s">
        <v>1440</v>
      </c>
      <c r="K58" s="36" t="s">
        <v>2454</v>
      </c>
      <c r="N58" s="36" t="s">
        <v>2365</v>
      </c>
      <c r="O58" s="36" t="s">
        <v>2455</v>
      </c>
      <c r="P58" s="36" t="s">
        <v>2456</v>
      </c>
      <c r="R58" s="36" t="s">
        <v>2389</v>
      </c>
      <c r="Z58" s="36">
        <v>57</v>
      </c>
    </row>
    <row r="59" spans="1:26" ht="409.5" x14ac:dyDescent="0.2">
      <c r="A59" s="36" t="s">
        <v>2443</v>
      </c>
      <c r="B59" s="36" t="s">
        <v>111</v>
      </c>
      <c r="C59" s="36" t="s">
        <v>273</v>
      </c>
      <c r="D59" s="36" t="s">
        <v>1455</v>
      </c>
      <c r="G59" s="36" t="s">
        <v>1440</v>
      </c>
      <c r="H59" s="36" t="s">
        <v>629</v>
      </c>
      <c r="I59" s="36" t="s">
        <v>642</v>
      </c>
      <c r="K59" s="36" t="s">
        <v>2457</v>
      </c>
      <c r="O59" s="36" t="s">
        <v>2458</v>
      </c>
      <c r="P59" s="36" t="s">
        <v>2459</v>
      </c>
      <c r="R59" s="36" t="s">
        <v>2389</v>
      </c>
      <c r="Z59" s="36">
        <v>58</v>
      </c>
    </row>
    <row r="60" spans="1:26" ht="114" x14ac:dyDescent="0.2">
      <c r="A60" s="36" t="s">
        <v>2443</v>
      </c>
      <c r="B60" s="36" t="s">
        <v>173</v>
      </c>
      <c r="C60" s="36" t="s">
        <v>377</v>
      </c>
      <c r="D60" s="36" t="s">
        <v>1441</v>
      </c>
      <c r="E60" s="36" t="s">
        <v>1601</v>
      </c>
      <c r="G60" s="36" t="s">
        <v>1440</v>
      </c>
      <c r="H60" s="36" t="s">
        <v>1442</v>
      </c>
      <c r="I60" s="36" t="s">
        <v>629</v>
      </c>
      <c r="K60" s="36" t="s">
        <v>2460</v>
      </c>
      <c r="N60" s="36" t="s">
        <v>2365</v>
      </c>
      <c r="O60" s="36" t="s">
        <v>2461</v>
      </c>
      <c r="P60" s="36" t="s">
        <v>2462</v>
      </c>
      <c r="R60" s="36" t="s">
        <v>2389</v>
      </c>
      <c r="Z60" s="36">
        <v>59</v>
      </c>
    </row>
    <row r="61" spans="1:26" ht="213.75" x14ac:dyDescent="0.2">
      <c r="A61" s="36" t="s">
        <v>2443</v>
      </c>
      <c r="B61" s="36" t="s">
        <v>463</v>
      </c>
      <c r="C61" s="36" t="s">
        <v>464</v>
      </c>
      <c r="D61" s="36" t="s">
        <v>1441</v>
      </c>
      <c r="E61" s="36" t="s">
        <v>1601</v>
      </c>
      <c r="G61" s="36" t="s">
        <v>1440</v>
      </c>
      <c r="H61" s="36" t="s">
        <v>1442</v>
      </c>
      <c r="I61" s="36" t="s">
        <v>629</v>
      </c>
      <c r="K61" s="36" t="s">
        <v>2463</v>
      </c>
      <c r="N61" s="36" t="s">
        <v>2365</v>
      </c>
      <c r="O61" s="36" t="s">
        <v>2464</v>
      </c>
      <c r="P61" s="36" t="s">
        <v>2465</v>
      </c>
      <c r="R61" s="36" t="s">
        <v>2389</v>
      </c>
      <c r="Z61" s="36">
        <v>60</v>
      </c>
    </row>
    <row r="62" spans="1:26" ht="99.75" x14ac:dyDescent="0.2">
      <c r="A62" s="36" t="s">
        <v>2443</v>
      </c>
      <c r="B62" s="36" t="s">
        <v>144</v>
      </c>
      <c r="C62" s="36" t="s">
        <v>302</v>
      </c>
      <c r="E62" s="36" t="s">
        <v>1525</v>
      </c>
      <c r="G62" s="36" t="s">
        <v>647</v>
      </c>
      <c r="J62" s="36" t="s">
        <v>2466</v>
      </c>
      <c r="N62" s="36" t="s">
        <v>2365</v>
      </c>
      <c r="O62" s="36" t="s">
        <v>1582</v>
      </c>
      <c r="R62" s="36" t="s">
        <v>2389</v>
      </c>
      <c r="Z62" s="36">
        <v>61</v>
      </c>
    </row>
    <row r="63" spans="1:26" ht="409.5" x14ac:dyDescent="0.2">
      <c r="A63" s="36" t="s">
        <v>2443</v>
      </c>
      <c r="B63" s="36" t="s">
        <v>179</v>
      </c>
      <c r="C63" s="36" t="s">
        <v>506</v>
      </c>
      <c r="E63" s="36" t="s">
        <v>1601</v>
      </c>
      <c r="F63" s="36" t="s">
        <v>2467</v>
      </c>
      <c r="G63" s="36" t="s">
        <v>1440</v>
      </c>
      <c r="H63" s="36" t="s">
        <v>2012</v>
      </c>
      <c r="I63" s="36" t="s">
        <v>2013</v>
      </c>
      <c r="K63" s="36" t="s">
        <v>2468</v>
      </c>
      <c r="N63" s="36" t="s">
        <v>2365</v>
      </c>
      <c r="O63" s="36" t="s">
        <v>2469</v>
      </c>
      <c r="P63" s="36" t="s">
        <v>2470</v>
      </c>
      <c r="R63" s="36" t="s">
        <v>2389</v>
      </c>
      <c r="Z63" s="36">
        <v>62</v>
      </c>
    </row>
    <row r="64" spans="1:26" ht="57" x14ac:dyDescent="0.2">
      <c r="A64" s="36" t="s">
        <v>2443</v>
      </c>
      <c r="B64" s="36" t="s">
        <v>495</v>
      </c>
      <c r="C64" s="36" t="s">
        <v>2471</v>
      </c>
      <c r="E64" s="36" t="s">
        <v>1525</v>
      </c>
      <c r="J64" s="36" t="s">
        <v>2472</v>
      </c>
      <c r="O64" s="36" t="s">
        <v>1582</v>
      </c>
      <c r="Z64" s="36">
        <v>63</v>
      </c>
    </row>
    <row r="65" spans="1:26" ht="71.25" x14ac:dyDescent="0.2">
      <c r="A65" s="36" t="s">
        <v>2443</v>
      </c>
      <c r="B65" s="36" t="s">
        <v>303</v>
      </c>
      <c r="C65" s="36" t="s">
        <v>304</v>
      </c>
      <c r="D65" s="36" t="s">
        <v>1589</v>
      </c>
      <c r="E65" s="36" t="s">
        <v>1525</v>
      </c>
      <c r="F65" s="36" t="s">
        <v>2473</v>
      </c>
      <c r="G65" s="36" t="s">
        <v>1588</v>
      </c>
      <c r="J65" s="36" t="s">
        <v>2474</v>
      </c>
      <c r="N65" s="36" t="s">
        <v>2365</v>
      </c>
      <c r="O65" s="36" t="s">
        <v>1582</v>
      </c>
      <c r="R65" s="36" t="s">
        <v>2389</v>
      </c>
      <c r="Z65" s="36">
        <v>64</v>
      </c>
    </row>
    <row r="66" spans="1:26" ht="156.75" x14ac:dyDescent="0.2">
      <c r="A66" s="36" t="s">
        <v>2443</v>
      </c>
      <c r="B66" s="36" t="s">
        <v>497</v>
      </c>
      <c r="C66" s="36" t="s">
        <v>498</v>
      </c>
      <c r="D66" s="36" t="s">
        <v>1441</v>
      </c>
      <c r="E66" s="36" t="s">
        <v>1601</v>
      </c>
      <c r="G66" s="36" t="s">
        <v>1440</v>
      </c>
      <c r="H66" s="36" t="s">
        <v>1442</v>
      </c>
      <c r="I66" s="36" t="s">
        <v>629</v>
      </c>
      <c r="K66" s="36" t="s">
        <v>2475</v>
      </c>
      <c r="N66" s="36" t="s">
        <v>2365</v>
      </c>
      <c r="O66" s="36" t="s">
        <v>2476</v>
      </c>
      <c r="P66" s="36" t="s">
        <v>2477</v>
      </c>
      <c r="Z66" s="36">
        <v>65</v>
      </c>
    </row>
    <row r="67" spans="1:26" ht="409.5" x14ac:dyDescent="0.2">
      <c r="A67" s="36" t="s">
        <v>2443</v>
      </c>
      <c r="B67" s="36" t="s">
        <v>310</v>
      </c>
      <c r="C67" s="36" t="s">
        <v>311</v>
      </c>
      <c r="E67" s="36" t="s">
        <v>1601</v>
      </c>
      <c r="G67" s="36" t="s">
        <v>647</v>
      </c>
      <c r="K67" s="36" t="s">
        <v>2478</v>
      </c>
      <c r="O67" s="36" t="s">
        <v>2479</v>
      </c>
      <c r="P67" s="36" t="s">
        <v>2480</v>
      </c>
      <c r="R67" s="36" t="s">
        <v>2389</v>
      </c>
      <c r="Z67" s="36">
        <v>66</v>
      </c>
    </row>
    <row r="68" spans="1:26" ht="409.5" x14ac:dyDescent="0.2">
      <c r="A68" s="36" t="s">
        <v>2443</v>
      </c>
      <c r="B68" s="36" t="s">
        <v>508</v>
      </c>
      <c r="C68" s="36" t="s">
        <v>509</v>
      </c>
      <c r="E68" s="36" t="s">
        <v>1601</v>
      </c>
      <c r="G68" s="36" t="s">
        <v>675</v>
      </c>
      <c r="K68" s="36" t="s">
        <v>2481</v>
      </c>
      <c r="O68" s="36" t="s">
        <v>2482</v>
      </c>
      <c r="P68" s="36" t="s">
        <v>2483</v>
      </c>
      <c r="R68" s="36" t="s">
        <v>2389</v>
      </c>
      <c r="Z68" s="36">
        <v>67</v>
      </c>
    </row>
    <row r="69" spans="1:26" ht="42.75" x14ac:dyDescent="0.2">
      <c r="A69" s="36" t="s">
        <v>2443</v>
      </c>
      <c r="B69" s="36" t="s">
        <v>493</v>
      </c>
      <c r="C69" s="36" t="s">
        <v>494</v>
      </c>
      <c r="E69" s="36" t="s">
        <v>1525</v>
      </c>
      <c r="J69" s="36" t="s">
        <v>2484</v>
      </c>
      <c r="K69" s="36" t="s">
        <v>1525</v>
      </c>
      <c r="O69" s="36" t="s">
        <v>1582</v>
      </c>
      <c r="Z69" s="36">
        <v>68</v>
      </c>
    </row>
    <row r="70" spans="1:26" ht="42.75" x14ac:dyDescent="0.2">
      <c r="A70" s="36" t="s">
        <v>2443</v>
      </c>
      <c r="B70" s="36" t="s">
        <v>355</v>
      </c>
      <c r="C70" s="36" t="s">
        <v>356</v>
      </c>
      <c r="E70" s="36" t="s">
        <v>1525</v>
      </c>
      <c r="G70" s="36" t="s">
        <v>1588</v>
      </c>
      <c r="J70" s="36" t="s">
        <v>2485</v>
      </c>
      <c r="K70" s="36" t="s">
        <v>1525</v>
      </c>
      <c r="O70" s="36" t="s">
        <v>1582</v>
      </c>
      <c r="Z70" s="36">
        <v>69</v>
      </c>
    </row>
    <row r="71" spans="1:26" ht="42.75" x14ac:dyDescent="0.2">
      <c r="A71" s="36" t="s">
        <v>2443</v>
      </c>
      <c r="B71" s="36" t="s">
        <v>351</v>
      </c>
      <c r="C71" s="36" t="s">
        <v>352</v>
      </c>
      <c r="E71" s="36" t="s">
        <v>1525</v>
      </c>
      <c r="J71" s="36" t="s">
        <v>2486</v>
      </c>
      <c r="K71" s="36" t="s">
        <v>1525</v>
      </c>
      <c r="O71" s="36" t="s">
        <v>1582</v>
      </c>
      <c r="Z71" s="36">
        <v>70</v>
      </c>
    </row>
    <row r="72" spans="1:26" ht="285" x14ac:dyDescent="0.2">
      <c r="A72" s="36" t="s">
        <v>2443</v>
      </c>
      <c r="B72" s="36" t="s">
        <v>148</v>
      </c>
      <c r="C72" s="36" t="s">
        <v>307</v>
      </c>
      <c r="E72" s="36" t="s">
        <v>1601</v>
      </c>
      <c r="G72" s="36" t="s">
        <v>647</v>
      </c>
      <c r="K72" s="36" t="s">
        <v>2487</v>
      </c>
      <c r="N72" s="36" t="s">
        <v>2365</v>
      </c>
      <c r="O72" s="36" t="s">
        <v>2488</v>
      </c>
      <c r="P72" s="36" t="s">
        <v>2489</v>
      </c>
      <c r="R72" s="36" t="s">
        <v>2389</v>
      </c>
      <c r="Z72" s="36">
        <v>71</v>
      </c>
    </row>
    <row r="73" spans="1:26" ht="285" x14ac:dyDescent="0.2">
      <c r="A73" s="36" t="s">
        <v>2443</v>
      </c>
      <c r="B73" s="36" t="s">
        <v>180</v>
      </c>
      <c r="C73" s="36" t="s">
        <v>507</v>
      </c>
      <c r="E73" s="36" t="s">
        <v>1601</v>
      </c>
      <c r="G73" s="36" t="s">
        <v>675</v>
      </c>
      <c r="K73" s="36" t="s">
        <v>2490</v>
      </c>
      <c r="N73" s="36" t="s">
        <v>2365</v>
      </c>
      <c r="O73" s="36" t="s">
        <v>2491</v>
      </c>
      <c r="P73" s="36" t="s">
        <v>2492</v>
      </c>
      <c r="R73" s="36" t="s">
        <v>2389</v>
      </c>
      <c r="Z73" s="36">
        <v>72</v>
      </c>
    </row>
    <row r="74" spans="1:26" ht="71.25" x14ac:dyDescent="0.2">
      <c r="A74" s="36" t="s">
        <v>2443</v>
      </c>
      <c r="B74" s="36" t="s">
        <v>353</v>
      </c>
      <c r="C74" s="36" t="s">
        <v>354</v>
      </c>
      <c r="E74" s="36" t="s">
        <v>1525</v>
      </c>
      <c r="G74" s="36" t="s">
        <v>1588</v>
      </c>
      <c r="J74" s="36" t="s">
        <v>2493</v>
      </c>
      <c r="K74" s="36" t="s">
        <v>1525</v>
      </c>
      <c r="O74" s="36" t="s">
        <v>1582</v>
      </c>
      <c r="Z74" s="36">
        <v>73</v>
      </c>
    </row>
    <row r="75" spans="1:26" ht="71.25" x14ac:dyDescent="0.2">
      <c r="A75" s="36" t="s">
        <v>2443</v>
      </c>
      <c r="B75" s="36" t="s">
        <v>328</v>
      </c>
      <c r="C75" s="36" t="s">
        <v>329</v>
      </c>
      <c r="D75" s="36" t="s">
        <v>1589</v>
      </c>
      <c r="E75" s="36" t="s">
        <v>1525</v>
      </c>
      <c r="G75" s="36" t="s">
        <v>1588</v>
      </c>
      <c r="J75" s="36" t="s">
        <v>2494</v>
      </c>
      <c r="K75" s="36" t="s">
        <v>1525</v>
      </c>
      <c r="N75" s="36" t="s">
        <v>2365</v>
      </c>
      <c r="O75" s="36" t="s">
        <v>1582</v>
      </c>
      <c r="R75" s="36" t="s">
        <v>2389</v>
      </c>
      <c r="Z75" s="36">
        <v>74</v>
      </c>
    </row>
    <row r="76" spans="1:26" ht="142.5" x14ac:dyDescent="0.2">
      <c r="A76" s="36" t="s">
        <v>2443</v>
      </c>
      <c r="B76" s="36" t="s">
        <v>384</v>
      </c>
      <c r="C76" s="36" t="s">
        <v>385</v>
      </c>
      <c r="D76" s="36" t="s">
        <v>1441</v>
      </c>
      <c r="E76" s="36" t="s">
        <v>1525</v>
      </c>
      <c r="G76" s="36" t="s">
        <v>1440</v>
      </c>
      <c r="H76" s="36" t="s">
        <v>1442</v>
      </c>
      <c r="I76" s="36" t="s">
        <v>629</v>
      </c>
      <c r="J76" s="36" t="s">
        <v>2495</v>
      </c>
      <c r="K76" s="36" t="s">
        <v>1525</v>
      </c>
      <c r="N76" s="36" t="s">
        <v>2365</v>
      </c>
      <c r="O76" s="36" t="s">
        <v>1582</v>
      </c>
      <c r="R76" s="36" t="s">
        <v>2389</v>
      </c>
      <c r="Z76" s="36">
        <v>75</v>
      </c>
    </row>
    <row r="77" spans="1:26" ht="409.5" x14ac:dyDescent="0.2">
      <c r="A77" s="36" t="s">
        <v>2443</v>
      </c>
      <c r="B77" s="36" t="s">
        <v>123</v>
      </c>
      <c r="C77" s="36" t="s">
        <v>450</v>
      </c>
      <c r="D77" s="36" t="s">
        <v>1903</v>
      </c>
      <c r="E77" s="36" t="s">
        <v>1445</v>
      </c>
      <c r="G77" s="36" t="s">
        <v>1440</v>
      </c>
      <c r="H77" s="36" t="s">
        <v>629</v>
      </c>
      <c r="I77" s="36" t="s">
        <v>687</v>
      </c>
      <c r="K77" s="36" t="s">
        <v>2496</v>
      </c>
      <c r="O77" s="36" t="s">
        <v>2497</v>
      </c>
      <c r="P77" s="36" t="s">
        <v>2498</v>
      </c>
      <c r="Z77" s="36">
        <v>76</v>
      </c>
    </row>
    <row r="78" spans="1:26" ht="256.5" x14ac:dyDescent="0.2">
      <c r="A78" s="36" t="s">
        <v>2443</v>
      </c>
      <c r="B78" s="36" t="s">
        <v>461</v>
      </c>
      <c r="C78" s="36" t="s">
        <v>462</v>
      </c>
      <c r="D78" s="36" t="s">
        <v>877</v>
      </c>
      <c r="E78" s="36" t="s">
        <v>1445</v>
      </c>
      <c r="G78" s="36" t="s">
        <v>1440</v>
      </c>
      <c r="H78" s="36" t="s">
        <v>629</v>
      </c>
      <c r="I78" s="36" t="s">
        <v>642</v>
      </c>
      <c r="K78" s="36" t="s">
        <v>2383</v>
      </c>
      <c r="O78" s="36" t="s">
        <v>2499</v>
      </c>
      <c r="P78" s="36" t="s">
        <v>873</v>
      </c>
      <c r="Z78" s="36">
        <v>77</v>
      </c>
    </row>
    <row r="79" spans="1:26" ht="85.5" x14ac:dyDescent="0.2">
      <c r="A79" s="36" t="s">
        <v>2443</v>
      </c>
      <c r="B79" s="36" t="s">
        <v>467</v>
      </c>
      <c r="C79" s="36" t="s">
        <v>468</v>
      </c>
      <c r="D79" s="36" t="s">
        <v>1441</v>
      </c>
      <c r="E79" s="36" t="s">
        <v>1445</v>
      </c>
      <c r="G79" s="36" t="s">
        <v>1440</v>
      </c>
      <c r="H79" s="36" t="s">
        <v>1442</v>
      </c>
      <c r="I79" s="36" t="s">
        <v>629</v>
      </c>
      <c r="K79" s="36" t="s">
        <v>2383</v>
      </c>
      <c r="O79" s="36" t="s">
        <v>2500</v>
      </c>
      <c r="P79" s="36" t="s">
        <v>883</v>
      </c>
      <c r="Z79" s="36">
        <v>78</v>
      </c>
    </row>
    <row r="80" spans="1:26" ht="409.5" x14ac:dyDescent="0.2">
      <c r="A80" s="36" t="s">
        <v>2443</v>
      </c>
      <c r="B80" s="36" t="s">
        <v>537</v>
      </c>
      <c r="C80" s="36" t="s">
        <v>538</v>
      </c>
      <c r="D80" s="36" t="s">
        <v>1463</v>
      </c>
      <c r="E80" s="36" t="s">
        <v>1445</v>
      </c>
      <c r="G80" s="36" t="s">
        <v>1440</v>
      </c>
      <c r="H80" s="36" t="s">
        <v>1442</v>
      </c>
      <c r="I80" s="36" t="s">
        <v>629</v>
      </c>
      <c r="K80" s="36" t="s">
        <v>2383</v>
      </c>
      <c r="O80" s="36" t="s">
        <v>2501</v>
      </c>
      <c r="P80" s="36" t="s">
        <v>2502</v>
      </c>
      <c r="Z80" s="36">
        <v>79</v>
      </c>
    </row>
    <row r="81" spans="1:26" ht="409.5" x14ac:dyDescent="0.2">
      <c r="A81" s="36" t="s">
        <v>2443</v>
      </c>
      <c r="B81" s="36" t="s">
        <v>394</v>
      </c>
      <c r="C81" s="36" t="s">
        <v>395</v>
      </c>
      <c r="D81" s="36" t="s">
        <v>1816</v>
      </c>
      <c r="E81" s="36" t="s">
        <v>1445</v>
      </c>
      <c r="F81" s="36" t="s">
        <v>2503</v>
      </c>
      <c r="G81" s="36" t="s">
        <v>1440</v>
      </c>
      <c r="H81" s="36" t="s">
        <v>629</v>
      </c>
      <c r="I81" s="36" t="s">
        <v>674</v>
      </c>
      <c r="K81" s="36" t="s">
        <v>2383</v>
      </c>
      <c r="P81" s="36" t="s">
        <v>1814</v>
      </c>
      <c r="Z81" s="36">
        <v>80</v>
      </c>
    </row>
    <row r="82" spans="1:26" ht="242.25" x14ac:dyDescent="0.2">
      <c r="A82" s="36" t="s">
        <v>2443</v>
      </c>
      <c r="B82" s="36" t="s">
        <v>390</v>
      </c>
      <c r="C82" s="36" t="s">
        <v>391</v>
      </c>
      <c r="D82" s="36" t="s">
        <v>1441</v>
      </c>
      <c r="E82" s="36" t="s">
        <v>1445</v>
      </c>
      <c r="F82" s="36" t="s">
        <v>2504</v>
      </c>
      <c r="G82" s="36" t="s">
        <v>1440</v>
      </c>
      <c r="H82" s="36" t="s">
        <v>1442</v>
      </c>
      <c r="I82" s="36" t="s">
        <v>629</v>
      </c>
      <c r="K82" s="36" t="s">
        <v>2505</v>
      </c>
      <c r="O82" s="36" t="s">
        <v>2506</v>
      </c>
      <c r="P82" s="36" t="s">
        <v>902</v>
      </c>
      <c r="Z82" s="36">
        <v>81</v>
      </c>
    </row>
    <row r="83" spans="1:26" ht="142.5" x14ac:dyDescent="0.2">
      <c r="A83" s="36" t="s">
        <v>2443</v>
      </c>
      <c r="B83" s="36" t="s">
        <v>392</v>
      </c>
      <c r="C83" s="36" t="s">
        <v>393</v>
      </c>
      <c r="D83" s="36" t="s">
        <v>1441</v>
      </c>
      <c r="E83" s="36" t="s">
        <v>1445</v>
      </c>
      <c r="F83" s="36" t="s">
        <v>2504</v>
      </c>
      <c r="G83" s="36" t="s">
        <v>1440</v>
      </c>
      <c r="H83" s="36" t="s">
        <v>1442</v>
      </c>
      <c r="I83" s="36" t="s">
        <v>629</v>
      </c>
      <c r="K83" s="36" t="s">
        <v>2507</v>
      </c>
      <c r="O83" s="36" t="s">
        <v>2508</v>
      </c>
      <c r="P83" s="36" t="s">
        <v>2509</v>
      </c>
      <c r="Z83" s="36">
        <v>82</v>
      </c>
    </row>
    <row r="84" spans="1:26" ht="409.5" x14ac:dyDescent="0.2">
      <c r="A84" s="36" t="s">
        <v>2443</v>
      </c>
      <c r="B84" s="36" t="s">
        <v>396</v>
      </c>
      <c r="C84" s="36" t="s">
        <v>397</v>
      </c>
      <c r="D84" s="36" t="s">
        <v>1441</v>
      </c>
      <c r="E84" s="36" t="s">
        <v>1445</v>
      </c>
      <c r="F84" s="36" t="s">
        <v>2504</v>
      </c>
      <c r="G84" s="36" t="s">
        <v>1440</v>
      </c>
      <c r="H84" s="36" t="s">
        <v>1442</v>
      </c>
      <c r="I84" s="36" t="s">
        <v>629</v>
      </c>
      <c r="K84" s="36" t="s">
        <v>2383</v>
      </c>
      <c r="O84" s="36" t="s">
        <v>2510</v>
      </c>
      <c r="P84" s="36" t="s">
        <v>2511</v>
      </c>
      <c r="Z84" s="36">
        <v>83</v>
      </c>
    </row>
    <row r="85" spans="1:26" ht="409.5" x14ac:dyDescent="0.2">
      <c r="A85" s="36" t="s">
        <v>2443</v>
      </c>
      <c r="B85" s="36" t="s">
        <v>398</v>
      </c>
      <c r="C85" s="36" t="s">
        <v>399</v>
      </c>
      <c r="D85" s="36" t="s">
        <v>2512</v>
      </c>
      <c r="E85" s="36" t="s">
        <v>1445</v>
      </c>
      <c r="F85" s="36" t="s">
        <v>2504</v>
      </c>
      <c r="G85" s="36" t="s">
        <v>1440</v>
      </c>
      <c r="H85" s="36" t="s">
        <v>629</v>
      </c>
      <c r="I85" s="36" t="s">
        <v>663</v>
      </c>
      <c r="K85" s="36" t="s">
        <v>2383</v>
      </c>
      <c r="N85" s="36" t="s">
        <v>2365</v>
      </c>
      <c r="O85" s="36" t="s">
        <v>2513</v>
      </c>
      <c r="P85" s="36" t="s">
        <v>917</v>
      </c>
      <c r="Z85" s="36">
        <v>84</v>
      </c>
    </row>
    <row r="86" spans="1:26" ht="409.5" x14ac:dyDescent="0.2">
      <c r="A86" s="36" t="s">
        <v>2443</v>
      </c>
      <c r="B86" s="36" t="s">
        <v>402</v>
      </c>
      <c r="C86" s="36" t="s">
        <v>395</v>
      </c>
      <c r="D86" s="36" t="s">
        <v>1830</v>
      </c>
      <c r="E86" s="36" t="s">
        <v>1445</v>
      </c>
      <c r="F86" s="36" t="s">
        <v>2503</v>
      </c>
      <c r="G86" s="36" t="s">
        <v>1440</v>
      </c>
      <c r="H86" s="36" t="s">
        <v>629</v>
      </c>
      <c r="I86" s="36" t="s">
        <v>674</v>
      </c>
      <c r="P86" s="36" t="s">
        <v>1814</v>
      </c>
      <c r="Z86" s="36">
        <v>85</v>
      </c>
    </row>
    <row r="87" spans="1:26" ht="242.25" x14ac:dyDescent="0.2">
      <c r="A87" s="36" t="s">
        <v>2443</v>
      </c>
      <c r="B87" s="36" t="s">
        <v>400</v>
      </c>
      <c r="C87" s="36" t="s">
        <v>391</v>
      </c>
      <c r="D87" s="36" t="s">
        <v>1441</v>
      </c>
      <c r="E87" s="36" t="s">
        <v>1445</v>
      </c>
      <c r="F87" s="36" t="s">
        <v>2504</v>
      </c>
      <c r="G87" s="36" t="s">
        <v>1440</v>
      </c>
      <c r="H87" s="36" t="s">
        <v>1442</v>
      </c>
      <c r="I87" s="36" t="s">
        <v>629</v>
      </c>
      <c r="K87" s="36" t="s">
        <v>2514</v>
      </c>
      <c r="O87" s="36" t="s">
        <v>2506</v>
      </c>
      <c r="P87" s="36" t="s">
        <v>902</v>
      </c>
      <c r="Z87" s="36">
        <v>86</v>
      </c>
    </row>
    <row r="88" spans="1:26" ht="142.5" x14ac:dyDescent="0.2">
      <c r="A88" s="36" t="s">
        <v>2443</v>
      </c>
      <c r="B88" s="36" t="s">
        <v>401</v>
      </c>
      <c r="C88" s="36" t="s">
        <v>393</v>
      </c>
      <c r="D88" s="36" t="s">
        <v>1441</v>
      </c>
      <c r="E88" s="36" t="s">
        <v>1445</v>
      </c>
      <c r="F88" s="36" t="s">
        <v>2504</v>
      </c>
      <c r="G88" s="36" t="s">
        <v>1440</v>
      </c>
      <c r="H88" s="36" t="s">
        <v>1442</v>
      </c>
      <c r="I88" s="36" t="s">
        <v>629</v>
      </c>
      <c r="K88" s="36" t="s">
        <v>2515</v>
      </c>
      <c r="O88" s="36" t="s">
        <v>2508</v>
      </c>
      <c r="P88" s="36" t="s">
        <v>2509</v>
      </c>
      <c r="Z88" s="36">
        <v>87</v>
      </c>
    </row>
    <row r="89" spans="1:26" ht="409.5" x14ac:dyDescent="0.2">
      <c r="A89" s="36" t="s">
        <v>2443</v>
      </c>
      <c r="B89" s="36" t="s">
        <v>403</v>
      </c>
      <c r="C89" s="36" t="s">
        <v>397</v>
      </c>
      <c r="D89" s="36" t="s">
        <v>1441</v>
      </c>
      <c r="E89" s="36" t="s">
        <v>1445</v>
      </c>
      <c r="F89" s="36" t="s">
        <v>2504</v>
      </c>
      <c r="G89" s="36" t="s">
        <v>1440</v>
      </c>
      <c r="H89" s="36" t="s">
        <v>1442</v>
      </c>
      <c r="I89" s="36" t="s">
        <v>629</v>
      </c>
      <c r="K89" s="36" t="s">
        <v>2516</v>
      </c>
      <c r="O89" s="36" t="s">
        <v>2510</v>
      </c>
      <c r="P89" s="36" t="s">
        <v>2511</v>
      </c>
      <c r="Z89" s="36">
        <v>88</v>
      </c>
    </row>
    <row r="90" spans="1:26" ht="409.5" x14ac:dyDescent="0.2">
      <c r="A90" s="36" t="s">
        <v>2443</v>
      </c>
      <c r="B90" s="36" t="s">
        <v>404</v>
      </c>
      <c r="C90" s="36" t="s">
        <v>399</v>
      </c>
      <c r="D90" s="36" t="s">
        <v>2512</v>
      </c>
      <c r="E90" s="36" t="s">
        <v>1445</v>
      </c>
      <c r="F90" s="36" t="s">
        <v>2504</v>
      </c>
      <c r="G90" s="36" t="s">
        <v>1440</v>
      </c>
      <c r="H90" s="36" t="s">
        <v>629</v>
      </c>
      <c r="I90" s="36" t="s">
        <v>663</v>
      </c>
      <c r="K90" s="36" t="s">
        <v>2516</v>
      </c>
      <c r="N90" s="36" t="s">
        <v>2365</v>
      </c>
      <c r="O90" s="36" t="s">
        <v>2513</v>
      </c>
      <c r="P90" s="36" t="s">
        <v>917</v>
      </c>
      <c r="Z90" s="36">
        <v>89</v>
      </c>
    </row>
    <row r="91" spans="1:26" ht="409.5" x14ac:dyDescent="0.2">
      <c r="A91" s="36" t="s">
        <v>2443</v>
      </c>
      <c r="B91" s="36" t="s">
        <v>407</v>
      </c>
      <c r="C91" s="36" t="s">
        <v>395</v>
      </c>
      <c r="D91" s="36" t="s">
        <v>1830</v>
      </c>
      <c r="E91" s="36" t="s">
        <v>1445</v>
      </c>
      <c r="F91" s="36" t="s">
        <v>2503</v>
      </c>
      <c r="G91" s="36" t="s">
        <v>1440</v>
      </c>
      <c r="H91" s="36" t="s">
        <v>629</v>
      </c>
      <c r="I91" s="36" t="s">
        <v>674</v>
      </c>
      <c r="P91" s="36" t="s">
        <v>1814</v>
      </c>
      <c r="Z91" s="36">
        <v>90</v>
      </c>
    </row>
    <row r="92" spans="1:26" ht="242.25" x14ac:dyDescent="0.2">
      <c r="A92" s="36" t="s">
        <v>2443</v>
      </c>
      <c r="B92" s="36" t="s">
        <v>405</v>
      </c>
      <c r="C92" s="36" t="s">
        <v>391</v>
      </c>
      <c r="D92" s="36" t="s">
        <v>1441</v>
      </c>
      <c r="E92" s="36" t="s">
        <v>1445</v>
      </c>
      <c r="F92" s="36" t="s">
        <v>2504</v>
      </c>
      <c r="G92" s="36" t="s">
        <v>1440</v>
      </c>
      <c r="H92" s="36" t="s">
        <v>1442</v>
      </c>
      <c r="I92" s="36" t="s">
        <v>629</v>
      </c>
      <c r="K92" s="36" t="s">
        <v>2517</v>
      </c>
      <c r="O92" s="36" t="s">
        <v>2506</v>
      </c>
      <c r="P92" s="36" t="s">
        <v>902</v>
      </c>
      <c r="Z92" s="36">
        <v>91</v>
      </c>
    </row>
    <row r="93" spans="1:26" ht="142.5" x14ac:dyDescent="0.2">
      <c r="A93" s="36" t="s">
        <v>2443</v>
      </c>
      <c r="B93" s="36" t="s">
        <v>406</v>
      </c>
      <c r="C93" s="36" t="s">
        <v>393</v>
      </c>
      <c r="D93" s="36" t="s">
        <v>1441</v>
      </c>
      <c r="E93" s="36" t="s">
        <v>1445</v>
      </c>
      <c r="F93" s="36" t="s">
        <v>2504</v>
      </c>
      <c r="G93" s="36" t="s">
        <v>1440</v>
      </c>
      <c r="H93" s="36" t="s">
        <v>1442</v>
      </c>
      <c r="I93" s="36" t="s">
        <v>629</v>
      </c>
      <c r="K93" s="36" t="s">
        <v>2518</v>
      </c>
      <c r="O93" s="36" t="s">
        <v>2508</v>
      </c>
      <c r="P93" s="36" t="s">
        <v>2509</v>
      </c>
      <c r="Z93" s="36">
        <v>92</v>
      </c>
    </row>
    <row r="94" spans="1:26" ht="409.5" x14ac:dyDescent="0.2">
      <c r="A94" s="36" t="s">
        <v>2443</v>
      </c>
      <c r="B94" s="36" t="s">
        <v>408</v>
      </c>
      <c r="C94" s="36" t="s">
        <v>397</v>
      </c>
      <c r="D94" s="36" t="s">
        <v>1441</v>
      </c>
      <c r="E94" s="36" t="s">
        <v>1445</v>
      </c>
      <c r="F94" s="36" t="s">
        <v>2504</v>
      </c>
      <c r="G94" s="36" t="s">
        <v>1440</v>
      </c>
      <c r="H94" s="36" t="s">
        <v>1442</v>
      </c>
      <c r="I94" s="36" t="s">
        <v>629</v>
      </c>
      <c r="K94" s="36" t="s">
        <v>2519</v>
      </c>
      <c r="O94" s="36" t="s">
        <v>2510</v>
      </c>
      <c r="P94" s="36" t="s">
        <v>2511</v>
      </c>
      <c r="Z94" s="36">
        <v>93</v>
      </c>
    </row>
    <row r="95" spans="1:26" ht="409.5" x14ac:dyDescent="0.2">
      <c r="A95" s="36" t="s">
        <v>2443</v>
      </c>
      <c r="B95" s="36" t="s">
        <v>409</v>
      </c>
      <c r="C95" s="36" t="s">
        <v>399</v>
      </c>
      <c r="D95" s="36" t="s">
        <v>2512</v>
      </c>
      <c r="E95" s="36" t="s">
        <v>1445</v>
      </c>
      <c r="F95" s="36" t="s">
        <v>2504</v>
      </c>
      <c r="G95" s="36" t="s">
        <v>1440</v>
      </c>
      <c r="H95" s="36" t="s">
        <v>629</v>
      </c>
      <c r="I95" s="36" t="s">
        <v>663</v>
      </c>
      <c r="K95" s="36" t="s">
        <v>2519</v>
      </c>
      <c r="N95" s="36" t="s">
        <v>2365</v>
      </c>
      <c r="O95" s="36" t="s">
        <v>2513</v>
      </c>
      <c r="P95" s="36" t="s">
        <v>917</v>
      </c>
      <c r="Z95" s="36">
        <v>94</v>
      </c>
    </row>
    <row r="96" spans="1:26" ht="409.5" x14ac:dyDescent="0.2">
      <c r="A96" s="36" t="s">
        <v>2443</v>
      </c>
      <c r="B96" s="36" t="s">
        <v>412</v>
      </c>
      <c r="C96" s="36" t="s">
        <v>395</v>
      </c>
      <c r="D96" s="36" t="s">
        <v>1830</v>
      </c>
      <c r="E96" s="36" t="s">
        <v>1445</v>
      </c>
      <c r="F96" s="36" t="s">
        <v>2503</v>
      </c>
      <c r="G96" s="36" t="s">
        <v>1440</v>
      </c>
      <c r="H96" s="36" t="s">
        <v>629</v>
      </c>
      <c r="I96" s="36" t="s">
        <v>674</v>
      </c>
      <c r="P96" s="36" t="s">
        <v>1814</v>
      </c>
      <c r="Z96" s="36">
        <v>95</v>
      </c>
    </row>
    <row r="97" spans="1:26" ht="242.25" x14ac:dyDescent="0.2">
      <c r="A97" s="36" t="s">
        <v>2443</v>
      </c>
      <c r="B97" s="36" t="s">
        <v>410</v>
      </c>
      <c r="C97" s="36" t="s">
        <v>391</v>
      </c>
      <c r="D97" s="36" t="s">
        <v>1441</v>
      </c>
      <c r="E97" s="36" t="s">
        <v>1445</v>
      </c>
      <c r="F97" s="36" t="s">
        <v>2504</v>
      </c>
      <c r="G97" s="36" t="s">
        <v>1440</v>
      </c>
      <c r="H97" s="36" t="s">
        <v>1442</v>
      </c>
      <c r="I97" s="36" t="s">
        <v>629</v>
      </c>
      <c r="K97" s="36" t="s">
        <v>2520</v>
      </c>
      <c r="O97" s="36" t="s">
        <v>2506</v>
      </c>
      <c r="P97" s="36" t="s">
        <v>902</v>
      </c>
      <c r="Z97" s="36">
        <v>96</v>
      </c>
    </row>
    <row r="98" spans="1:26" ht="142.5" x14ac:dyDescent="0.2">
      <c r="A98" s="36" t="s">
        <v>2443</v>
      </c>
      <c r="B98" s="36" t="s">
        <v>411</v>
      </c>
      <c r="C98" s="36" t="s">
        <v>393</v>
      </c>
      <c r="D98" s="36" t="s">
        <v>1441</v>
      </c>
      <c r="E98" s="36" t="s">
        <v>1445</v>
      </c>
      <c r="F98" s="36" t="s">
        <v>2504</v>
      </c>
      <c r="G98" s="36" t="s">
        <v>1440</v>
      </c>
      <c r="H98" s="36" t="s">
        <v>1442</v>
      </c>
      <c r="I98" s="36" t="s">
        <v>629</v>
      </c>
      <c r="K98" s="36" t="s">
        <v>2521</v>
      </c>
      <c r="O98" s="36" t="s">
        <v>2508</v>
      </c>
      <c r="P98" s="36" t="s">
        <v>2509</v>
      </c>
      <c r="Z98" s="36">
        <v>97</v>
      </c>
    </row>
    <row r="99" spans="1:26" ht="409.5" x14ac:dyDescent="0.2">
      <c r="A99" s="36" t="s">
        <v>2443</v>
      </c>
      <c r="B99" s="36" t="s">
        <v>413</v>
      </c>
      <c r="C99" s="36" t="s">
        <v>397</v>
      </c>
      <c r="D99" s="36" t="s">
        <v>1441</v>
      </c>
      <c r="E99" s="36" t="s">
        <v>1445</v>
      </c>
      <c r="F99" s="36" t="s">
        <v>2504</v>
      </c>
      <c r="G99" s="36" t="s">
        <v>1440</v>
      </c>
      <c r="H99" s="36" t="s">
        <v>1442</v>
      </c>
      <c r="I99" s="36" t="s">
        <v>629</v>
      </c>
      <c r="K99" s="36" t="s">
        <v>2522</v>
      </c>
      <c r="O99" s="36" t="s">
        <v>2510</v>
      </c>
      <c r="P99" s="36" t="s">
        <v>2511</v>
      </c>
      <c r="Z99" s="36">
        <v>98</v>
      </c>
    </row>
    <row r="100" spans="1:26" ht="409.5" x14ac:dyDescent="0.2">
      <c r="A100" s="36" t="s">
        <v>2443</v>
      </c>
      <c r="B100" s="36" t="s">
        <v>414</v>
      </c>
      <c r="C100" s="36" t="s">
        <v>399</v>
      </c>
      <c r="D100" s="36" t="s">
        <v>2512</v>
      </c>
      <c r="E100" s="36" t="s">
        <v>1445</v>
      </c>
      <c r="F100" s="36" t="s">
        <v>2504</v>
      </c>
      <c r="G100" s="36" t="s">
        <v>1440</v>
      </c>
      <c r="H100" s="36" t="s">
        <v>629</v>
      </c>
      <c r="I100" s="36" t="s">
        <v>663</v>
      </c>
      <c r="K100" s="36" t="s">
        <v>2522</v>
      </c>
      <c r="N100" s="36" t="s">
        <v>2365</v>
      </c>
      <c r="O100" s="36" t="s">
        <v>2513</v>
      </c>
      <c r="P100" s="36" t="s">
        <v>917</v>
      </c>
      <c r="Z100" s="36">
        <v>99</v>
      </c>
    </row>
    <row r="101" spans="1:26" ht="409.5" x14ac:dyDescent="0.2">
      <c r="A101" s="36" t="s">
        <v>2443</v>
      </c>
      <c r="B101" s="36" t="s">
        <v>417</v>
      </c>
      <c r="C101" s="36" t="s">
        <v>395</v>
      </c>
      <c r="D101" s="36" t="s">
        <v>1830</v>
      </c>
      <c r="E101" s="36" t="s">
        <v>1445</v>
      </c>
      <c r="F101" s="36" t="s">
        <v>2503</v>
      </c>
      <c r="G101" s="36" t="s">
        <v>1440</v>
      </c>
      <c r="H101" s="36" t="s">
        <v>629</v>
      </c>
      <c r="I101" s="36" t="s">
        <v>674</v>
      </c>
      <c r="P101" s="36" t="s">
        <v>1814</v>
      </c>
      <c r="Z101" s="36">
        <v>100</v>
      </c>
    </row>
    <row r="102" spans="1:26" ht="242.25" x14ac:dyDescent="0.2">
      <c r="A102" s="36" t="s">
        <v>2443</v>
      </c>
      <c r="B102" s="36" t="s">
        <v>415</v>
      </c>
      <c r="C102" s="36" t="s">
        <v>391</v>
      </c>
      <c r="D102" s="36" t="s">
        <v>1441</v>
      </c>
      <c r="E102" s="36" t="s">
        <v>1445</v>
      </c>
      <c r="F102" s="36" t="s">
        <v>2504</v>
      </c>
      <c r="G102" s="36" t="s">
        <v>1440</v>
      </c>
      <c r="H102" s="36" t="s">
        <v>1442</v>
      </c>
      <c r="I102" s="36" t="s">
        <v>629</v>
      </c>
      <c r="K102" s="36" t="s">
        <v>2523</v>
      </c>
      <c r="O102" s="36" t="s">
        <v>2506</v>
      </c>
      <c r="P102" s="36" t="s">
        <v>902</v>
      </c>
      <c r="Z102" s="36">
        <v>101</v>
      </c>
    </row>
    <row r="103" spans="1:26" ht="142.5" x14ac:dyDescent="0.2">
      <c r="A103" s="36" t="s">
        <v>2443</v>
      </c>
      <c r="B103" s="36" t="s">
        <v>416</v>
      </c>
      <c r="C103" s="36" t="s">
        <v>393</v>
      </c>
      <c r="D103" s="36" t="s">
        <v>1441</v>
      </c>
      <c r="E103" s="36" t="s">
        <v>1445</v>
      </c>
      <c r="F103" s="36" t="s">
        <v>2504</v>
      </c>
      <c r="G103" s="36" t="s">
        <v>1440</v>
      </c>
      <c r="H103" s="36" t="s">
        <v>1442</v>
      </c>
      <c r="I103" s="36" t="s">
        <v>629</v>
      </c>
      <c r="K103" s="36" t="s">
        <v>2524</v>
      </c>
      <c r="O103" s="36" t="s">
        <v>2508</v>
      </c>
      <c r="P103" s="36" t="s">
        <v>2509</v>
      </c>
      <c r="Z103" s="36">
        <v>102</v>
      </c>
    </row>
    <row r="104" spans="1:26" ht="409.5" x14ac:dyDescent="0.2">
      <c r="A104" s="36" t="s">
        <v>2443</v>
      </c>
      <c r="B104" s="36" t="s">
        <v>418</v>
      </c>
      <c r="C104" s="36" t="s">
        <v>397</v>
      </c>
      <c r="D104" s="36" t="s">
        <v>1441</v>
      </c>
      <c r="E104" s="36" t="s">
        <v>1445</v>
      </c>
      <c r="F104" s="36" t="s">
        <v>2504</v>
      </c>
      <c r="G104" s="36" t="s">
        <v>1440</v>
      </c>
      <c r="H104" s="36" t="s">
        <v>1442</v>
      </c>
      <c r="I104" s="36" t="s">
        <v>629</v>
      </c>
      <c r="K104" s="36" t="s">
        <v>2525</v>
      </c>
      <c r="O104" s="36" t="s">
        <v>2510</v>
      </c>
      <c r="P104" s="36" t="s">
        <v>2511</v>
      </c>
      <c r="Z104" s="36">
        <v>103</v>
      </c>
    </row>
    <row r="105" spans="1:26" ht="409.5" x14ac:dyDescent="0.2">
      <c r="A105" s="36" t="s">
        <v>2443</v>
      </c>
      <c r="B105" s="36" t="s">
        <v>419</v>
      </c>
      <c r="C105" s="36" t="s">
        <v>399</v>
      </c>
      <c r="D105" s="36" t="s">
        <v>2512</v>
      </c>
      <c r="E105" s="36" t="s">
        <v>1445</v>
      </c>
      <c r="F105" s="36" t="s">
        <v>2504</v>
      </c>
      <c r="G105" s="36" t="s">
        <v>1440</v>
      </c>
      <c r="H105" s="36" t="s">
        <v>629</v>
      </c>
      <c r="I105" s="36" t="s">
        <v>663</v>
      </c>
      <c r="K105" s="36" t="s">
        <v>2525</v>
      </c>
      <c r="N105" s="36" t="s">
        <v>2365</v>
      </c>
      <c r="O105" s="36" t="s">
        <v>2513</v>
      </c>
      <c r="P105" s="36" t="s">
        <v>917</v>
      </c>
      <c r="Z105" s="36">
        <v>104</v>
      </c>
    </row>
    <row r="106" spans="1:26" ht="409.5" x14ac:dyDescent="0.2">
      <c r="A106" s="36" t="s">
        <v>2443</v>
      </c>
      <c r="B106" s="36" t="s">
        <v>504</v>
      </c>
      <c r="C106" s="36" t="s">
        <v>505</v>
      </c>
      <c r="G106" s="36" t="s">
        <v>2008</v>
      </c>
      <c r="H106" s="36" t="s">
        <v>1442</v>
      </c>
      <c r="I106" s="36" t="s">
        <v>2009</v>
      </c>
      <c r="K106" s="36" t="s">
        <v>2526</v>
      </c>
      <c r="O106" s="36" t="s">
        <v>2527</v>
      </c>
      <c r="P106" s="36" t="s">
        <v>2528</v>
      </c>
      <c r="Z106" s="36">
        <v>105</v>
      </c>
    </row>
    <row r="107" spans="1:26" ht="142.5" x14ac:dyDescent="0.2">
      <c r="A107" s="36" t="s">
        <v>2443</v>
      </c>
      <c r="B107" s="36" t="s">
        <v>297</v>
      </c>
      <c r="C107" s="36" t="s">
        <v>298</v>
      </c>
      <c r="H107" s="36" t="s">
        <v>1442</v>
      </c>
      <c r="I107" s="36" t="s">
        <v>1567</v>
      </c>
      <c r="K107" s="36" t="s">
        <v>2526</v>
      </c>
      <c r="O107" s="36" t="s">
        <v>2529</v>
      </c>
      <c r="P107" s="36" t="s">
        <v>991</v>
      </c>
      <c r="Z107" s="36">
        <v>106</v>
      </c>
    </row>
    <row r="108" spans="1:26" ht="85.5" x14ac:dyDescent="0.2">
      <c r="A108" s="36" t="s">
        <v>2443</v>
      </c>
      <c r="B108" s="36" t="s">
        <v>510</v>
      </c>
      <c r="C108" s="36" t="s">
        <v>511</v>
      </c>
      <c r="G108" s="36" t="s">
        <v>1002</v>
      </c>
      <c r="H108" s="36" t="s">
        <v>2024</v>
      </c>
      <c r="I108" s="36" t="s">
        <v>2025</v>
      </c>
      <c r="K108" s="36" t="s">
        <v>2530</v>
      </c>
      <c r="O108" s="36" t="s">
        <v>2531</v>
      </c>
      <c r="P108" s="36" t="s">
        <v>2532</v>
      </c>
      <c r="Z108" s="36">
        <v>107</v>
      </c>
    </row>
    <row r="109" spans="1:26" ht="409.5" x14ac:dyDescent="0.2">
      <c r="A109" s="36" t="s">
        <v>2533</v>
      </c>
      <c r="B109" s="36" t="s">
        <v>367</v>
      </c>
      <c r="C109" s="36" t="s">
        <v>368</v>
      </c>
      <c r="D109" s="36" t="s">
        <v>1463</v>
      </c>
      <c r="E109" s="36" t="s">
        <v>1445</v>
      </c>
      <c r="H109" s="36" t="s">
        <v>1442</v>
      </c>
      <c r="I109" s="36" t="s">
        <v>629</v>
      </c>
      <c r="K109" s="36" t="s">
        <v>2383</v>
      </c>
      <c r="O109" s="36" t="s">
        <v>2534</v>
      </c>
      <c r="P109" s="36" t="s">
        <v>2535</v>
      </c>
      <c r="Z109" s="36">
        <v>108</v>
      </c>
    </row>
    <row r="110" spans="1:26" ht="342" x14ac:dyDescent="0.2">
      <c r="A110" s="36" t="s">
        <v>2533</v>
      </c>
      <c r="B110" s="36" t="s">
        <v>237</v>
      </c>
      <c r="C110" s="36" t="s">
        <v>371</v>
      </c>
      <c r="D110" s="36" t="s">
        <v>1463</v>
      </c>
      <c r="E110" s="36" t="s">
        <v>1445</v>
      </c>
      <c r="G110" s="36" t="s">
        <v>1440</v>
      </c>
      <c r="H110" s="36" t="s">
        <v>1442</v>
      </c>
      <c r="I110" s="36" t="s">
        <v>629</v>
      </c>
      <c r="K110" s="36" t="s">
        <v>2383</v>
      </c>
      <c r="N110" s="36" t="s">
        <v>2365</v>
      </c>
      <c r="O110" s="36" t="s">
        <v>2536</v>
      </c>
      <c r="P110" s="36" t="s">
        <v>1009</v>
      </c>
      <c r="Q110" s="36" t="s">
        <v>2385</v>
      </c>
      <c r="Z110" s="36">
        <v>109</v>
      </c>
    </row>
    <row r="111" spans="1:26" ht="409.5" x14ac:dyDescent="0.2">
      <c r="A111" s="36" t="s">
        <v>2533</v>
      </c>
      <c r="B111" s="36" t="s">
        <v>240</v>
      </c>
      <c r="C111" s="36" t="s">
        <v>372</v>
      </c>
      <c r="D111" s="36" t="s">
        <v>1463</v>
      </c>
      <c r="E111" s="36" t="s">
        <v>1767</v>
      </c>
      <c r="G111" s="36" t="s">
        <v>1440</v>
      </c>
      <c r="H111" s="36" t="s">
        <v>1442</v>
      </c>
      <c r="I111" s="36" t="s">
        <v>629</v>
      </c>
      <c r="K111" s="36" t="s">
        <v>2537</v>
      </c>
      <c r="N111" s="36" t="s">
        <v>2365</v>
      </c>
      <c r="O111" s="36" t="s">
        <v>2538</v>
      </c>
      <c r="P111" s="36" t="s">
        <v>2539</v>
      </c>
      <c r="Q111" s="36" t="s">
        <v>2389</v>
      </c>
      <c r="Z111" s="36">
        <v>110</v>
      </c>
    </row>
    <row r="112" spans="1:26" ht="409.5" x14ac:dyDescent="0.2">
      <c r="A112" s="36" t="s">
        <v>2533</v>
      </c>
      <c r="B112" s="36" t="s">
        <v>234</v>
      </c>
      <c r="C112" s="36" t="s">
        <v>381</v>
      </c>
      <c r="D112" s="36" t="s">
        <v>1463</v>
      </c>
      <c r="E112" s="36" t="s">
        <v>1767</v>
      </c>
      <c r="G112" s="36" t="s">
        <v>1440</v>
      </c>
      <c r="H112" s="36" t="s">
        <v>1442</v>
      </c>
      <c r="I112" s="36" t="s">
        <v>629</v>
      </c>
      <c r="K112" s="36" t="s">
        <v>2540</v>
      </c>
      <c r="N112" s="36" t="s">
        <v>2365</v>
      </c>
      <c r="O112" s="36" t="s">
        <v>2541</v>
      </c>
      <c r="P112" s="36" t="s">
        <v>1015</v>
      </c>
      <c r="Q112" s="36" t="s">
        <v>2389</v>
      </c>
      <c r="Z112" s="36">
        <v>111</v>
      </c>
    </row>
    <row r="113" spans="1:26" ht="409.5" x14ac:dyDescent="0.2">
      <c r="A113" s="36" t="s">
        <v>2533</v>
      </c>
      <c r="B113" s="36" t="s">
        <v>231</v>
      </c>
      <c r="C113" s="36" t="s">
        <v>378</v>
      </c>
      <c r="D113" s="36" t="s">
        <v>1463</v>
      </c>
      <c r="E113" s="36" t="s">
        <v>1790</v>
      </c>
      <c r="G113" s="36" t="s">
        <v>1440</v>
      </c>
      <c r="H113" s="36" t="s">
        <v>1442</v>
      </c>
      <c r="I113" s="36" t="s">
        <v>629</v>
      </c>
      <c r="K113" s="36" t="s">
        <v>2542</v>
      </c>
      <c r="N113" s="36" t="s">
        <v>2365</v>
      </c>
      <c r="O113" s="36" t="s">
        <v>2543</v>
      </c>
      <c r="P113" s="36" t="s">
        <v>1019</v>
      </c>
      <c r="Q113" s="36" t="s">
        <v>2389</v>
      </c>
      <c r="Z113" s="36">
        <v>112</v>
      </c>
    </row>
    <row r="114" spans="1:26" ht="409.5" x14ac:dyDescent="0.2">
      <c r="A114" s="36" t="s">
        <v>2533</v>
      </c>
      <c r="B114" s="36" t="s">
        <v>365</v>
      </c>
      <c r="C114" s="36" t="s">
        <v>366</v>
      </c>
      <c r="D114" s="36" t="s">
        <v>1463</v>
      </c>
      <c r="E114" s="36" t="s">
        <v>1445</v>
      </c>
      <c r="H114" s="36" t="s">
        <v>1442</v>
      </c>
      <c r="I114" s="36" t="s">
        <v>629</v>
      </c>
      <c r="K114" s="36" t="s">
        <v>2383</v>
      </c>
      <c r="N114" s="36" t="s">
        <v>2365</v>
      </c>
      <c r="O114" s="36" t="s">
        <v>2544</v>
      </c>
      <c r="P114" s="36" t="s">
        <v>2545</v>
      </c>
      <c r="Q114" s="36" t="s">
        <v>2385</v>
      </c>
      <c r="Z114" s="36">
        <v>113</v>
      </c>
    </row>
    <row r="115" spans="1:26" ht="409.5" x14ac:dyDescent="0.2">
      <c r="A115" s="36" t="s">
        <v>2533</v>
      </c>
      <c r="B115" s="36" t="s">
        <v>369</v>
      </c>
      <c r="C115" s="36" t="s">
        <v>370</v>
      </c>
      <c r="D115" s="36" t="s">
        <v>1463</v>
      </c>
      <c r="E115" s="36" t="s">
        <v>1760</v>
      </c>
      <c r="H115" s="36" t="s">
        <v>1442</v>
      </c>
      <c r="I115" s="36" t="s">
        <v>629</v>
      </c>
      <c r="K115" s="36" t="s">
        <v>2546</v>
      </c>
      <c r="N115" s="36" t="s">
        <v>2365</v>
      </c>
      <c r="O115" s="36" t="s">
        <v>2547</v>
      </c>
      <c r="P115" s="36" t="s">
        <v>2548</v>
      </c>
      <c r="Q115" s="36" t="s">
        <v>2389</v>
      </c>
      <c r="Z115" s="36">
        <v>114</v>
      </c>
    </row>
    <row r="116" spans="1:26" ht="356.25" x14ac:dyDescent="0.2">
      <c r="A116" s="36" t="s">
        <v>2533</v>
      </c>
      <c r="B116" s="36" t="s">
        <v>379</v>
      </c>
      <c r="C116" s="36" t="s">
        <v>380</v>
      </c>
      <c r="D116" s="36" t="s">
        <v>1463</v>
      </c>
      <c r="E116" s="36" t="s">
        <v>1760</v>
      </c>
      <c r="H116" s="36" t="s">
        <v>1442</v>
      </c>
      <c r="I116" s="36" t="s">
        <v>629</v>
      </c>
      <c r="K116" s="36" t="s">
        <v>2549</v>
      </c>
      <c r="N116" s="36" t="s">
        <v>2365</v>
      </c>
      <c r="O116" s="36" t="s">
        <v>2550</v>
      </c>
      <c r="P116" s="36" t="s">
        <v>1027</v>
      </c>
      <c r="Q116" s="36" t="s">
        <v>2389</v>
      </c>
      <c r="Z116" s="36">
        <v>115</v>
      </c>
    </row>
    <row r="117" spans="1:26" ht="399" x14ac:dyDescent="0.2">
      <c r="A117" s="36" t="s">
        <v>2533</v>
      </c>
      <c r="B117" s="36" t="s">
        <v>170</v>
      </c>
      <c r="C117" s="36" t="s">
        <v>228</v>
      </c>
      <c r="D117" s="36" t="s">
        <v>1463</v>
      </c>
      <c r="E117" s="36" t="s">
        <v>1445</v>
      </c>
      <c r="G117" s="36" t="s">
        <v>1440</v>
      </c>
      <c r="H117" s="36" t="s">
        <v>1442</v>
      </c>
      <c r="I117" s="36" t="s">
        <v>629</v>
      </c>
      <c r="K117" s="36" t="s">
        <v>2383</v>
      </c>
      <c r="N117" s="36" t="s">
        <v>2365</v>
      </c>
      <c r="O117" s="36" t="s">
        <v>2551</v>
      </c>
      <c r="P117" s="36" t="s">
        <v>1029</v>
      </c>
      <c r="Q117" s="36" t="s">
        <v>2385</v>
      </c>
      <c r="Z117" s="36">
        <v>116</v>
      </c>
    </row>
    <row r="118" spans="1:26" ht="409.5" x14ac:dyDescent="0.2">
      <c r="A118" s="36" t="s">
        <v>2533</v>
      </c>
      <c r="B118" s="36" t="s">
        <v>375</v>
      </c>
      <c r="C118" s="36" t="s">
        <v>376</v>
      </c>
      <c r="D118" s="36" t="s">
        <v>1778</v>
      </c>
      <c r="E118" s="36" t="s">
        <v>1781</v>
      </c>
      <c r="G118" s="36" t="s">
        <v>1440</v>
      </c>
      <c r="H118" s="36" t="s">
        <v>1530</v>
      </c>
      <c r="I118" s="36" t="s">
        <v>637</v>
      </c>
      <c r="K118" s="36" t="s">
        <v>2552</v>
      </c>
      <c r="N118" s="36" t="s">
        <v>2365</v>
      </c>
      <c r="O118" s="36" t="s">
        <v>2553</v>
      </c>
      <c r="P118" s="36" t="s">
        <v>1033</v>
      </c>
      <c r="Q118" s="36" t="s">
        <v>2389</v>
      </c>
      <c r="Z118" s="36">
        <v>117</v>
      </c>
    </row>
    <row r="119" spans="1:26" ht="409.5" x14ac:dyDescent="0.2">
      <c r="A119" s="36" t="s">
        <v>2533</v>
      </c>
      <c r="B119" s="36" t="s">
        <v>224</v>
      </c>
      <c r="C119" s="36" t="s">
        <v>363</v>
      </c>
      <c r="D119" s="36" t="s">
        <v>1744</v>
      </c>
      <c r="E119" s="36" t="s">
        <v>1445</v>
      </c>
      <c r="G119" s="36" t="s">
        <v>1440</v>
      </c>
      <c r="H119" s="36" t="s">
        <v>1442</v>
      </c>
      <c r="I119" s="36" t="s">
        <v>666</v>
      </c>
      <c r="K119" s="36" t="s">
        <v>2554</v>
      </c>
      <c r="N119" s="36" t="s">
        <v>2365</v>
      </c>
      <c r="O119" s="36" t="s">
        <v>2555</v>
      </c>
      <c r="P119" s="36" t="s">
        <v>2556</v>
      </c>
      <c r="Q119" s="36" t="s">
        <v>2385</v>
      </c>
      <c r="Z119" s="36">
        <v>118</v>
      </c>
    </row>
    <row r="120" spans="1:26" ht="409.5" x14ac:dyDescent="0.2">
      <c r="A120" s="36" t="s">
        <v>2533</v>
      </c>
      <c r="B120" s="36" t="s">
        <v>226</v>
      </c>
      <c r="C120" s="36" t="s">
        <v>364</v>
      </c>
      <c r="D120" s="36" t="s">
        <v>1749</v>
      </c>
      <c r="E120" s="36" t="s">
        <v>1751</v>
      </c>
      <c r="G120" s="36" t="s">
        <v>1440</v>
      </c>
      <c r="H120" s="36" t="s">
        <v>629</v>
      </c>
      <c r="I120" s="36" t="s">
        <v>660</v>
      </c>
      <c r="K120" s="36" t="s">
        <v>2557</v>
      </c>
      <c r="N120" s="36" t="s">
        <v>2365</v>
      </c>
      <c r="O120" s="36" t="s">
        <v>2558</v>
      </c>
      <c r="P120" s="36" t="s">
        <v>2559</v>
      </c>
      <c r="Q120" s="36" t="s">
        <v>2389</v>
      </c>
      <c r="Z120" s="36">
        <v>119</v>
      </c>
    </row>
    <row r="121" spans="1:26" ht="409.5" x14ac:dyDescent="0.2">
      <c r="A121" s="36" t="s">
        <v>2533</v>
      </c>
      <c r="B121" s="36" t="s">
        <v>373</v>
      </c>
      <c r="C121" s="36" t="s">
        <v>374</v>
      </c>
      <c r="D121" s="36" t="s">
        <v>1771</v>
      </c>
      <c r="E121" s="36" t="s">
        <v>1445</v>
      </c>
      <c r="H121" s="36" t="s">
        <v>1442</v>
      </c>
      <c r="I121" s="36" t="s">
        <v>642</v>
      </c>
      <c r="K121" s="36" t="s">
        <v>2383</v>
      </c>
      <c r="O121" s="36" t="s">
        <v>2560</v>
      </c>
      <c r="P121" s="36" t="s">
        <v>1048</v>
      </c>
      <c r="Z121" s="36">
        <v>120</v>
      </c>
    </row>
    <row r="122" spans="1:26" ht="409.5" x14ac:dyDescent="0.2">
      <c r="A122" s="36" t="s">
        <v>2561</v>
      </c>
      <c r="B122" s="36" t="s">
        <v>105</v>
      </c>
      <c r="C122" s="36" t="s">
        <v>314</v>
      </c>
      <c r="D122" s="36" t="s">
        <v>1620</v>
      </c>
      <c r="E122" s="36" t="s">
        <v>1445</v>
      </c>
      <c r="G122" s="36" t="s">
        <v>1440</v>
      </c>
      <c r="H122" s="36" t="s">
        <v>629</v>
      </c>
      <c r="I122" s="36" t="s">
        <v>660</v>
      </c>
      <c r="K122" s="36" t="s">
        <v>2562</v>
      </c>
      <c r="N122" s="36" t="s">
        <v>2365</v>
      </c>
      <c r="O122" s="36" t="s">
        <v>2563</v>
      </c>
      <c r="P122" s="36" t="s">
        <v>1057</v>
      </c>
      <c r="Q122" s="36" t="s">
        <v>2385</v>
      </c>
      <c r="Z122" s="36">
        <v>121</v>
      </c>
    </row>
    <row r="123" spans="1:26" ht="299.25" x14ac:dyDescent="0.2">
      <c r="A123" s="36" t="s">
        <v>2561</v>
      </c>
      <c r="B123" s="36" t="s">
        <v>107</v>
      </c>
      <c r="C123" s="36" t="s">
        <v>318</v>
      </c>
      <c r="D123" s="36" t="s">
        <v>647</v>
      </c>
      <c r="E123" s="36" t="s">
        <v>1445</v>
      </c>
      <c r="G123" s="36" t="s">
        <v>647</v>
      </c>
      <c r="J123" s="36" t="s">
        <v>2564</v>
      </c>
      <c r="K123" s="36" t="s">
        <v>2565</v>
      </c>
      <c r="N123" s="36" t="s">
        <v>2365</v>
      </c>
      <c r="O123" s="36" t="s">
        <v>1062</v>
      </c>
      <c r="P123" s="36" t="s">
        <v>2566</v>
      </c>
      <c r="Z123" s="36">
        <v>122</v>
      </c>
    </row>
    <row r="124" spans="1:26" ht="42.75" x14ac:dyDescent="0.2">
      <c r="A124" s="36" t="s">
        <v>2561</v>
      </c>
      <c r="B124" s="36" t="s">
        <v>388</v>
      </c>
      <c r="C124" s="36" t="s">
        <v>389</v>
      </c>
      <c r="D124" s="36" t="s">
        <v>1803</v>
      </c>
      <c r="E124" s="36" t="s">
        <v>559</v>
      </c>
      <c r="G124" s="36" t="s">
        <v>684</v>
      </c>
      <c r="J124" s="36" t="s">
        <v>2567</v>
      </c>
      <c r="K124" s="36" t="s">
        <v>2375</v>
      </c>
      <c r="Z124" s="36">
        <v>123</v>
      </c>
    </row>
    <row r="125" spans="1:26" ht="242.25" x14ac:dyDescent="0.2">
      <c r="A125" s="36" t="s">
        <v>2561</v>
      </c>
      <c r="B125" s="36" t="s">
        <v>137</v>
      </c>
      <c r="C125" s="36" t="s">
        <v>290</v>
      </c>
      <c r="D125" s="36" t="s">
        <v>1550</v>
      </c>
      <c r="E125" s="36" t="s">
        <v>1553</v>
      </c>
      <c r="G125" s="36" t="s">
        <v>1440</v>
      </c>
      <c r="H125" s="36" t="s">
        <v>1530</v>
      </c>
      <c r="I125" s="36" t="s">
        <v>629</v>
      </c>
      <c r="K125" s="36" t="s">
        <v>2568</v>
      </c>
      <c r="N125" s="36" t="s">
        <v>2365</v>
      </c>
      <c r="O125" s="36" t="s">
        <v>2569</v>
      </c>
      <c r="P125" s="36" t="s">
        <v>1070</v>
      </c>
      <c r="Z125" s="36">
        <v>124</v>
      </c>
    </row>
    <row r="126" spans="1:26" ht="409.5" x14ac:dyDescent="0.2">
      <c r="A126" s="36" t="s">
        <v>2561</v>
      </c>
      <c r="B126" s="36" t="s">
        <v>423</v>
      </c>
      <c r="C126" s="36" t="s">
        <v>1078</v>
      </c>
      <c r="D126" s="36" t="s">
        <v>1856</v>
      </c>
      <c r="E126" s="36" t="s">
        <v>1858</v>
      </c>
      <c r="G126" s="36" t="s">
        <v>1440</v>
      </c>
      <c r="H126" s="36" t="s">
        <v>629</v>
      </c>
      <c r="I126" s="36" t="s">
        <v>637</v>
      </c>
      <c r="K126" s="36" t="s">
        <v>2570</v>
      </c>
      <c r="O126" s="36" t="s">
        <v>2571</v>
      </c>
      <c r="P126" s="36" t="s">
        <v>1076</v>
      </c>
      <c r="Q126" s="36" t="s">
        <v>2389</v>
      </c>
      <c r="Z126" s="36">
        <v>125</v>
      </c>
    </row>
    <row r="127" spans="1:26" ht="199.5" x14ac:dyDescent="0.2">
      <c r="A127" s="36" t="s">
        <v>2561</v>
      </c>
      <c r="B127" s="36" t="s">
        <v>117</v>
      </c>
      <c r="C127" s="36" t="s">
        <v>299</v>
      </c>
      <c r="D127" s="36" t="s">
        <v>2572</v>
      </c>
      <c r="E127" s="36" t="s">
        <v>1553</v>
      </c>
      <c r="G127" s="36" t="s">
        <v>1440</v>
      </c>
      <c r="H127" s="36" t="s">
        <v>1442</v>
      </c>
      <c r="I127" s="36" t="s">
        <v>642</v>
      </c>
      <c r="K127" s="36" t="s">
        <v>2573</v>
      </c>
      <c r="N127" s="36" t="s">
        <v>2365</v>
      </c>
      <c r="O127" s="36" t="s">
        <v>2574</v>
      </c>
      <c r="P127" s="36" t="s">
        <v>2575</v>
      </c>
      <c r="Z127" s="36">
        <v>126</v>
      </c>
    </row>
    <row r="128" spans="1:26" ht="228" x14ac:dyDescent="0.2">
      <c r="A128" s="36" t="s">
        <v>2561</v>
      </c>
      <c r="B128" s="36" t="s">
        <v>119</v>
      </c>
      <c r="C128" s="36" t="s">
        <v>317</v>
      </c>
      <c r="D128" s="36" t="s">
        <v>2572</v>
      </c>
      <c r="E128" s="36" t="s">
        <v>1553</v>
      </c>
      <c r="G128" s="36" t="s">
        <v>1440</v>
      </c>
      <c r="H128" s="36" t="s">
        <v>1442</v>
      </c>
      <c r="I128" s="36" t="s">
        <v>642</v>
      </c>
      <c r="K128" s="36" t="s">
        <v>2576</v>
      </c>
      <c r="N128" s="36" t="s">
        <v>2365</v>
      </c>
      <c r="O128" s="36" t="s">
        <v>2577</v>
      </c>
      <c r="P128" s="36" t="s">
        <v>2578</v>
      </c>
      <c r="Z128" s="36">
        <v>127</v>
      </c>
    </row>
    <row r="129" spans="1:26" ht="213.75" x14ac:dyDescent="0.2">
      <c r="A129" s="36" t="s">
        <v>2561</v>
      </c>
      <c r="B129" s="36" t="s">
        <v>115</v>
      </c>
      <c r="C129" s="36" t="s">
        <v>327</v>
      </c>
      <c r="D129" s="36" t="s">
        <v>2572</v>
      </c>
      <c r="E129" s="36" t="s">
        <v>1553</v>
      </c>
      <c r="G129" s="36" t="s">
        <v>1440</v>
      </c>
      <c r="H129" s="36" t="s">
        <v>1442</v>
      </c>
      <c r="I129" s="36" t="s">
        <v>642</v>
      </c>
      <c r="K129" s="36" t="s">
        <v>2579</v>
      </c>
      <c r="N129" s="36" t="s">
        <v>2365</v>
      </c>
      <c r="O129" s="36" t="s">
        <v>2580</v>
      </c>
      <c r="P129" s="36" t="s">
        <v>2581</v>
      </c>
      <c r="Z129" s="36">
        <v>128</v>
      </c>
    </row>
    <row r="130" spans="1:26" ht="242.25" x14ac:dyDescent="0.2">
      <c r="A130" s="36" t="s">
        <v>2561</v>
      </c>
      <c r="B130" s="36" t="s">
        <v>113</v>
      </c>
      <c r="C130" s="36" t="s">
        <v>319</v>
      </c>
      <c r="D130" s="36" t="s">
        <v>2572</v>
      </c>
      <c r="E130" s="36" t="s">
        <v>1553</v>
      </c>
      <c r="G130" s="36" t="s">
        <v>1440</v>
      </c>
      <c r="H130" s="36" t="s">
        <v>1442</v>
      </c>
      <c r="I130" s="36" t="s">
        <v>642</v>
      </c>
      <c r="K130" s="36" t="s">
        <v>2582</v>
      </c>
      <c r="N130" s="36" t="s">
        <v>2365</v>
      </c>
      <c r="O130" s="36" t="s">
        <v>2583</v>
      </c>
      <c r="P130" s="36" t="s">
        <v>1096</v>
      </c>
      <c r="Z130" s="36">
        <v>129</v>
      </c>
    </row>
    <row r="131" spans="1:26" ht="171" x14ac:dyDescent="0.2">
      <c r="A131" s="36" t="s">
        <v>2584</v>
      </c>
      <c r="B131" s="36" t="s">
        <v>312</v>
      </c>
      <c r="C131" s="36" t="s">
        <v>313</v>
      </c>
      <c r="D131" s="36" t="s">
        <v>647</v>
      </c>
      <c r="E131" s="36" t="s">
        <v>1445</v>
      </c>
      <c r="G131" s="36" t="s">
        <v>647</v>
      </c>
      <c r="K131" s="36" t="s">
        <v>2585</v>
      </c>
      <c r="O131" s="36" t="s">
        <v>2586</v>
      </c>
      <c r="P131" s="36" t="s">
        <v>1102</v>
      </c>
      <c r="Z131" s="36">
        <v>130</v>
      </c>
    </row>
    <row r="132" spans="1:26" ht="114" x14ac:dyDescent="0.2">
      <c r="A132" s="36" t="s">
        <v>2584</v>
      </c>
      <c r="B132" s="36" t="s">
        <v>249</v>
      </c>
      <c r="C132" s="36" t="s">
        <v>501</v>
      </c>
      <c r="D132" s="36" t="s">
        <v>2000</v>
      </c>
      <c r="E132" s="36" t="s">
        <v>2002</v>
      </c>
      <c r="G132" s="36" t="s">
        <v>1440</v>
      </c>
      <c r="H132" s="36" t="s">
        <v>1530</v>
      </c>
      <c r="I132" s="36" t="s">
        <v>629</v>
      </c>
      <c r="K132" s="36" t="s">
        <v>2587</v>
      </c>
      <c r="N132" s="36" t="s">
        <v>2365</v>
      </c>
      <c r="O132" s="36" t="s">
        <v>2588</v>
      </c>
      <c r="P132" s="36" t="s">
        <v>2589</v>
      </c>
      <c r="Q132" s="36" t="s">
        <v>2385</v>
      </c>
      <c r="Z132" s="36">
        <v>131</v>
      </c>
    </row>
    <row r="133" spans="1:26" ht="199.5" x14ac:dyDescent="0.2">
      <c r="A133" s="36" t="s">
        <v>2584</v>
      </c>
      <c r="B133" s="36" t="s">
        <v>154</v>
      </c>
      <c r="C133" s="36" t="s">
        <v>315</v>
      </c>
      <c r="D133" s="36" t="s">
        <v>647</v>
      </c>
      <c r="E133" s="36" t="s">
        <v>1629</v>
      </c>
      <c r="G133" s="36" t="s">
        <v>647</v>
      </c>
      <c r="J133" s="36" t="s">
        <v>2590</v>
      </c>
      <c r="K133" s="36" t="s">
        <v>2591</v>
      </c>
      <c r="N133" s="36" t="s">
        <v>2365</v>
      </c>
      <c r="O133" s="36" t="s">
        <v>2592</v>
      </c>
      <c r="P133" s="36" t="s">
        <v>1110</v>
      </c>
      <c r="Q133" s="36" t="s">
        <v>2389</v>
      </c>
      <c r="Z133" s="36">
        <v>132</v>
      </c>
    </row>
    <row r="134" spans="1:26" ht="409.5" x14ac:dyDescent="0.2">
      <c r="A134" s="36" t="s">
        <v>2584</v>
      </c>
      <c r="B134" s="36" t="s">
        <v>243</v>
      </c>
      <c r="C134" s="36" t="s">
        <v>1078</v>
      </c>
      <c r="D134" s="36" t="s">
        <v>1853</v>
      </c>
      <c r="E134" s="36" t="s">
        <v>1629</v>
      </c>
      <c r="G134" s="36" t="s">
        <v>1440</v>
      </c>
      <c r="H134" s="36" t="s">
        <v>629</v>
      </c>
      <c r="I134" s="36" t="s">
        <v>642</v>
      </c>
      <c r="K134" s="36" t="s">
        <v>2593</v>
      </c>
      <c r="O134" s="36" t="s">
        <v>2594</v>
      </c>
      <c r="P134" s="36" t="s">
        <v>1115</v>
      </c>
      <c r="Q134" s="36" t="s">
        <v>2389</v>
      </c>
      <c r="Z134" s="36">
        <v>133</v>
      </c>
    </row>
    <row r="135" spans="1:26" ht="409.5" x14ac:dyDescent="0.2">
      <c r="A135" s="36" t="s">
        <v>2584</v>
      </c>
      <c r="B135" s="36" t="s">
        <v>420</v>
      </c>
      <c r="C135" s="36" t="s">
        <v>421</v>
      </c>
      <c r="D135" s="36" t="s">
        <v>1846</v>
      </c>
      <c r="E135" s="36" t="s">
        <v>1848</v>
      </c>
      <c r="H135" s="36" t="s">
        <v>1530</v>
      </c>
      <c r="I135" s="36" t="s">
        <v>629</v>
      </c>
      <c r="K135" s="36" t="s">
        <v>2595</v>
      </c>
      <c r="O135" s="36" t="s">
        <v>2596</v>
      </c>
      <c r="P135" s="36" t="s">
        <v>2597</v>
      </c>
      <c r="Z135" s="36">
        <v>134</v>
      </c>
    </row>
    <row r="136" spans="1:26" ht="409.5" x14ac:dyDescent="0.2">
      <c r="A136" s="36" t="s">
        <v>2584</v>
      </c>
      <c r="B136" s="36" t="s">
        <v>499</v>
      </c>
      <c r="C136" s="36" t="s">
        <v>500</v>
      </c>
      <c r="D136" s="36" t="s">
        <v>1996</v>
      </c>
      <c r="E136" s="36" t="s">
        <v>1848</v>
      </c>
      <c r="G136" s="36" t="s">
        <v>1440</v>
      </c>
      <c r="H136" s="36" t="s">
        <v>1530</v>
      </c>
      <c r="I136" s="36" t="s">
        <v>642</v>
      </c>
      <c r="K136" s="36" t="s">
        <v>2598</v>
      </c>
      <c r="O136" s="36" t="s">
        <v>2599</v>
      </c>
      <c r="P136" s="36" t="s">
        <v>2600</v>
      </c>
      <c r="Z136" s="36">
        <v>135</v>
      </c>
    </row>
    <row r="137" spans="1:26" ht="399" x14ac:dyDescent="0.2">
      <c r="A137" s="36" t="s">
        <v>2584</v>
      </c>
      <c r="B137" s="36" t="s">
        <v>433</v>
      </c>
      <c r="C137" s="36" t="s">
        <v>434</v>
      </c>
      <c r="D137" s="36" t="s">
        <v>1846</v>
      </c>
      <c r="E137" s="36" t="s">
        <v>1848</v>
      </c>
      <c r="G137" s="36" t="s">
        <v>1440</v>
      </c>
      <c r="H137" s="36" t="s">
        <v>1530</v>
      </c>
      <c r="I137" s="36" t="s">
        <v>629</v>
      </c>
      <c r="K137" s="36" t="s">
        <v>2601</v>
      </c>
      <c r="O137" s="36" t="s">
        <v>2602</v>
      </c>
      <c r="P137" s="36" t="s">
        <v>1029</v>
      </c>
      <c r="Q137" s="36" t="s">
        <v>2385</v>
      </c>
      <c r="Z137" s="36">
        <v>136</v>
      </c>
    </row>
    <row r="138" spans="1:26" ht="409.5" x14ac:dyDescent="0.2">
      <c r="A138" s="36" t="s">
        <v>2584</v>
      </c>
      <c r="B138" s="36" t="s">
        <v>435</v>
      </c>
      <c r="C138" s="36" t="s">
        <v>436</v>
      </c>
      <c r="D138" s="36" t="s">
        <v>2603</v>
      </c>
      <c r="E138" s="36" t="s">
        <v>1875</v>
      </c>
      <c r="G138" s="36" t="s">
        <v>1440</v>
      </c>
      <c r="H138" s="36" t="s">
        <v>1530</v>
      </c>
      <c r="I138" s="36" t="s">
        <v>637</v>
      </c>
      <c r="K138" s="36" t="s">
        <v>2604</v>
      </c>
      <c r="O138" s="36" t="s">
        <v>2605</v>
      </c>
      <c r="P138" s="36" t="s">
        <v>1033</v>
      </c>
      <c r="Q138" s="36" t="s">
        <v>2389</v>
      </c>
      <c r="Z138" s="36">
        <v>137</v>
      </c>
    </row>
    <row r="139" spans="1:26" ht="409.5" x14ac:dyDescent="0.2">
      <c r="A139" s="36" t="s">
        <v>2584</v>
      </c>
      <c r="B139" s="36" t="s">
        <v>246</v>
      </c>
      <c r="C139" s="36" t="s">
        <v>247</v>
      </c>
      <c r="D139" s="36" t="s">
        <v>1529</v>
      </c>
      <c r="E139" s="36" t="s">
        <v>1445</v>
      </c>
      <c r="F139" s="36" t="s">
        <v>2606</v>
      </c>
      <c r="G139" s="36" t="s">
        <v>1440</v>
      </c>
      <c r="H139" s="36" t="s">
        <v>1530</v>
      </c>
      <c r="I139" s="36" t="s">
        <v>629</v>
      </c>
      <c r="K139" s="36" t="s">
        <v>2607</v>
      </c>
      <c r="N139" s="36" t="s">
        <v>2365</v>
      </c>
      <c r="O139" s="36" t="s">
        <v>2608</v>
      </c>
      <c r="P139" s="36" t="s">
        <v>2609</v>
      </c>
      <c r="Z139" s="36">
        <v>138</v>
      </c>
    </row>
    <row r="140" spans="1:26" ht="142.5" x14ac:dyDescent="0.2">
      <c r="A140" s="36" t="s">
        <v>2584</v>
      </c>
      <c r="B140" s="36" t="s">
        <v>479</v>
      </c>
      <c r="C140" s="36" t="s">
        <v>480</v>
      </c>
      <c r="D140" s="36" t="s">
        <v>647</v>
      </c>
      <c r="E140" s="36" t="s">
        <v>1531</v>
      </c>
      <c r="F140" s="36" t="s">
        <v>2606</v>
      </c>
      <c r="G140" s="36" t="s">
        <v>647</v>
      </c>
      <c r="K140" s="36" t="s">
        <v>2610</v>
      </c>
      <c r="N140" s="36" t="s">
        <v>2365</v>
      </c>
      <c r="O140" s="36" t="s">
        <v>2611</v>
      </c>
      <c r="P140" s="36" t="s">
        <v>1138</v>
      </c>
      <c r="Q140" s="36" t="s">
        <v>2389</v>
      </c>
      <c r="Z140" s="36">
        <v>139</v>
      </c>
    </row>
    <row r="141" spans="1:26" ht="256.5" x14ac:dyDescent="0.2">
      <c r="A141" s="36" t="s">
        <v>2584</v>
      </c>
      <c r="B141" s="36" t="s">
        <v>175</v>
      </c>
      <c r="C141" s="36" t="s">
        <v>245</v>
      </c>
      <c r="D141" s="36" t="s">
        <v>1529</v>
      </c>
      <c r="E141" s="36" t="s">
        <v>1531</v>
      </c>
      <c r="F141" s="36" t="s">
        <v>2606</v>
      </c>
      <c r="G141" s="36" t="s">
        <v>1440</v>
      </c>
      <c r="H141" s="36" t="s">
        <v>1530</v>
      </c>
      <c r="I141" s="36" t="s">
        <v>629</v>
      </c>
      <c r="K141" s="36" t="s">
        <v>2612</v>
      </c>
      <c r="N141" s="36" t="s">
        <v>2365</v>
      </c>
      <c r="O141" s="36" t="s">
        <v>2613</v>
      </c>
      <c r="P141" s="36" t="s">
        <v>1141</v>
      </c>
      <c r="Q141" s="36" t="s">
        <v>2389</v>
      </c>
      <c r="Z141" s="36">
        <v>140</v>
      </c>
    </row>
    <row r="142" spans="1:26" ht="156.75" x14ac:dyDescent="0.2">
      <c r="A142" s="36" t="s">
        <v>2584</v>
      </c>
      <c r="B142" s="36" t="s">
        <v>177</v>
      </c>
      <c r="C142" s="36" t="s">
        <v>451</v>
      </c>
      <c r="D142" s="36" t="s">
        <v>1529</v>
      </c>
      <c r="E142" s="36" t="s">
        <v>1531</v>
      </c>
      <c r="F142" s="36" t="s">
        <v>2606</v>
      </c>
      <c r="G142" s="36" t="s">
        <v>1440</v>
      </c>
      <c r="H142" s="36" t="s">
        <v>1530</v>
      </c>
      <c r="I142" s="36" t="s">
        <v>629</v>
      </c>
      <c r="K142" s="36" t="s">
        <v>2614</v>
      </c>
      <c r="N142" s="36" t="s">
        <v>2365</v>
      </c>
      <c r="O142" s="36" t="s">
        <v>2615</v>
      </c>
      <c r="P142" s="36" t="s">
        <v>1145</v>
      </c>
      <c r="Q142" s="36" t="s">
        <v>2385</v>
      </c>
      <c r="Z142" s="36">
        <v>141</v>
      </c>
    </row>
    <row r="143" spans="1:26" ht="409.5" x14ac:dyDescent="0.2">
      <c r="A143" s="36" t="s">
        <v>2584</v>
      </c>
      <c r="B143" s="36" t="s">
        <v>258</v>
      </c>
      <c r="C143" s="36" t="s">
        <v>529</v>
      </c>
      <c r="D143" s="36" t="s">
        <v>1529</v>
      </c>
      <c r="E143" s="36" t="s">
        <v>2616</v>
      </c>
      <c r="F143" s="36" t="s">
        <v>2606</v>
      </c>
      <c r="G143" s="36" t="s">
        <v>1440</v>
      </c>
      <c r="H143" s="36" t="s">
        <v>1530</v>
      </c>
      <c r="I143" s="36" t="s">
        <v>629</v>
      </c>
      <c r="K143" s="36" t="s">
        <v>2617</v>
      </c>
      <c r="O143" s="36" t="s">
        <v>2618</v>
      </c>
      <c r="P143" s="36" t="s">
        <v>1149</v>
      </c>
      <c r="Q143" s="36" t="s">
        <v>2389</v>
      </c>
      <c r="Z143" s="36">
        <v>142</v>
      </c>
    </row>
    <row r="144" spans="1:26" ht="409.5" x14ac:dyDescent="0.2">
      <c r="A144" s="36" t="s">
        <v>2584</v>
      </c>
      <c r="B144" s="36" t="s">
        <v>256</v>
      </c>
      <c r="C144" s="36" t="s">
        <v>512</v>
      </c>
      <c r="D144" s="36" t="s">
        <v>1529</v>
      </c>
      <c r="E144" s="36" t="s">
        <v>2619</v>
      </c>
      <c r="F144" s="36" t="s">
        <v>2606</v>
      </c>
      <c r="G144" s="36" t="s">
        <v>1440</v>
      </c>
      <c r="H144" s="36" t="s">
        <v>1530</v>
      </c>
      <c r="I144" s="36" t="s">
        <v>629</v>
      </c>
      <c r="K144" s="36" t="s">
        <v>2620</v>
      </c>
      <c r="O144" s="36" t="s">
        <v>2621</v>
      </c>
      <c r="P144" s="36" t="s">
        <v>1153</v>
      </c>
      <c r="Q144" s="36" t="s">
        <v>2389</v>
      </c>
      <c r="Z144" s="36">
        <v>143</v>
      </c>
    </row>
    <row r="145" spans="1:26" ht="142.5" x14ac:dyDescent="0.2">
      <c r="A145" s="36" t="s">
        <v>2584</v>
      </c>
      <c r="B145" s="36" t="s">
        <v>280</v>
      </c>
      <c r="C145" s="36" t="s">
        <v>281</v>
      </c>
      <c r="D145" s="36" t="s">
        <v>1529</v>
      </c>
      <c r="E145" s="36" t="s">
        <v>1531</v>
      </c>
      <c r="F145" s="36" t="s">
        <v>2606</v>
      </c>
      <c r="G145" s="36" t="s">
        <v>1440</v>
      </c>
      <c r="H145" s="36" t="s">
        <v>1530</v>
      </c>
      <c r="I145" s="36" t="s">
        <v>629</v>
      </c>
      <c r="K145" s="36" t="s">
        <v>2622</v>
      </c>
      <c r="N145" s="36" t="s">
        <v>2365</v>
      </c>
      <c r="O145" s="36" t="s">
        <v>2623</v>
      </c>
      <c r="P145" s="36" t="s">
        <v>2624</v>
      </c>
      <c r="Q145" s="36" t="s">
        <v>2389</v>
      </c>
      <c r="Z145" s="36">
        <v>144</v>
      </c>
    </row>
    <row r="146" spans="1:26" ht="185.25" x14ac:dyDescent="0.2">
      <c r="A146" s="36" t="s">
        <v>2584</v>
      </c>
      <c r="B146" s="36" t="s">
        <v>522</v>
      </c>
      <c r="C146" s="36" t="s">
        <v>523</v>
      </c>
      <c r="D146" s="36" t="s">
        <v>1529</v>
      </c>
      <c r="E146" s="36" t="s">
        <v>2625</v>
      </c>
      <c r="F146" s="36" t="s">
        <v>2606</v>
      </c>
      <c r="G146" s="36" t="s">
        <v>1440</v>
      </c>
      <c r="H146" s="36" t="s">
        <v>1530</v>
      </c>
      <c r="I146" s="36" t="s">
        <v>629</v>
      </c>
      <c r="K146" s="36" t="s">
        <v>2626</v>
      </c>
      <c r="O146" s="36" t="s">
        <v>2627</v>
      </c>
      <c r="P146" s="36" t="s">
        <v>2628</v>
      </c>
      <c r="Q146" s="36" t="s">
        <v>2389</v>
      </c>
      <c r="Z146" s="36">
        <v>145</v>
      </c>
    </row>
    <row r="147" spans="1:26" ht="57" x14ac:dyDescent="0.2">
      <c r="A147" s="36" t="s">
        <v>2584</v>
      </c>
      <c r="B147" s="36" t="s">
        <v>291</v>
      </c>
      <c r="C147" s="36" t="s">
        <v>247</v>
      </c>
      <c r="D147" s="36" t="s">
        <v>1559</v>
      </c>
      <c r="G147" s="36" t="s">
        <v>1440</v>
      </c>
      <c r="H147" s="36" t="s">
        <v>629</v>
      </c>
      <c r="I147" s="36" t="s">
        <v>629</v>
      </c>
      <c r="Z147" s="36">
        <v>146</v>
      </c>
    </row>
    <row r="148" spans="1:26" ht="171" x14ac:dyDescent="0.2">
      <c r="A148" s="36" t="s">
        <v>2584</v>
      </c>
      <c r="B148" s="36" t="s">
        <v>481</v>
      </c>
      <c r="C148" s="36" t="s">
        <v>480</v>
      </c>
      <c r="D148" s="36" t="s">
        <v>647</v>
      </c>
      <c r="G148" s="36" t="s">
        <v>647</v>
      </c>
      <c r="K148" s="36" t="s">
        <v>2629</v>
      </c>
      <c r="Q148" s="36" t="s">
        <v>2389</v>
      </c>
      <c r="Z148" s="36">
        <v>147</v>
      </c>
    </row>
    <row r="149" spans="1:26" ht="99.75" x14ac:dyDescent="0.2">
      <c r="A149" s="36" t="s">
        <v>2584</v>
      </c>
      <c r="B149" s="36" t="s">
        <v>443</v>
      </c>
      <c r="C149" s="36" t="s">
        <v>245</v>
      </c>
      <c r="D149" s="36" t="s">
        <v>1529</v>
      </c>
      <c r="G149" s="36" t="s">
        <v>1440</v>
      </c>
      <c r="H149" s="36" t="s">
        <v>1530</v>
      </c>
      <c r="I149" s="36" t="s">
        <v>629</v>
      </c>
      <c r="K149" s="36" t="s">
        <v>2630</v>
      </c>
      <c r="Q149" s="36" t="s">
        <v>2389</v>
      </c>
      <c r="Z149" s="36">
        <v>148</v>
      </c>
    </row>
    <row r="150" spans="1:26" ht="99.75" x14ac:dyDescent="0.2">
      <c r="A150" s="36" t="s">
        <v>2584</v>
      </c>
      <c r="B150" s="36" t="s">
        <v>452</v>
      </c>
      <c r="C150" s="36" t="s">
        <v>451</v>
      </c>
      <c r="D150" s="36" t="s">
        <v>1529</v>
      </c>
      <c r="G150" s="36" t="s">
        <v>1440</v>
      </c>
      <c r="H150" s="36" t="s">
        <v>1530</v>
      </c>
      <c r="I150" s="36" t="s">
        <v>629</v>
      </c>
      <c r="K150" s="36" t="s">
        <v>2631</v>
      </c>
      <c r="Q150" s="36" t="s">
        <v>2385</v>
      </c>
      <c r="Z150" s="36">
        <v>149</v>
      </c>
    </row>
    <row r="151" spans="1:26" ht="99.75" x14ac:dyDescent="0.2">
      <c r="A151" s="36" t="s">
        <v>2584</v>
      </c>
      <c r="B151" s="36" t="s">
        <v>530</v>
      </c>
      <c r="C151" s="36" t="s">
        <v>529</v>
      </c>
      <c r="D151" s="36" t="s">
        <v>1529</v>
      </c>
      <c r="G151" s="36" t="s">
        <v>1440</v>
      </c>
      <c r="H151" s="36" t="s">
        <v>1530</v>
      </c>
      <c r="I151" s="36" t="s">
        <v>629</v>
      </c>
      <c r="K151" s="36" t="s">
        <v>2632</v>
      </c>
      <c r="Q151" s="36" t="s">
        <v>2389</v>
      </c>
      <c r="Z151" s="36">
        <v>150</v>
      </c>
    </row>
    <row r="152" spans="1:26" ht="99.75" x14ac:dyDescent="0.2">
      <c r="A152" s="36" t="s">
        <v>2584</v>
      </c>
      <c r="B152" s="36" t="s">
        <v>513</v>
      </c>
      <c r="C152" s="36" t="s">
        <v>512</v>
      </c>
      <c r="D152" s="36" t="s">
        <v>1529</v>
      </c>
      <c r="G152" s="36" t="s">
        <v>1440</v>
      </c>
      <c r="H152" s="36" t="s">
        <v>1530</v>
      </c>
      <c r="I152" s="36" t="s">
        <v>629</v>
      </c>
      <c r="K152" s="36" t="s">
        <v>2633</v>
      </c>
      <c r="Q152" s="36" t="s">
        <v>2389</v>
      </c>
      <c r="Z152" s="36">
        <v>151</v>
      </c>
    </row>
    <row r="153" spans="1:26" ht="128.25" x14ac:dyDescent="0.2">
      <c r="A153" s="36" t="s">
        <v>2584</v>
      </c>
      <c r="B153" s="36" t="s">
        <v>283</v>
      </c>
      <c r="C153" s="36" t="s">
        <v>281</v>
      </c>
      <c r="D153" s="36" t="s">
        <v>1529</v>
      </c>
      <c r="G153" s="36" t="s">
        <v>1440</v>
      </c>
      <c r="H153" s="36" t="s">
        <v>1530</v>
      </c>
      <c r="I153" s="36" t="s">
        <v>629</v>
      </c>
      <c r="K153" s="36" t="s">
        <v>2634</v>
      </c>
      <c r="Q153" s="36" t="s">
        <v>2389</v>
      </c>
      <c r="Z153" s="36">
        <v>152</v>
      </c>
    </row>
    <row r="154" spans="1:26" ht="128.25" x14ac:dyDescent="0.2">
      <c r="A154" s="36" t="s">
        <v>2584</v>
      </c>
      <c r="B154" s="36" t="s">
        <v>524</v>
      </c>
      <c r="C154" s="36" t="s">
        <v>523</v>
      </c>
      <c r="D154" s="36" t="s">
        <v>1529</v>
      </c>
      <c r="G154" s="36" t="s">
        <v>1440</v>
      </c>
      <c r="H154" s="36" t="s">
        <v>1530</v>
      </c>
      <c r="I154" s="36" t="s">
        <v>629</v>
      </c>
      <c r="K154" s="36" t="s">
        <v>2635</v>
      </c>
      <c r="Q154" s="36" t="s">
        <v>2389</v>
      </c>
      <c r="Z154" s="36">
        <v>153</v>
      </c>
    </row>
    <row r="155" spans="1:26" ht="57" x14ac:dyDescent="0.2">
      <c r="A155" s="36" t="s">
        <v>2584</v>
      </c>
      <c r="B155" s="36" t="s">
        <v>293</v>
      </c>
      <c r="C155" s="36" t="s">
        <v>247</v>
      </c>
      <c r="D155" s="36" t="s">
        <v>1559</v>
      </c>
      <c r="G155" s="36" t="s">
        <v>1440</v>
      </c>
      <c r="H155" s="36" t="s">
        <v>629</v>
      </c>
      <c r="I155" s="36" t="s">
        <v>629</v>
      </c>
      <c r="Z155" s="36">
        <v>154</v>
      </c>
    </row>
    <row r="156" spans="1:26" ht="171" x14ac:dyDescent="0.2">
      <c r="A156" s="36" t="s">
        <v>2584</v>
      </c>
      <c r="B156" s="36" t="s">
        <v>482</v>
      </c>
      <c r="C156" s="36" t="s">
        <v>480</v>
      </c>
      <c r="D156" s="36" t="s">
        <v>647</v>
      </c>
      <c r="G156" s="36" t="s">
        <v>647</v>
      </c>
      <c r="K156" s="36" t="s">
        <v>2636</v>
      </c>
      <c r="Q156" s="36" t="s">
        <v>2389</v>
      </c>
      <c r="Z156" s="36">
        <v>155</v>
      </c>
    </row>
    <row r="157" spans="1:26" ht="99.75" x14ac:dyDescent="0.2">
      <c r="A157" s="36" t="s">
        <v>2584</v>
      </c>
      <c r="B157" s="36" t="s">
        <v>444</v>
      </c>
      <c r="C157" s="36" t="s">
        <v>245</v>
      </c>
      <c r="D157" s="36" t="s">
        <v>1529</v>
      </c>
      <c r="G157" s="36" t="s">
        <v>1440</v>
      </c>
      <c r="H157" s="36" t="s">
        <v>1530</v>
      </c>
      <c r="I157" s="36" t="s">
        <v>629</v>
      </c>
      <c r="K157" s="36" t="s">
        <v>2637</v>
      </c>
      <c r="Q157" s="36" t="s">
        <v>2389</v>
      </c>
      <c r="Z157" s="36">
        <v>156</v>
      </c>
    </row>
    <row r="158" spans="1:26" ht="99.75" x14ac:dyDescent="0.2">
      <c r="A158" s="36" t="s">
        <v>2584</v>
      </c>
      <c r="B158" s="36" t="s">
        <v>453</v>
      </c>
      <c r="C158" s="36" t="s">
        <v>451</v>
      </c>
      <c r="D158" s="36" t="s">
        <v>1529</v>
      </c>
      <c r="G158" s="36" t="s">
        <v>1440</v>
      </c>
      <c r="H158" s="36" t="s">
        <v>1530</v>
      </c>
      <c r="I158" s="36" t="s">
        <v>629</v>
      </c>
      <c r="K158" s="36" t="s">
        <v>2638</v>
      </c>
      <c r="Q158" s="36" t="s">
        <v>2385</v>
      </c>
      <c r="Z158" s="36">
        <v>157</v>
      </c>
    </row>
    <row r="159" spans="1:26" ht="99.75" x14ac:dyDescent="0.2">
      <c r="A159" s="36" t="s">
        <v>2584</v>
      </c>
      <c r="B159" s="36" t="s">
        <v>531</v>
      </c>
      <c r="C159" s="36" t="s">
        <v>529</v>
      </c>
      <c r="D159" s="36" t="s">
        <v>1529</v>
      </c>
      <c r="G159" s="36" t="s">
        <v>1440</v>
      </c>
      <c r="H159" s="36" t="s">
        <v>1530</v>
      </c>
      <c r="I159" s="36" t="s">
        <v>629</v>
      </c>
      <c r="K159" s="36" t="s">
        <v>2639</v>
      </c>
      <c r="Q159" s="36" t="s">
        <v>2389</v>
      </c>
      <c r="Z159" s="36">
        <v>158</v>
      </c>
    </row>
    <row r="160" spans="1:26" ht="99.75" x14ac:dyDescent="0.2">
      <c r="A160" s="36" t="s">
        <v>2584</v>
      </c>
      <c r="B160" s="36" t="s">
        <v>514</v>
      </c>
      <c r="C160" s="36" t="s">
        <v>512</v>
      </c>
      <c r="D160" s="36" t="s">
        <v>1529</v>
      </c>
      <c r="G160" s="36" t="s">
        <v>1440</v>
      </c>
      <c r="H160" s="36" t="s">
        <v>1530</v>
      </c>
      <c r="I160" s="36" t="s">
        <v>629</v>
      </c>
      <c r="K160" s="36" t="s">
        <v>2640</v>
      </c>
      <c r="Q160" s="36" t="s">
        <v>2389</v>
      </c>
      <c r="Z160" s="36">
        <v>159</v>
      </c>
    </row>
    <row r="161" spans="1:26" ht="128.25" x14ac:dyDescent="0.2">
      <c r="A161" s="36" t="s">
        <v>2584</v>
      </c>
      <c r="B161" s="36" t="s">
        <v>284</v>
      </c>
      <c r="C161" s="36" t="s">
        <v>281</v>
      </c>
      <c r="D161" s="36" t="s">
        <v>1529</v>
      </c>
      <c r="G161" s="36" t="s">
        <v>1440</v>
      </c>
      <c r="H161" s="36" t="s">
        <v>1530</v>
      </c>
      <c r="I161" s="36" t="s">
        <v>629</v>
      </c>
      <c r="K161" s="36" t="s">
        <v>2641</v>
      </c>
      <c r="Q161" s="36" t="s">
        <v>2389</v>
      </c>
      <c r="Z161" s="36">
        <v>160</v>
      </c>
    </row>
    <row r="162" spans="1:26" ht="128.25" x14ac:dyDescent="0.2">
      <c r="A162" s="36" t="s">
        <v>2584</v>
      </c>
      <c r="B162" s="36" t="s">
        <v>525</v>
      </c>
      <c r="C162" s="36" t="s">
        <v>523</v>
      </c>
      <c r="D162" s="36" t="s">
        <v>1529</v>
      </c>
      <c r="G162" s="36" t="s">
        <v>1440</v>
      </c>
      <c r="H162" s="36" t="s">
        <v>1530</v>
      </c>
      <c r="I162" s="36" t="s">
        <v>629</v>
      </c>
      <c r="K162" s="36" t="s">
        <v>2642</v>
      </c>
      <c r="Q162" s="36" t="s">
        <v>2389</v>
      </c>
      <c r="Z162" s="36">
        <v>161</v>
      </c>
    </row>
    <row r="163" spans="1:26" ht="57" x14ac:dyDescent="0.2">
      <c r="A163" s="36" t="s">
        <v>2584</v>
      </c>
      <c r="B163" s="36" t="s">
        <v>294</v>
      </c>
      <c r="C163" s="36" t="s">
        <v>247</v>
      </c>
      <c r="D163" s="36" t="s">
        <v>1559</v>
      </c>
      <c r="G163" s="36" t="s">
        <v>1440</v>
      </c>
      <c r="H163" s="36" t="s">
        <v>629</v>
      </c>
      <c r="I163" s="36" t="s">
        <v>629</v>
      </c>
      <c r="Z163" s="36">
        <v>162</v>
      </c>
    </row>
    <row r="164" spans="1:26" ht="171" x14ac:dyDescent="0.2">
      <c r="A164" s="36" t="s">
        <v>2584</v>
      </c>
      <c r="B164" s="36" t="s">
        <v>483</v>
      </c>
      <c r="C164" s="36" t="s">
        <v>480</v>
      </c>
      <c r="D164" s="36" t="s">
        <v>647</v>
      </c>
      <c r="G164" s="36" t="s">
        <v>647</v>
      </c>
      <c r="K164" s="36" t="s">
        <v>2643</v>
      </c>
      <c r="Q164" s="36" t="s">
        <v>2389</v>
      </c>
      <c r="Z164" s="36">
        <v>163</v>
      </c>
    </row>
    <row r="165" spans="1:26" ht="99.75" x14ac:dyDescent="0.2">
      <c r="A165" s="36" t="s">
        <v>2584</v>
      </c>
      <c r="B165" s="36" t="s">
        <v>445</v>
      </c>
      <c r="C165" s="36" t="s">
        <v>245</v>
      </c>
      <c r="D165" s="36" t="s">
        <v>1529</v>
      </c>
      <c r="G165" s="36" t="s">
        <v>1440</v>
      </c>
      <c r="H165" s="36" t="s">
        <v>1530</v>
      </c>
      <c r="I165" s="36" t="s">
        <v>629</v>
      </c>
      <c r="K165" s="36" t="s">
        <v>2644</v>
      </c>
      <c r="Q165" s="36" t="s">
        <v>2389</v>
      </c>
      <c r="Z165" s="36">
        <v>164</v>
      </c>
    </row>
    <row r="166" spans="1:26" ht="99.75" x14ac:dyDescent="0.2">
      <c r="A166" s="36" t="s">
        <v>2584</v>
      </c>
      <c r="B166" s="36" t="s">
        <v>454</v>
      </c>
      <c r="C166" s="36" t="s">
        <v>451</v>
      </c>
      <c r="D166" s="36" t="s">
        <v>1529</v>
      </c>
      <c r="G166" s="36" t="s">
        <v>1440</v>
      </c>
      <c r="H166" s="36" t="s">
        <v>1530</v>
      </c>
      <c r="I166" s="36" t="s">
        <v>629</v>
      </c>
      <c r="K166" s="36" t="s">
        <v>2645</v>
      </c>
      <c r="Q166" s="36" t="s">
        <v>2385</v>
      </c>
      <c r="Z166" s="36">
        <v>165</v>
      </c>
    </row>
    <row r="167" spans="1:26" ht="99.75" x14ac:dyDescent="0.2">
      <c r="A167" s="36" t="s">
        <v>2584</v>
      </c>
      <c r="B167" s="36" t="s">
        <v>532</v>
      </c>
      <c r="C167" s="36" t="s">
        <v>529</v>
      </c>
      <c r="D167" s="36" t="s">
        <v>1529</v>
      </c>
      <c r="G167" s="36" t="s">
        <v>1440</v>
      </c>
      <c r="H167" s="36" t="s">
        <v>1530</v>
      </c>
      <c r="I167" s="36" t="s">
        <v>629</v>
      </c>
      <c r="K167" s="36" t="s">
        <v>2646</v>
      </c>
      <c r="Q167" s="36" t="s">
        <v>2389</v>
      </c>
      <c r="Z167" s="36">
        <v>166</v>
      </c>
    </row>
    <row r="168" spans="1:26" ht="99.75" x14ac:dyDescent="0.2">
      <c r="A168" s="36" t="s">
        <v>2584</v>
      </c>
      <c r="B168" s="36" t="s">
        <v>515</v>
      </c>
      <c r="C168" s="36" t="s">
        <v>512</v>
      </c>
      <c r="D168" s="36" t="s">
        <v>1529</v>
      </c>
      <c r="G168" s="36" t="s">
        <v>1440</v>
      </c>
      <c r="H168" s="36" t="s">
        <v>1530</v>
      </c>
      <c r="I168" s="36" t="s">
        <v>629</v>
      </c>
      <c r="K168" s="36" t="s">
        <v>2647</v>
      </c>
      <c r="Q168" s="36" t="s">
        <v>2389</v>
      </c>
      <c r="Z168" s="36">
        <v>167</v>
      </c>
    </row>
    <row r="169" spans="1:26" ht="128.25" x14ac:dyDescent="0.2">
      <c r="A169" s="36" t="s">
        <v>2584</v>
      </c>
      <c r="B169" s="36" t="s">
        <v>285</v>
      </c>
      <c r="C169" s="36" t="s">
        <v>281</v>
      </c>
      <c r="D169" s="36" t="s">
        <v>1529</v>
      </c>
      <c r="G169" s="36" t="s">
        <v>1440</v>
      </c>
      <c r="H169" s="36" t="s">
        <v>1530</v>
      </c>
      <c r="I169" s="36" t="s">
        <v>629</v>
      </c>
      <c r="K169" s="36" t="s">
        <v>2648</v>
      </c>
      <c r="Q169" s="36" t="s">
        <v>2389</v>
      </c>
      <c r="Z169" s="36">
        <v>168</v>
      </c>
    </row>
    <row r="170" spans="1:26" ht="128.25" x14ac:dyDescent="0.2">
      <c r="A170" s="36" t="s">
        <v>2584</v>
      </c>
      <c r="B170" s="36" t="s">
        <v>526</v>
      </c>
      <c r="C170" s="36" t="s">
        <v>523</v>
      </c>
      <c r="D170" s="36" t="s">
        <v>1529</v>
      </c>
      <c r="G170" s="36" t="s">
        <v>1440</v>
      </c>
      <c r="H170" s="36" t="s">
        <v>1530</v>
      </c>
      <c r="I170" s="36" t="s">
        <v>629</v>
      </c>
      <c r="K170" s="36" t="s">
        <v>2649</v>
      </c>
      <c r="Q170" s="36" t="s">
        <v>2389</v>
      </c>
      <c r="Z170" s="36">
        <v>169</v>
      </c>
    </row>
    <row r="171" spans="1:26" ht="57" x14ac:dyDescent="0.2">
      <c r="A171" s="36" t="s">
        <v>2584</v>
      </c>
      <c r="B171" s="36" t="s">
        <v>295</v>
      </c>
      <c r="C171" s="36" t="s">
        <v>247</v>
      </c>
      <c r="D171" s="36" t="s">
        <v>1559</v>
      </c>
      <c r="G171" s="36" t="s">
        <v>1440</v>
      </c>
      <c r="H171" s="36" t="s">
        <v>629</v>
      </c>
      <c r="I171" s="36" t="s">
        <v>629</v>
      </c>
      <c r="Z171" s="36">
        <v>170</v>
      </c>
    </row>
    <row r="172" spans="1:26" ht="171" x14ac:dyDescent="0.2">
      <c r="A172" s="36" t="s">
        <v>2584</v>
      </c>
      <c r="B172" s="36" t="s">
        <v>484</v>
      </c>
      <c r="C172" s="36" t="s">
        <v>480</v>
      </c>
      <c r="D172" s="36" t="s">
        <v>647</v>
      </c>
      <c r="G172" s="36" t="s">
        <v>647</v>
      </c>
      <c r="K172" s="36" t="s">
        <v>2650</v>
      </c>
      <c r="Q172" s="36" t="s">
        <v>2389</v>
      </c>
      <c r="Z172" s="36">
        <v>171</v>
      </c>
    </row>
    <row r="173" spans="1:26" ht="99.75" x14ac:dyDescent="0.2">
      <c r="A173" s="36" t="s">
        <v>2584</v>
      </c>
      <c r="B173" s="36" t="s">
        <v>446</v>
      </c>
      <c r="C173" s="36" t="s">
        <v>245</v>
      </c>
      <c r="D173" s="36" t="s">
        <v>1529</v>
      </c>
      <c r="G173" s="36" t="s">
        <v>1440</v>
      </c>
      <c r="H173" s="36" t="s">
        <v>1530</v>
      </c>
      <c r="I173" s="36" t="s">
        <v>629</v>
      </c>
      <c r="K173" s="36" t="s">
        <v>2651</v>
      </c>
      <c r="Q173" s="36" t="s">
        <v>2389</v>
      </c>
      <c r="Z173" s="36">
        <v>172</v>
      </c>
    </row>
    <row r="174" spans="1:26" ht="99.75" x14ac:dyDescent="0.2">
      <c r="A174" s="36" t="s">
        <v>2584</v>
      </c>
      <c r="B174" s="36" t="s">
        <v>455</v>
      </c>
      <c r="C174" s="36" t="s">
        <v>451</v>
      </c>
      <c r="D174" s="36" t="s">
        <v>1529</v>
      </c>
      <c r="G174" s="36" t="s">
        <v>1440</v>
      </c>
      <c r="H174" s="36" t="s">
        <v>1530</v>
      </c>
      <c r="I174" s="36" t="s">
        <v>629</v>
      </c>
      <c r="K174" s="36" t="s">
        <v>2652</v>
      </c>
      <c r="Q174" s="36" t="s">
        <v>2385</v>
      </c>
      <c r="Z174" s="36">
        <v>173</v>
      </c>
    </row>
    <row r="175" spans="1:26" ht="99.75" x14ac:dyDescent="0.2">
      <c r="A175" s="36" t="s">
        <v>2584</v>
      </c>
      <c r="B175" s="36" t="s">
        <v>533</v>
      </c>
      <c r="C175" s="36" t="s">
        <v>529</v>
      </c>
      <c r="D175" s="36" t="s">
        <v>1529</v>
      </c>
      <c r="G175" s="36" t="s">
        <v>1440</v>
      </c>
      <c r="H175" s="36" t="s">
        <v>1530</v>
      </c>
      <c r="I175" s="36" t="s">
        <v>629</v>
      </c>
      <c r="K175" s="36" t="s">
        <v>2653</v>
      </c>
      <c r="Q175" s="36" t="s">
        <v>2389</v>
      </c>
      <c r="Z175" s="36">
        <v>174</v>
      </c>
    </row>
    <row r="176" spans="1:26" ht="99.75" x14ac:dyDescent="0.2">
      <c r="A176" s="36" t="s">
        <v>2584</v>
      </c>
      <c r="B176" s="36" t="s">
        <v>516</v>
      </c>
      <c r="C176" s="36" t="s">
        <v>512</v>
      </c>
      <c r="D176" s="36" t="s">
        <v>1529</v>
      </c>
      <c r="G176" s="36" t="s">
        <v>1440</v>
      </c>
      <c r="H176" s="36" t="s">
        <v>1530</v>
      </c>
      <c r="I176" s="36" t="s">
        <v>629</v>
      </c>
      <c r="K176" s="36" t="s">
        <v>2654</v>
      </c>
      <c r="Q176" s="36" t="s">
        <v>2389</v>
      </c>
      <c r="Z176" s="36">
        <v>175</v>
      </c>
    </row>
    <row r="177" spans="1:26" ht="128.25" x14ac:dyDescent="0.2">
      <c r="A177" s="36" t="s">
        <v>2584</v>
      </c>
      <c r="B177" s="36" t="s">
        <v>286</v>
      </c>
      <c r="C177" s="36" t="s">
        <v>281</v>
      </c>
      <c r="D177" s="36" t="s">
        <v>1529</v>
      </c>
      <c r="G177" s="36" t="s">
        <v>1440</v>
      </c>
      <c r="H177" s="36" t="s">
        <v>1530</v>
      </c>
      <c r="I177" s="36" t="s">
        <v>629</v>
      </c>
      <c r="K177" s="36" t="s">
        <v>2655</v>
      </c>
      <c r="Q177" s="36" t="s">
        <v>2389</v>
      </c>
      <c r="Z177" s="36">
        <v>176</v>
      </c>
    </row>
    <row r="178" spans="1:26" ht="128.25" x14ac:dyDescent="0.2">
      <c r="A178" s="36" t="s">
        <v>2584</v>
      </c>
      <c r="B178" s="36" t="s">
        <v>527</v>
      </c>
      <c r="C178" s="36" t="s">
        <v>523</v>
      </c>
      <c r="D178" s="36" t="s">
        <v>1529</v>
      </c>
      <c r="G178" s="36" t="s">
        <v>1440</v>
      </c>
      <c r="H178" s="36" t="s">
        <v>1530</v>
      </c>
      <c r="I178" s="36" t="s">
        <v>629</v>
      </c>
      <c r="K178" s="36" t="s">
        <v>2656</v>
      </c>
      <c r="Q178" s="36" t="s">
        <v>2389</v>
      </c>
      <c r="Z178" s="36">
        <v>177</v>
      </c>
    </row>
    <row r="179" spans="1:26" ht="57" x14ac:dyDescent="0.2">
      <c r="A179" s="36" t="s">
        <v>2584</v>
      </c>
      <c r="B179" s="36" t="s">
        <v>296</v>
      </c>
      <c r="C179" s="36" t="s">
        <v>247</v>
      </c>
      <c r="D179" s="36" t="s">
        <v>1559</v>
      </c>
      <c r="G179" s="36" t="s">
        <v>1440</v>
      </c>
      <c r="H179" s="36" t="s">
        <v>629</v>
      </c>
      <c r="I179" s="36" t="s">
        <v>629</v>
      </c>
      <c r="Z179" s="36">
        <v>178</v>
      </c>
    </row>
    <row r="180" spans="1:26" ht="171" x14ac:dyDescent="0.2">
      <c r="A180" s="36" t="s">
        <v>2584</v>
      </c>
      <c r="B180" s="36" t="s">
        <v>485</v>
      </c>
      <c r="C180" s="36" t="s">
        <v>480</v>
      </c>
      <c r="D180" s="36" t="s">
        <v>647</v>
      </c>
      <c r="G180" s="36" t="s">
        <v>647</v>
      </c>
      <c r="K180" s="36" t="s">
        <v>2657</v>
      </c>
      <c r="Q180" s="36" t="s">
        <v>2389</v>
      </c>
      <c r="Z180" s="36">
        <v>179</v>
      </c>
    </row>
    <row r="181" spans="1:26" ht="99.75" x14ac:dyDescent="0.2">
      <c r="A181" s="36" t="s">
        <v>2584</v>
      </c>
      <c r="B181" s="36" t="s">
        <v>447</v>
      </c>
      <c r="C181" s="36" t="s">
        <v>245</v>
      </c>
      <c r="D181" s="36" t="s">
        <v>1529</v>
      </c>
      <c r="G181" s="36" t="s">
        <v>1440</v>
      </c>
      <c r="H181" s="36" t="s">
        <v>1530</v>
      </c>
      <c r="I181" s="36" t="s">
        <v>629</v>
      </c>
      <c r="K181" s="36" t="s">
        <v>2658</v>
      </c>
      <c r="Q181" s="36" t="s">
        <v>2389</v>
      </c>
      <c r="Z181" s="36">
        <v>180</v>
      </c>
    </row>
    <row r="182" spans="1:26" ht="99.75" x14ac:dyDescent="0.2">
      <c r="A182" s="36" t="s">
        <v>2584</v>
      </c>
      <c r="B182" s="36" t="s">
        <v>456</v>
      </c>
      <c r="C182" s="36" t="s">
        <v>451</v>
      </c>
      <c r="D182" s="36" t="s">
        <v>1529</v>
      </c>
      <c r="G182" s="36" t="s">
        <v>1440</v>
      </c>
      <c r="H182" s="36" t="s">
        <v>1530</v>
      </c>
      <c r="I182" s="36" t="s">
        <v>629</v>
      </c>
      <c r="K182" s="36" t="s">
        <v>2659</v>
      </c>
      <c r="Q182" s="36" t="s">
        <v>2385</v>
      </c>
      <c r="Z182" s="36">
        <v>181</v>
      </c>
    </row>
    <row r="183" spans="1:26" ht="99.75" x14ac:dyDescent="0.2">
      <c r="A183" s="36" t="s">
        <v>2584</v>
      </c>
      <c r="B183" s="36" t="s">
        <v>534</v>
      </c>
      <c r="C183" s="36" t="s">
        <v>529</v>
      </c>
      <c r="D183" s="36" t="s">
        <v>1529</v>
      </c>
      <c r="G183" s="36" t="s">
        <v>1440</v>
      </c>
      <c r="H183" s="36" t="s">
        <v>1530</v>
      </c>
      <c r="I183" s="36" t="s">
        <v>629</v>
      </c>
      <c r="K183" s="36" t="s">
        <v>2660</v>
      </c>
      <c r="Q183" s="36" t="s">
        <v>2389</v>
      </c>
      <c r="Z183" s="36">
        <v>182</v>
      </c>
    </row>
    <row r="184" spans="1:26" ht="99.75" x14ac:dyDescent="0.2">
      <c r="A184" s="36" t="s">
        <v>2584</v>
      </c>
      <c r="B184" s="36" t="s">
        <v>517</v>
      </c>
      <c r="C184" s="36" t="s">
        <v>512</v>
      </c>
      <c r="D184" s="36" t="s">
        <v>1529</v>
      </c>
      <c r="G184" s="36" t="s">
        <v>1440</v>
      </c>
      <c r="H184" s="36" t="s">
        <v>1530</v>
      </c>
      <c r="I184" s="36" t="s">
        <v>629</v>
      </c>
      <c r="K184" s="36" t="s">
        <v>2661</v>
      </c>
      <c r="Q184" s="36" t="s">
        <v>2389</v>
      </c>
      <c r="Z184" s="36">
        <v>183</v>
      </c>
    </row>
    <row r="185" spans="1:26" ht="128.25" x14ac:dyDescent="0.2">
      <c r="A185" s="36" t="s">
        <v>2584</v>
      </c>
      <c r="B185" s="36" t="s">
        <v>287</v>
      </c>
      <c r="C185" s="36" t="s">
        <v>281</v>
      </c>
      <c r="D185" s="36" t="s">
        <v>1529</v>
      </c>
      <c r="G185" s="36" t="s">
        <v>1440</v>
      </c>
      <c r="H185" s="36" t="s">
        <v>1530</v>
      </c>
      <c r="I185" s="36" t="s">
        <v>629</v>
      </c>
      <c r="K185" s="36" t="s">
        <v>2662</v>
      </c>
      <c r="Q185" s="36" t="s">
        <v>2389</v>
      </c>
      <c r="Z185" s="36">
        <v>184</v>
      </c>
    </row>
    <row r="186" spans="1:26" ht="128.25" x14ac:dyDescent="0.2">
      <c r="A186" s="36" t="s">
        <v>2584</v>
      </c>
      <c r="B186" s="36" t="s">
        <v>528</v>
      </c>
      <c r="C186" s="36" t="s">
        <v>523</v>
      </c>
      <c r="D186" s="36" t="s">
        <v>1529</v>
      </c>
      <c r="G186" s="36" t="s">
        <v>1440</v>
      </c>
      <c r="H186" s="36" t="s">
        <v>1530</v>
      </c>
      <c r="I186" s="36" t="s">
        <v>629</v>
      </c>
      <c r="K186" s="36" t="s">
        <v>2663</v>
      </c>
      <c r="Q186" s="36" t="s">
        <v>2389</v>
      </c>
      <c r="Z186" s="36">
        <v>185</v>
      </c>
    </row>
  </sheetData>
  <phoneticPr fontId="33" type="noConversion"/>
  <pageMargins left="0.70866141732283472" right="0.70866141732283472" top="0.74803149606299213" bottom="0.74803149606299213" header="0.31496062992125984" footer="0.31496062992125984"/>
  <pageSetup paperSize="9" scale="11" fitToHeight="9"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884F1-194C-475C-AB6D-58125CCB7DFB}">
  <sheetPr codeName="Sheet12"/>
  <dimension ref="A1:D40"/>
  <sheetViews>
    <sheetView workbookViewId="0">
      <pane ySplit="9" topLeftCell="A18" activePane="bottomLeft" state="frozen"/>
      <selection pane="bottomLeft" activeCell="A18" sqref="A18"/>
    </sheetView>
  </sheetViews>
  <sheetFormatPr defaultRowHeight="14.25" x14ac:dyDescent="0.2"/>
  <cols>
    <col min="1" max="1" width="40.875" bestFit="1" customWidth="1"/>
    <col min="2" max="2" width="16.625" bestFit="1" customWidth="1"/>
    <col min="3" max="3" width="23.125" bestFit="1" customWidth="1"/>
    <col min="4" max="4" width="20.625" bestFit="1" customWidth="1"/>
    <col min="5" max="5" width="27.875" bestFit="1" customWidth="1"/>
    <col min="6" max="6" width="8.625" bestFit="1" customWidth="1"/>
    <col min="7" max="7" width="11.375" bestFit="1" customWidth="1"/>
    <col min="8" max="8" width="6.875" bestFit="1" customWidth="1"/>
    <col min="9" max="9" width="8" bestFit="1" customWidth="1"/>
    <col min="10" max="10" width="8.625" bestFit="1" customWidth="1"/>
    <col min="11" max="11" width="11.875" bestFit="1" customWidth="1"/>
    <col min="12" max="12" width="11.375" bestFit="1" customWidth="1"/>
  </cols>
  <sheetData>
    <row r="1" spans="1:4" x14ac:dyDescent="0.2">
      <c r="A1" t="s">
        <v>2664</v>
      </c>
    </row>
    <row r="2" spans="1:4" ht="15" x14ac:dyDescent="0.25">
      <c r="A2" s="75" t="s">
        <v>260</v>
      </c>
    </row>
    <row r="4" spans="1:4" x14ac:dyDescent="0.2">
      <c r="A4" s="77" t="s">
        <v>263</v>
      </c>
      <c r="B4" t="s">
        <v>262</v>
      </c>
    </row>
    <row r="5" spans="1:4" x14ac:dyDescent="0.2">
      <c r="A5" s="77" t="s">
        <v>267</v>
      </c>
      <c r="B5" t="s">
        <v>2665</v>
      </c>
    </row>
    <row r="7" spans="1:4" x14ac:dyDescent="0.2">
      <c r="A7" s="77" t="s">
        <v>2287</v>
      </c>
      <c r="B7" t="s">
        <v>268</v>
      </c>
      <c r="C7" t="s">
        <v>1351</v>
      </c>
      <c r="D7" t="s">
        <v>1352</v>
      </c>
    </row>
    <row r="8" spans="1:4" x14ac:dyDescent="0.2">
      <c r="A8" s="78" t="s">
        <v>281</v>
      </c>
      <c r="B8">
        <v>6</v>
      </c>
      <c r="C8">
        <v>6</v>
      </c>
      <c r="D8">
        <v>6</v>
      </c>
    </row>
    <row r="9" spans="1:4" x14ac:dyDescent="0.2">
      <c r="A9" s="78" t="s">
        <v>247</v>
      </c>
      <c r="B9">
        <v>5</v>
      </c>
      <c r="C9">
        <v>1</v>
      </c>
      <c r="D9">
        <v>5</v>
      </c>
    </row>
    <row r="10" spans="1:4" x14ac:dyDescent="0.2">
      <c r="A10" s="78" t="s">
        <v>480</v>
      </c>
      <c r="B10">
        <v>4</v>
      </c>
      <c r="C10">
        <v>1</v>
      </c>
      <c r="D10">
        <v>4</v>
      </c>
    </row>
    <row r="11" spans="1:4" x14ac:dyDescent="0.2">
      <c r="A11" s="78" t="s">
        <v>490</v>
      </c>
      <c r="B11">
        <v>1</v>
      </c>
      <c r="D11">
        <v>1</v>
      </c>
    </row>
    <row r="12" spans="1:4" x14ac:dyDescent="0.2">
      <c r="A12" s="78" t="s">
        <v>315</v>
      </c>
      <c r="B12">
        <v>1</v>
      </c>
      <c r="C12">
        <v>1</v>
      </c>
      <c r="D12">
        <v>1</v>
      </c>
    </row>
    <row r="13" spans="1:4" x14ac:dyDescent="0.2">
      <c r="A13" s="78" t="s">
        <v>318</v>
      </c>
      <c r="B13">
        <v>1</v>
      </c>
      <c r="C13">
        <v>1</v>
      </c>
      <c r="D13">
        <v>1</v>
      </c>
    </row>
    <row r="14" spans="1:4" x14ac:dyDescent="0.2">
      <c r="A14" s="78" t="s">
        <v>301</v>
      </c>
      <c r="B14">
        <v>1</v>
      </c>
      <c r="C14">
        <v>1</v>
      </c>
      <c r="D14">
        <v>1</v>
      </c>
    </row>
    <row r="15" spans="1:4" x14ac:dyDescent="0.2">
      <c r="A15" s="78" t="s">
        <v>314</v>
      </c>
      <c r="B15">
        <v>1</v>
      </c>
      <c r="D15">
        <v>1</v>
      </c>
    </row>
    <row r="16" spans="1:4" x14ac:dyDescent="0.2">
      <c r="A16" s="78" t="s">
        <v>377</v>
      </c>
      <c r="B16">
        <v>1</v>
      </c>
      <c r="D16">
        <v>1</v>
      </c>
    </row>
    <row r="17" spans="1:4" x14ac:dyDescent="0.2">
      <c r="A17" s="78" t="s">
        <v>389</v>
      </c>
      <c r="B17">
        <v>1</v>
      </c>
      <c r="C17">
        <v>1</v>
      </c>
      <c r="D17">
        <v>1</v>
      </c>
    </row>
    <row r="18" spans="1:4" x14ac:dyDescent="0.2">
      <c r="A18" s="78" t="s">
        <v>421</v>
      </c>
      <c r="B18">
        <v>1</v>
      </c>
      <c r="D18">
        <v>1</v>
      </c>
    </row>
    <row r="19" spans="1:4" x14ac:dyDescent="0.2">
      <c r="A19" s="78" t="s">
        <v>451</v>
      </c>
      <c r="B19">
        <v>6</v>
      </c>
      <c r="C19">
        <v>6</v>
      </c>
      <c r="D19">
        <v>6</v>
      </c>
    </row>
    <row r="20" spans="1:4" x14ac:dyDescent="0.2">
      <c r="A20" s="78" t="s">
        <v>245</v>
      </c>
      <c r="B20">
        <v>5</v>
      </c>
      <c r="C20">
        <v>1</v>
      </c>
      <c r="D20">
        <v>5</v>
      </c>
    </row>
    <row r="21" spans="1:4" x14ac:dyDescent="0.2">
      <c r="A21" s="78" t="s">
        <v>372</v>
      </c>
      <c r="B21">
        <v>1</v>
      </c>
    </row>
    <row r="22" spans="1:4" x14ac:dyDescent="0.2">
      <c r="A22" s="78" t="s">
        <v>449</v>
      </c>
      <c r="B22">
        <v>1</v>
      </c>
      <c r="D22">
        <v>1</v>
      </c>
    </row>
    <row r="23" spans="1:4" x14ac:dyDescent="0.2">
      <c r="A23" s="78" t="s">
        <v>472</v>
      </c>
      <c r="B23">
        <v>1</v>
      </c>
      <c r="C23">
        <v>1</v>
      </c>
      <c r="D23">
        <v>1</v>
      </c>
    </row>
    <row r="24" spans="1:4" x14ac:dyDescent="0.2">
      <c r="A24" s="78" t="s">
        <v>498</v>
      </c>
      <c r="B24">
        <v>1</v>
      </c>
      <c r="D24">
        <v>1</v>
      </c>
    </row>
    <row r="25" spans="1:4" x14ac:dyDescent="0.2">
      <c r="A25" s="78" t="s">
        <v>371</v>
      </c>
      <c r="B25">
        <v>1</v>
      </c>
      <c r="D25">
        <v>1</v>
      </c>
    </row>
    <row r="26" spans="1:4" x14ac:dyDescent="0.2">
      <c r="A26" s="78" t="s">
        <v>322</v>
      </c>
      <c r="B26">
        <v>1</v>
      </c>
      <c r="C26">
        <v>1</v>
      </c>
      <c r="D26">
        <v>1</v>
      </c>
    </row>
    <row r="27" spans="1:4" x14ac:dyDescent="0.2">
      <c r="A27" s="78" t="s">
        <v>324</v>
      </c>
      <c r="B27">
        <v>1</v>
      </c>
      <c r="C27">
        <v>1</v>
      </c>
      <c r="D27">
        <v>1</v>
      </c>
    </row>
    <row r="28" spans="1:4" x14ac:dyDescent="0.2">
      <c r="A28" s="78" t="s">
        <v>1363</v>
      </c>
      <c r="B28">
        <v>1</v>
      </c>
    </row>
    <row r="29" spans="1:4" x14ac:dyDescent="0.2">
      <c r="A29" s="78" t="s">
        <v>1361</v>
      </c>
      <c r="B29">
        <v>1</v>
      </c>
    </row>
    <row r="30" spans="1:4" x14ac:dyDescent="0.2">
      <c r="A30" s="78" t="s">
        <v>1356</v>
      </c>
      <c r="B30">
        <v>1</v>
      </c>
    </row>
    <row r="31" spans="1:4" x14ac:dyDescent="0.2">
      <c r="A31" s="78" t="s">
        <v>1358</v>
      </c>
      <c r="B31">
        <v>1</v>
      </c>
    </row>
    <row r="32" spans="1:4" x14ac:dyDescent="0.2">
      <c r="A32" s="78" t="s">
        <v>1379</v>
      </c>
      <c r="B32">
        <v>1</v>
      </c>
    </row>
    <row r="33" spans="1:4" x14ac:dyDescent="0.2">
      <c r="A33" s="78" t="s">
        <v>1377</v>
      </c>
      <c r="B33">
        <v>1</v>
      </c>
    </row>
    <row r="34" spans="1:4" x14ac:dyDescent="0.2">
      <c r="A34" s="78" t="s">
        <v>1365</v>
      </c>
      <c r="B34">
        <v>1</v>
      </c>
    </row>
    <row r="35" spans="1:4" x14ac:dyDescent="0.2">
      <c r="A35" s="78" t="s">
        <v>1375</v>
      </c>
      <c r="B35">
        <v>1</v>
      </c>
    </row>
    <row r="36" spans="1:4" x14ac:dyDescent="0.2">
      <c r="A36" s="78" t="s">
        <v>383</v>
      </c>
      <c r="B36">
        <v>1</v>
      </c>
      <c r="D36">
        <v>1</v>
      </c>
    </row>
    <row r="37" spans="1:4" x14ac:dyDescent="0.2">
      <c r="A37" s="78" t="s">
        <v>279</v>
      </c>
      <c r="B37">
        <v>1</v>
      </c>
    </row>
    <row r="38" spans="1:4" x14ac:dyDescent="0.2">
      <c r="A38" s="78" t="s">
        <v>1371</v>
      </c>
      <c r="B38">
        <v>1</v>
      </c>
    </row>
    <row r="39" spans="1:4" x14ac:dyDescent="0.2">
      <c r="A39" s="78" t="s">
        <v>1369</v>
      </c>
      <c r="B39">
        <v>1</v>
      </c>
    </row>
    <row r="40" spans="1:4" x14ac:dyDescent="0.2">
      <c r="A40" s="78" t="s">
        <v>541</v>
      </c>
      <c r="B40">
        <v>53</v>
      </c>
      <c r="C40">
        <v>22</v>
      </c>
      <c r="D40">
        <v>41</v>
      </c>
    </row>
  </sheetData>
  <hyperlinks>
    <hyperlink ref="A2" location="data_elements!A1" display="Dictionary Page Link" xr:uid="{4E5E9D47-E661-4C77-907C-75F770E3D44B}"/>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5B1D5-6B9E-4D39-AD62-1F79AB585E5A}">
  <sheetPr codeName="Sheet14"/>
  <dimension ref="A1:K84"/>
  <sheetViews>
    <sheetView workbookViewId="0">
      <selection activeCell="A7" sqref="A7"/>
    </sheetView>
  </sheetViews>
  <sheetFormatPr defaultColWidth="9" defaultRowHeight="15" x14ac:dyDescent="0.25"/>
  <cols>
    <col min="1" max="1" width="9" style="92" customWidth="1"/>
    <col min="2" max="2" width="10.75" style="92" customWidth="1"/>
    <col min="3" max="3" width="49.5" style="92" customWidth="1"/>
    <col min="4" max="4" width="10.75" style="92" bestFit="1" customWidth="1"/>
    <col min="5" max="5" width="58.25" style="92" bestFit="1" customWidth="1"/>
    <col min="6" max="6" width="13" style="92" customWidth="1"/>
    <col min="7" max="7" width="26.875" style="92" customWidth="1"/>
    <col min="8" max="8" width="9" style="92" bestFit="1" customWidth="1"/>
    <col min="9" max="16384" width="9" style="92"/>
  </cols>
  <sheetData>
    <row r="1" spans="1:11" s="88" customFormat="1" x14ac:dyDescent="0.25">
      <c r="A1" s="85" t="s">
        <v>267</v>
      </c>
      <c r="B1" s="85" t="s">
        <v>265</v>
      </c>
      <c r="C1" s="86" t="s">
        <v>266</v>
      </c>
      <c r="D1" s="86" t="s">
        <v>2666</v>
      </c>
      <c r="E1" s="86" t="s">
        <v>128</v>
      </c>
      <c r="F1" s="87" t="s">
        <v>2667</v>
      </c>
      <c r="G1" s="87" t="s">
        <v>2668</v>
      </c>
      <c r="H1" s="87" t="s">
        <v>2306</v>
      </c>
    </row>
    <row r="2" spans="1:11" x14ac:dyDescent="0.25">
      <c r="A2" s="89" t="s">
        <v>282</v>
      </c>
      <c r="B2" s="90" t="s">
        <v>300</v>
      </c>
      <c r="C2" s="91" t="s">
        <v>301</v>
      </c>
      <c r="D2" s="89">
        <v>1</v>
      </c>
      <c r="E2" s="89"/>
      <c r="F2" s="89" t="s">
        <v>671</v>
      </c>
      <c r="G2" s="89" t="s">
        <v>2669</v>
      </c>
      <c r="H2" s="89"/>
      <c r="J2" s="133"/>
      <c r="K2" s="133"/>
    </row>
    <row r="3" spans="1:11" x14ac:dyDescent="0.25">
      <c r="A3" s="89" t="s">
        <v>282</v>
      </c>
      <c r="B3" s="93" t="s">
        <v>448</v>
      </c>
      <c r="C3" s="94" t="s">
        <v>449</v>
      </c>
      <c r="D3" s="89">
        <v>1</v>
      </c>
      <c r="E3" s="89"/>
      <c r="F3" s="89" t="s">
        <v>671</v>
      </c>
      <c r="G3" s="89" t="s">
        <v>2670</v>
      </c>
      <c r="H3" s="89"/>
      <c r="J3" s="133"/>
      <c r="K3" s="133"/>
    </row>
    <row r="4" spans="1:11" x14ac:dyDescent="0.25">
      <c r="A4" s="89" t="s">
        <v>282</v>
      </c>
      <c r="B4" s="90" t="s">
        <v>321</v>
      </c>
      <c r="C4" s="91" t="s">
        <v>322</v>
      </c>
      <c r="D4" s="89">
        <v>1</v>
      </c>
      <c r="E4" s="89"/>
      <c r="F4" s="89" t="s">
        <v>671</v>
      </c>
      <c r="G4" s="89" t="s">
        <v>2671</v>
      </c>
      <c r="H4" s="89"/>
      <c r="J4" s="133"/>
      <c r="K4" s="133"/>
    </row>
    <row r="5" spans="1:11" x14ac:dyDescent="0.25">
      <c r="A5" s="89" t="s">
        <v>282</v>
      </c>
      <c r="B5" s="93" t="s">
        <v>471</v>
      </c>
      <c r="C5" s="94" t="s">
        <v>472</v>
      </c>
      <c r="D5" s="89">
        <v>1</v>
      </c>
      <c r="E5" s="89"/>
      <c r="F5" s="89" t="s">
        <v>671</v>
      </c>
      <c r="G5" s="89" t="s">
        <v>2672</v>
      </c>
      <c r="H5" s="89"/>
      <c r="J5" s="133"/>
      <c r="K5" s="133"/>
    </row>
    <row r="6" spans="1:11" x14ac:dyDescent="0.25">
      <c r="A6" s="89" t="s">
        <v>282</v>
      </c>
      <c r="B6" s="90" t="s">
        <v>323</v>
      </c>
      <c r="C6" s="91" t="s">
        <v>324</v>
      </c>
      <c r="D6" s="89">
        <v>1</v>
      </c>
      <c r="E6" s="89"/>
      <c r="F6" s="89" t="s">
        <v>671</v>
      </c>
      <c r="G6" s="89" t="s">
        <v>2673</v>
      </c>
      <c r="H6" s="89"/>
      <c r="J6" s="133"/>
      <c r="K6" s="133"/>
    </row>
    <row r="7" spans="1:11" x14ac:dyDescent="0.25">
      <c r="A7" s="89" t="s">
        <v>282</v>
      </c>
      <c r="B7" s="93" t="s">
        <v>489</v>
      </c>
      <c r="C7" s="94" t="s">
        <v>490</v>
      </c>
      <c r="D7" s="89">
        <v>1</v>
      </c>
      <c r="E7" s="89"/>
      <c r="F7" s="89"/>
      <c r="G7" s="89"/>
      <c r="H7" s="89"/>
      <c r="J7" s="133"/>
      <c r="K7" s="133"/>
    </row>
    <row r="8" spans="1:11" x14ac:dyDescent="0.25">
      <c r="A8" s="89" t="s">
        <v>282</v>
      </c>
      <c r="B8" s="90" t="s">
        <v>173</v>
      </c>
      <c r="C8" s="91" t="s">
        <v>377</v>
      </c>
      <c r="D8" s="89">
        <v>1</v>
      </c>
      <c r="E8" s="89"/>
      <c r="F8" s="89" t="s">
        <v>671</v>
      </c>
      <c r="G8" s="89" t="s">
        <v>1785</v>
      </c>
      <c r="H8" s="89"/>
      <c r="J8" s="133"/>
      <c r="K8" s="133"/>
    </row>
    <row r="9" spans="1:11" x14ac:dyDescent="0.25">
      <c r="A9" s="89" t="s">
        <v>282</v>
      </c>
      <c r="B9" s="93" t="s">
        <v>497</v>
      </c>
      <c r="C9" s="94" t="s">
        <v>498</v>
      </c>
      <c r="D9" s="89">
        <v>1</v>
      </c>
      <c r="E9" s="89"/>
      <c r="F9" s="89" t="s">
        <v>671</v>
      </c>
      <c r="G9" s="89" t="s">
        <v>2674</v>
      </c>
      <c r="H9" s="89"/>
      <c r="J9" s="133"/>
      <c r="K9" s="133"/>
    </row>
    <row r="10" spans="1:11" x14ac:dyDescent="0.25">
      <c r="A10" s="89" t="s">
        <v>282</v>
      </c>
      <c r="B10" s="90" t="s">
        <v>240</v>
      </c>
      <c r="C10" s="91" t="s">
        <v>372</v>
      </c>
      <c r="D10" s="89">
        <v>1</v>
      </c>
      <c r="E10" s="89"/>
      <c r="F10" s="89" t="s">
        <v>671</v>
      </c>
      <c r="G10" s="89" t="s">
        <v>2675</v>
      </c>
      <c r="H10" s="89"/>
      <c r="J10" s="133"/>
      <c r="K10" s="133"/>
    </row>
    <row r="11" spans="1:11" x14ac:dyDescent="0.25">
      <c r="A11" s="89" t="s">
        <v>282</v>
      </c>
      <c r="B11" s="93" t="s">
        <v>105</v>
      </c>
      <c r="C11" s="94" t="s">
        <v>314</v>
      </c>
      <c r="D11" s="89">
        <v>1</v>
      </c>
      <c r="E11" s="89"/>
      <c r="F11" s="89" t="s">
        <v>671</v>
      </c>
      <c r="G11" s="89" t="s">
        <v>1623</v>
      </c>
      <c r="H11" s="89"/>
      <c r="J11" s="133"/>
      <c r="K11" s="133"/>
    </row>
    <row r="12" spans="1:11" x14ac:dyDescent="0.25">
      <c r="A12" s="89" t="s">
        <v>282</v>
      </c>
      <c r="B12" s="90" t="s">
        <v>107</v>
      </c>
      <c r="C12" s="91" t="s">
        <v>318</v>
      </c>
      <c r="D12" s="89">
        <v>1</v>
      </c>
      <c r="E12" s="89" t="s">
        <v>2676</v>
      </c>
      <c r="F12" s="89" t="s">
        <v>671</v>
      </c>
      <c r="G12" s="89" t="s">
        <v>1647</v>
      </c>
      <c r="H12" s="89"/>
      <c r="J12" s="133"/>
      <c r="K12" s="133"/>
    </row>
    <row r="13" spans="1:11" x14ac:dyDescent="0.25">
      <c r="A13" s="89" t="s">
        <v>282</v>
      </c>
      <c r="B13" s="93" t="s">
        <v>388</v>
      </c>
      <c r="C13" s="94" t="s">
        <v>389</v>
      </c>
      <c r="D13" s="89">
        <v>1</v>
      </c>
      <c r="E13" s="89"/>
      <c r="F13" s="89" t="s">
        <v>671</v>
      </c>
      <c r="G13" s="89" t="s">
        <v>1805</v>
      </c>
      <c r="H13" s="89"/>
      <c r="J13" s="133"/>
      <c r="K13" s="133"/>
    </row>
    <row r="14" spans="1:11" x14ac:dyDescent="0.25">
      <c r="A14" s="89" t="s">
        <v>282</v>
      </c>
      <c r="B14" s="90" t="s">
        <v>154</v>
      </c>
      <c r="C14" s="91" t="s">
        <v>315</v>
      </c>
      <c r="D14" s="89">
        <v>1</v>
      </c>
      <c r="E14" t="s">
        <v>2677</v>
      </c>
      <c r="F14" s="89" t="s">
        <v>671</v>
      </c>
      <c r="G14" s="89" t="s">
        <v>1630</v>
      </c>
      <c r="H14" s="89"/>
      <c r="J14" s="133"/>
      <c r="K14" s="133"/>
    </row>
    <row r="15" spans="1:11" ht="43.5" x14ac:dyDescent="0.25">
      <c r="A15" s="89" t="s">
        <v>282</v>
      </c>
      <c r="B15" s="93" t="s">
        <v>246</v>
      </c>
      <c r="C15" s="94" t="s">
        <v>247</v>
      </c>
      <c r="D15" s="89">
        <v>6</v>
      </c>
      <c r="E15" s="89"/>
      <c r="F15" s="89" t="s">
        <v>671</v>
      </c>
      <c r="G15" s="97" t="s">
        <v>2678</v>
      </c>
      <c r="H15" s="95"/>
      <c r="J15" s="133"/>
      <c r="K15" s="133"/>
    </row>
    <row r="16" spans="1:11" ht="43.5" x14ac:dyDescent="0.25">
      <c r="A16" s="89" t="s">
        <v>282</v>
      </c>
      <c r="B16" s="90" t="s">
        <v>479</v>
      </c>
      <c r="C16" s="91" t="s">
        <v>480</v>
      </c>
      <c r="D16" s="89">
        <v>6</v>
      </c>
      <c r="E16" s="89"/>
      <c r="F16" s="89" t="s">
        <v>671</v>
      </c>
      <c r="G16" s="97" t="s">
        <v>2679</v>
      </c>
      <c r="H16" s="95"/>
      <c r="J16" s="133"/>
      <c r="K16" s="133"/>
    </row>
    <row r="17" spans="1:11" ht="43.5" x14ac:dyDescent="0.25">
      <c r="A17" s="89" t="s">
        <v>282</v>
      </c>
      <c r="B17" s="93" t="s">
        <v>175</v>
      </c>
      <c r="C17" s="94" t="s">
        <v>245</v>
      </c>
      <c r="D17" s="89">
        <v>6</v>
      </c>
      <c r="E17" s="89"/>
      <c r="F17" s="89" t="s">
        <v>671</v>
      </c>
      <c r="G17" s="97" t="s">
        <v>2680</v>
      </c>
      <c r="H17" s="95"/>
      <c r="J17" s="133"/>
      <c r="K17" s="133"/>
    </row>
    <row r="18" spans="1:11" ht="43.5" x14ac:dyDescent="0.25">
      <c r="A18" s="89" t="s">
        <v>282</v>
      </c>
      <c r="B18" s="90" t="s">
        <v>177</v>
      </c>
      <c r="C18" s="91" t="s">
        <v>451</v>
      </c>
      <c r="D18" s="89">
        <v>6</v>
      </c>
      <c r="E18" s="89"/>
      <c r="F18" s="89" t="s">
        <v>671</v>
      </c>
      <c r="G18" s="97" t="s">
        <v>2681</v>
      </c>
      <c r="H18" s="95"/>
      <c r="J18" s="133"/>
      <c r="K18" s="133"/>
    </row>
    <row r="19" spans="1:11" ht="43.5" x14ac:dyDescent="0.25">
      <c r="A19" s="89" t="s">
        <v>282</v>
      </c>
      <c r="B19" s="93" t="s">
        <v>280</v>
      </c>
      <c r="C19" s="94" t="s">
        <v>281</v>
      </c>
      <c r="D19" s="89">
        <v>6</v>
      </c>
      <c r="E19" s="89"/>
      <c r="F19" s="89" t="s">
        <v>671</v>
      </c>
      <c r="G19" s="97" t="s">
        <v>2682</v>
      </c>
      <c r="H19" s="95"/>
      <c r="J19" s="133"/>
      <c r="K19" s="133"/>
    </row>
    <row r="20" spans="1:11" x14ac:dyDescent="0.25">
      <c r="A20" s="89" t="s">
        <v>292</v>
      </c>
      <c r="B20" s="90" t="s">
        <v>384</v>
      </c>
      <c r="C20" s="91" t="s">
        <v>385</v>
      </c>
      <c r="D20" s="89">
        <v>1</v>
      </c>
      <c r="E20" s="89"/>
      <c r="F20" s="89"/>
      <c r="G20" s="89"/>
      <c r="H20" s="89"/>
      <c r="J20" s="133"/>
      <c r="K20" s="133"/>
    </row>
    <row r="21" spans="1:11" x14ac:dyDescent="0.25">
      <c r="A21" s="89" t="s">
        <v>292</v>
      </c>
      <c r="B21" s="93" t="s">
        <v>237</v>
      </c>
      <c r="C21" s="94" t="s">
        <v>371</v>
      </c>
      <c r="D21" s="89">
        <v>1</v>
      </c>
      <c r="E21" s="89"/>
      <c r="F21" s="89" t="s">
        <v>671</v>
      </c>
      <c r="G21" s="89" t="s">
        <v>1763</v>
      </c>
      <c r="H21" s="89"/>
      <c r="J21" s="133"/>
      <c r="K21" s="133"/>
    </row>
    <row r="22" spans="1:11" x14ac:dyDescent="0.25">
      <c r="A22" s="89" t="s">
        <v>292</v>
      </c>
      <c r="B22" s="90" t="s">
        <v>420</v>
      </c>
      <c r="C22" s="91" t="s">
        <v>421</v>
      </c>
      <c r="D22" s="89">
        <v>1</v>
      </c>
      <c r="E22" s="89"/>
      <c r="F22" s="89" t="s">
        <v>671</v>
      </c>
      <c r="G22" s="89" t="s">
        <v>2683</v>
      </c>
      <c r="H22" s="89"/>
      <c r="J22" s="133"/>
      <c r="K22" s="133"/>
    </row>
    <row r="23" spans="1:11" x14ac:dyDescent="0.25">
      <c r="A23" s="89"/>
      <c r="B23" s="93" t="s">
        <v>475</v>
      </c>
      <c r="C23" s="94" t="s">
        <v>476</v>
      </c>
      <c r="D23" s="89">
        <v>1</v>
      </c>
      <c r="E23" s="89" t="s">
        <v>2684</v>
      </c>
      <c r="F23" s="89"/>
      <c r="G23" s="89"/>
      <c r="H23" s="89"/>
      <c r="J23" s="133"/>
      <c r="K23" s="133"/>
    </row>
    <row r="24" spans="1:11" x14ac:dyDescent="0.25">
      <c r="A24" s="89"/>
      <c r="B24" s="90" t="s">
        <v>477</v>
      </c>
      <c r="C24" s="91" t="s">
        <v>478</v>
      </c>
      <c r="D24" s="89">
        <v>1</v>
      </c>
      <c r="E24" s="89"/>
      <c r="F24" s="89"/>
      <c r="G24" s="89"/>
      <c r="H24" s="89"/>
      <c r="J24" s="133"/>
      <c r="K24" s="133"/>
    </row>
    <row r="25" spans="1:11" x14ac:dyDescent="0.25">
      <c r="A25" s="89" t="s">
        <v>282</v>
      </c>
      <c r="B25" s="93" t="s">
        <v>382</v>
      </c>
      <c r="C25" s="94" t="s">
        <v>383</v>
      </c>
      <c r="D25" s="89">
        <v>1</v>
      </c>
      <c r="E25" s="89" t="s">
        <v>2685</v>
      </c>
      <c r="F25" s="89" t="s">
        <v>671</v>
      </c>
      <c r="G25" s="89" t="s">
        <v>2686</v>
      </c>
      <c r="H25" s="89"/>
      <c r="J25" s="133"/>
      <c r="K25" s="133"/>
    </row>
    <row r="26" spans="1:11" x14ac:dyDescent="0.25">
      <c r="J26" s="133"/>
      <c r="K26" s="133"/>
    </row>
    <row r="27" spans="1:11" x14ac:dyDescent="0.25">
      <c r="J27" s="133"/>
      <c r="K27" s="133"/>
    </row>
    <row r="28" spans="1:11" x14ac:dyDescent="0.25">
      <c r="J28" s="133"/>
      <c r="K28" s="133"/>
    </row>
    <row r="29" spans="1:11" x14ac:dyDescent="0.25">
      <c r="J29" s="133"/>
      <c r="K29" s="133"/>
    </row>
    <row r="30" spans="1:11" x14ac:dyDescent="0.25">
      <c r="J30" s="133"/>
      <c r="K30" s="133"/>
    </row>
    <row r="31" spans="1:11" x14ac:dyDescent="0.25">
      <c r="J31" s="133"/>
      <c r="K31" s="133"/>
    </row>
    <row r="32" spans="1:11" x14ac:dyDescent="0.25">
      <c r="J32" s="133"/>
      <c r="K32" s="133"/>
    </row>
    <row r="33" spans="10:11" x14ac:dyDescent="0.25">
      <c r="J33" s="133"/>
      <c r="K33" s="133"/>
    </row>
    <row r="34" spans="10:11" x14ac:dyDescent="0.25">
      <c r="J34" s="133"/>
      <c r="K34" s="133"/>
    </row>
    <row r="35" spans="10:11" x14ac:dyDescent="0.25">
      <c r="J35" s="133"/>
      <c r="K35" s="133"/>
    </row>
    <row r="36" spans="10:11" x14ac:dyDescent="0.25">
      <c r="J36" s="133"/>
      <c r="K36" s="133"/>
    </row>
    <row r="37" spans="10:11" x14ac:dyDescent="0.25">
      <c r="J37" s="133"/>
      <c r="K37" s="133"/>
    </row>
    <row r="38" spans="10:11" x14ac:dyDescent="0.25">
      <c r="J38" s="133"/>
      <c r="K38" s="133"/>
    </row>
    <row r="39" spans="10:11" x14ac:dyDescent="0.25">
      <c r="J39" s="133"/>
      <c r="K39" s="133"/>
    </row>
    <row r="40" spans="10:11" x14ac:dyDescent="0.25">
      <c r="J40" s="133"/>
      <c r="K40" s="133"/>
    </row>
    <row r="41" spans="10:11" x14ac:dyDescent="0.25">
      <c r="J41" s="133"/>
      <c r="K41" s="133"/>
    </row>
    <row r="42" spans="10:11" x14ac:dyDescent="0.25">
      <c r="J42" s="133"/>
      <c r="K42" s="133"/>
    </row>
    <row r="43" spans="10:11" x14ac:dyDescent="0.25">
      <c r="J43" s="133"/>
      <c r="K43" s="133"/>
    </row>
    <row r="44" spans="10:11" x14ac:dyDescent="0.25">
      <c r="J44" s="133"/>
      <c r="K44" s="133"/>
    </row>
    <row r="45" spans="10:11" x14ac:dyDescent="0.25">
      <c r="J45" s="133"/>
      <c r="K45" s="133"/>
    </row>
    <row r="46" spans="10:11" x14ac:dyDescent="0.25">
      <c r="J46" s="133"/>
      <c r="K46" s="133"/>
    </row>
    <row r="47" spans="10:11" x14ac:dyDescent="0.25">
      <c r="J47" s="133"/>
      <c r="K47" s="133"/>
    </row>
    <row r="48" spans="10:11" x14ac:dyDescent="0.25">
      <c r="J48" s="133"/>
      <c r="K48" s="133"/>
    </row>
    <row r="49" spans="10:11" x14ac:dyDescent="0.25">
      <c r="J49" s="133"/>
      <c r="K49" s="133"/>
    </row>
    <row r="50" spans="10:11" x14ac:dyDescent="0.25">
      <c r="J50" s="133"/>
      <c r="K50" s="133"/>
    </row>
    <row r="51" spans="10:11" x14ac:dyDescent="0.25">
      <c r="J51" s="133"/>
      <c r="K51" s="133"/>
    </row>
    <row r="52" spans="10:11" x14ac:dyDescent="0.25">
      <c r="J52" s="133"/>
      <c r="K52" s="133"/>
    </row>
    <row r="53" spans="10:11" x14ac:dyDescent="0.25">
      <c r="J53" s="133"/>
      <c r="K53" s="133"/>
    </row>
    <row r="54" spans="10:11" x14ac:dyDescent="0.25">
      <c r="J54" s="133"/>
      <c r="K54" s="133"/>
    </row>
    <row r="55" spans="10:11" x14ac:dyDescent="0.25">
      <c r="J55" s="133"/>
      <c r="K55" s="133"/>
    </row>
    <row r="56" spans="10:11" x14ac:dyDescent="0.25">
      <c r="J56" s="133"/>
      <c r="K56" s="133"/>
    </row>
    <row r="57" spans="10:11" x14ac:dyDescent="0.25">
      <c r="J57" s="133"/>
      <c r="K57" s="133"/>
    </row>
    <row r="58" spans="10:11" x14ac:dyDescent="0.25">
      <c r="J58" s="133"/>
      <c r="K58" s="133"/>
    </row>
    <row r="59" spans="10:11" x14ac:dyDescent="0.25">
      <c r="J59" s="133"/>
      <c r="K59" s="133"/>
    </row>
    <row r="60" spans="10:11" x14ac:dyDescent="0.25">
      <c r="J60" s="133"/>
      <c r="K60" s="133"/>
    </row>
    <row r="61" spans="10:11" x14ac:dyDescent="0.25">
      <c r="J61" s="133"/>
      <c r="K61" s="133"/>
    </row>
    <row r="62" spans="10:11" x14ac:dyDescent="0.25">
      <c r="J62" s="133"/>
      <c r="K62" s="133"/>
    </row>
    <row r="63" spans="10:11" x14ac:dyDescent="0.25">
      <c r="J63" s="133"/>
      <c r="K63" s="133"/>
    </row>
    <row r="64" spans="10:11" x14ac:dyDescent="0.25">
      <c r="J64" s="133"/>
      <c r="K64" s="133"/>
    </row>
    <row r="65" spans="10:11" x14ac:dyDescent="0.25">
      <c r="J65" s="133"/>
      <c r="K65" s="133"/>
    </row>
    <row r="66" spans="10:11" x14ac:dyDescent="0.25">
      <c r="J66" s="133"/>
      <c r="K66" s="133"/>
    </row>
    <row r="67" spans="10:11" x14ac:dyDescent="0.25">
      <c r="J67" s="133"/>
      <c r="K67" s="133"/>
    </row>
    <row r="68" spans="10:11" x14ac:dyDescent="0.25">
      <c r="J68" s="133"/>
      <c r="K68" s="133"/>
    </row>
    <row r="69" spans="10:11" x14ac:dyDescent="0.25">
      <c r="J69" s="133"/>
      <c r="K69" s="133"/>
    </row>
    <row r="70" spans="10:11" x14ac:dyDescent="0.25">
      <c r="J70" s="133"/>
      <c r="K70" s="133"/>
    </row>
    <row r="71" spans="10:11" x14ac:dyDescent="0.25">
      <c r="J71" s="133"/>
      <c r="K71" s="133"/>
    </row>
    <row r="72" spans="10:11" x14ac:dyDescent="0.25">
      <c r="J72" s="133"/>
      <c r="K72" s="133"/>
    </row>
    <row r="73" spans="10:11" x14ac:dyDescent="0.25">
      <c r="J73" s="133"/>
      <c r="K73" s="133"/>
    </row>
    <row r="74" spans="10:11" x14ac:dyDescent="0.25">
      <c r="J74" s="133"/>
      <c r="K74" s="133"/>
    </row>
    <row r="75" spans="10:11" x14ac:dyDescent="0.25">
      <c r="J75" s="133"/>
      <c r="K75" s="133"/>
    </row>
    <row r="76" spans="10:11" x14ac:dyDescent="0.25">
      <c r="J76" s="133"/>
      <c r="K76" s="133"/>
    </row>
    <row r="77" spans="10:11" x14ac:dyDescent="0.25">
      <c r="J77" s="133"/>
      <c r="K77" s="133"/>
    </row>
    <row r="78" spans="10:11" x14ac:dyDescent="0.25">
      <c r="J78" s="133"/>
      <c r="K78" s="133"/>
    </row>
    <row r="79" spans="10:11" x14ac:dyDescent="0.25">
      <c r="J79" s="133"/>
      <c r="K79" s="133"/>
    </row>
    <row r="80" spans="10:11" x14ac:dyDescent="0.25">
      <c r="J80" s="133"/>
      <c r="K80" s="133"/>
    </row>
    <row r="81" spans="10:11" x14ac:dyDescent="0.25">
      <c r="J81" s="133"/>
      <c r="K81" s="133"/>
    </row>
    <row r="82" spans="10:11" x14ac:dyDescent="0.25">
      <c r="J82" s="133"/>
      <c r="K82" s="133"/>
    </row>
    <row r="83" spans="10:11" x14ac:dyDescent="0.25">
      <c r="J83" s="133"/>
      <c r="K83" s="133"/>
    </row>
    <row r="84" spans="10:11" x14ac:dyDescent="0.25">
      <c r="J84" s="133"/>
      <c r="K84" s="133"/>
    </row>
  </sheetData>
  <conditionalFormatting sqref="B1:C25">
    <cfRule type="expression" dxfId="42" priority="21" stopIfTrue="1">
      <formula>$K1="0 = not defined"</formula>
    </cfRule>
    <cfRule type="expression" dxfId="41" priority="22" stopIfTrue="1">
      <formula>$K1="10 = definition drafted"</formula>
    </cfRule>
    <cfRule type="expression" dxfId="40" priority="23" stopIfTrue="1">
      <formula>$K1="20 = definition agreed by wacor project team"</formula>
    </cfRule>
    <cfRule type="expression" dxfId="39" priority="24" stopIfTrue="1">
      <formula>$K1="30 = definition out to consultation with consultation group"</formula>
    </cfRule>
    <cfRule type="expression" priority="25" stopIfTrue="1">
      <formula>$K1="40 = definition being revised following feedback from consultation group"</formula>
    </cfRule>
    <cfRule type="expression" dxfId="38" priority="26" stopIfTrue="1">
      <formula>$K1="50 = definition approved by constulation group"</formula>
    </cfRule>
    <cfRule type="expression" dxfId="37" priority="27" stopIfTrue="1">
      <formula>$K1="60 = definition finalised"</formula>
    </cfRule>
    <cfRule type="expression" dxfId="36" priority="28" stopIfTrue="1">
      <formula>$K1="70 = definition sent to PC for scrutiny"</formula>
    </cfRule>
    <cfRule type="expression" dxfId="35" priority="29" stopIfTrue="1">
      <formula>$K1="80 = definition finalised"</formula>
    </cfRule>
    <cfRule type="expression" dxfId="34" priority="30" stopIfTrue="1">
      <formula>$K1="90 = definition retired / superseded"</formula>
    </cfRule>
  </conditionalFormatting>
  <conditionalFormatting sqref="B2:C3">
    <cfRule type="expression" dxfId="33" priority="1" stopIfTrue="1">
      <formula>$K2="0 = not defined"</formula>
    </cfRule>
    <cfRule type="expression" dxfId="32" priority="2" stopIfTrue="1">
      <formula>$K2="10 = definition drafted"</formula>
    </cfRule>
    <cfRule type="expression" dxfId="31" priority="3" stopIfTrue="1">
      <formula>$K2="20 = definition agreed by wacor project team"</formula>
    </cfRule>
    <cfRule type="expression" dxfId="30" priority="4" stopIfTrue="1">
      <formula>$K2="30 = definition out to consultation with consultation group"</formula>
    </cfRule>
    <cfRule type="expression" priority="5" stopIfTrue="1">
      <formula>$K2="40 = definition being revised following feedback from consultation group"</formula>
    </cfRule>
    <cfRule type="expression" dxfId="29" priority="6" stopIfTrue="1">
      <formula>$K2="50 = definition approved by constulation group"</formula>
    </cfRule>
    <cfRule type="expression" dxfId="28" priority="7" stopIfTrue="1">
      <formula>$K2="60 = definition finalised"</formula>
    </cfRule>
    <cfRule type="expression" dxfId="27" priority="8" stopIfTrue="1">
      <formula>$K2="70 = definition sent to PC for scrutiny"</formula>
    </cfRule>
    <cfRule type="expression" dxfId="26" priority="9" stopIfTrue="1">
      <formula>$K2="80 = definition finalised"</formula>
    </cfRule>
    <cfRule type="expression" dxfId="25" priority="10" stopIfTrue="1">
      <formula>$K2="90 = definition retired / superseded"</formula>
    </cfRule>
  </conditionalFormatting>
  <conditionalFormatting sqref="D1:G1">
    <cfRule type="expression" dxfId="24" priority="11" stopIfTrue="1">
      <formula>$K1="0 = not defined"</formula>
    </cfRule>
    <cfRule type="expression" dxfId="23" priority="12" stopIfTrue="1">
      <formula>$K1="10 = definition drafted"</formula>
    </cfRule>
    <cfRule type="expression" dxfId="22" priority="13" stopIfTrue="1">
      <formula>$K1="20 = definition agreed by wacor project team"</formula>
    </cfRule>
    <cfRule type="expression" dxfId="21" priority="14" stopIfTrue="1">
      <formula>$K1="30 = definition out to consultation with consultation group"</formula>
    </cfRule>
    <cfRule type="expression" priority="15" stopIfTrue="1">
      <formula>$K1="40 = definition being revised following feedback from consultation group"</formula>
    </cfRule>
    <cfRule type="expression" dxfId="20" priority="16" stopIfTrue="1">
      <formula>$K1="50 = definition approved by constulation group"</formula>
    </cfRule>
    <cfRule type="expression" dxfId="19" priority="17" stopIfTrue="1">
      <formula>$K1="60 = definition finalised"</formula>
    </cfRule>
    <cfRule type="expression" dxfId="18" priority="18" stopIfTrue="1">
      <formula>$K1="70 = definition sent to PC for scrutiny"</formula>
    </cfRule>
    <cfRule type="expression" dxfId="17" priority="19" stopIfTrue="1">
      <formula>$K1="80 = definition finalised"</formula>
    </cfRule>
    <cfRule type="expression" dxfId="16" priority="20" stopIfTrue="1">
      <formula>$K1="90 = definition retired / superseded"</formula>
    </cfRule>
  </conditionalFormatting>
  <pageMargins left="0.7" right="0.7" top="0.75" bottom="0.75" header="0.3" footer="0.3"/>
  <pageSetup paperSize="9" orientation="portrait"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A2B44-8447-474D-8A6F-834942B8C04B}">
  <sheetPr codeName="Sheet10">
    <pageSetUpPr fitToPage="1"/>
  </sheetPr>
  <dimension ref="A1:O189"/>
  <sheetViews>
    <sheetView workbookViewId="0"/>
  </sheetViews>
  <sheetFormatPr defaultColWidth="9" defaultRowHeight="14.25" x14ac:dyDescent="0.2"/>
  <cols>
    <col min="1" max="1" width="19.5" style="38" customWidth="1"/>
    <col min="2" max="2" width="28.5" style="38" customWidth="1"/>
    <col min="3" max="3" width="9.875" style="38" customWidth="1"/>
    <col min="4" max="4" width="27" style="38" customWidth="1"/>
    <col min="5" max="5" width="36.375" style="38" customWidth="1"/>
    <col min="6" max="6" width="15.25" style="38" customWidth="1"/>
    <col min="7" max="7" width="29.5" style="38" customWidth="1"/>
    <col min="8" max="8" width="15.25" style="38" customWidth="1"/>
    <col min="9" max="9" width="17.375" style="38" customWidth="1"/>
    <col min="10" max="11" width="15.25" style="44" customWidth="1"/>
    <col min="12" max="12" width="24.75" style="38" customWidth="1"/>
    <col min="13" max="13" width="64" style="38" customWidth="1"/>
    <col min="14" max="14" width="24.75" style="38" customWidth="1"/>
    <col min="15" max="15" width="36.25" style="38" customWidth="1"/>
    <col min="16" max="16384" width="9" style="38"/>
  </cols>
  <sheetData>
    <row r="1" spans="1:15" x14ac:dyDescent="0.2">
      <c r="B1" s="39"/>
      <c r="C1" s="39"/>
      <c r="E1" s="40"/>
      <c r="F1" s="40"/>
      <c r="G1" s="39"/>
      <c r="H1" s="39"/>
    </row>
    <row r="2" spans="1:15" ht="15.75" x14ac:dyDescent="0.2">
      <c r="D2" s="41" t="str">
        <f>_xlfn.CONCAT("Data Dictionary - Data Elements  - version ",Intro!M7)</f>
        <v>Data Dictionary - Data Elements  - version 0.2</v>
      </c>
      <c r="E2" s="42"/>
      <c r="F2" s="40"/>
      <c r="G2" s="39"/>
      <c r="H2" s="39"/>
    </row>
    <row r="3" spans="1:15" x14ac:dyDescent="0.2">
      <c r="B3" s="39"/>
      <c r="C3" s="39"/>
      <c r="E3" s="40"/>
      <c r="F3" s="40"/>
      <c r="G3" s="39"/>
      <c r="H3" s="39"/>
    </row>
    <row r="4" spans="1:15" x14ac:dyDescent="0.2">
      <c r="B4" s="39"/>
      <c r="C4" s="39"/>
      <c r="E4" s="40"/>
      <c r="F4" s="40"/>
      <c r="G4" s="39"/>
      <c r="H4" s="39"/>
    </row>
    <row r="5" spans="1:15" x14ac:dyDescent="0.2">
      <c r="B5" s="39"/>
      <c r="C5" s="39"/>
      <c r="E5" s="40"/>
      <c r="F5" s="40"/>
      <c r="G5" s="39"/>
      <c r="H5" s="39"/>
    </row>
    <row r="6" spans="1:15" ht="18.75" customHeight="1" x14ac:dyDescent="0.2">
      <c r="A6" s="41" t="s">
        <v>265</v>
      </c>
      <c r="B6" s="41" t="s">
        <v>266</v>
      </c>
      <c r="C6" s="41" t="s">
        <v>1406</v>
      </c>
      <c r="D6" s="41" t="s">
        <v>1407</v>
      </c>
      <c r="E6" s="41" t="s">
        <v>1408</v>
      </c>
      <c r="F6" s="41" t="s">
        <v>263</v>
      </c>
      <c r="G6" s="41" t="s">
        <v>1409</v>
      </c>
      <c r="H6" s="41" t="s">
        <v>1410</v>
      </c>
      <c r="I6" s="41" t="s">
        <v>1411</v>
      </c>
      <c r="J6" s="45" t="s">
        <v>1412</v>
      </c>
      <c r="K6" s="45" t="s">
        <v>1413</v>
      </c>
      <c r="L6" s="41" t="s">
        <v>1414</v>
      </c>
      <c r="M6" s="41" t="s">
        <v>2687</v>
      </c>
      <c r="N6" s="41" t="s">
        <v>2688</v>
      </c>
      <c r="O6" s="41" t="s">
        <v>1423</v>
      </c>
    </row>
    <row r="7" spans="1:15" s="43" customFormat="1" ht="132.75" customHeight="1" x14ac:dyDescent="0.2">
      <c r="A7" s="43" t="str" cm="1">
        <f t="array" ref="A7:A187">_xlfn.UNIQUE(ncr_merged[column_name],FALSE,FALSE)</f>
        <v>firstname</v>
      </c>
      <c r="B7" s="43" t="str" cm="1">
        <f t="array" ref="B7">_xlfn.XLOOKUP($A7,ncr_merged[[#All],[column_name]],ncr_merged[[#All],[label]]," ",0)</f>
        <v>First Name</v>
      </c>
      <c r="D7" s="43" t="s">
        <v>2689</v>
      </c>
      <c r="E7" s="43" t="str">
        <f>_xlfn.CONCAT(_xlfn.XLOOKUP($A7,ncr_merged[[#All],[column_name]],ncr_merged[[#All],[question]]," ",0),_xlfn.XLOOKUP($A7,ncr_merged[[#All],[column_name]],ncr_merged[[#All],[supporting_definition]]," ",0))</f>
        <v/>
      </c>
      <c r="F7" s="43" t="str">
        <f>_xlfn.CONCAT(_xlfn.XLOOKUP($A7,ncr_merged[[#All],[column_name]],ncr_merged[[#All],[required]]," ",0),"")</f>
        <v>Mandatory</v>
      </c>
      <c r="G7" s="38" t="str">
        <f>_xlfn.CONCAT(_xlfn.XLOOKUP($A7,ncr_merged[[#All],[column_name]],ncr_merged[[#All],[comments]]," ",0),
_xlfn.XLOOKUP($A7,ncr_merged[[#All],[column_name]],ncr_merged[[#All],[validation_rule]]," ",0),
_xlfn.XLOOKUP($A7,ncr_merged[[#All],[column_name]],ncr_merged[[#All],[behaviour]]," ",0),
"from the NCR tab: ",_xlfn.XLOOKUP($A7,ncr_merged[[#All],[column_name]],ncr_merged[[#All],[source_tab]]),
" ")</f>
        <v xml:space="preserve">from the NCR tab: user </v>
      </c>
      <c r="H7" s="43" t="str">
        <f>_xlfn.CONCAT(_xlfn.XLOOKUP($A7,ncr_merged[[#All],[column_name]],ncr_merged[[#All],[format]]," ",0))</f>
        <v/>
      </c>
      <c r="I7" s="43" t="str">
        <f>_xlfn.CONCAT(_xlfn.XLOOKUP($A7,ncr_merged[[#All],[column_name]],ncr_merged[[#All],[permitted_values]]," ",0))</f>
        <v/>
      </c>
      <c r="J7" s="46" t="str">
        <f>_xlfn.CONCAT(_xlfn.XLOOKUP($A7,ncr_merged[[#All],[column_name]],ncr_merged[[#All],[range_(min)]]," ",0))</f>
        <v/>
      </c>
      <c r="K7" s="46" t="str">
        <f>_xlfn.CONCAT(_xlfn.XLOOKUP($A7,ncr_merged[[#All],[column_name]],ncr_merged[[#All],[range_(max)]]," ",0))</f>
        <v/>
      </c>
      <c r="L7" s="43" t="s">
        <v>2690</v>
      </c>
      <c r="M7" s="43" t="str" cm="1">
        <f t="array" ref="M7">_xlfn.CONCAT(IFERROR(_xlfn.XLOOKUP(data_elements_bkp!A7,Table_query__5[[#All],[NCR Variable ID]],Table_query__5[[#All],[in_progress]]),""))</f>
        <v/>
      </c>
      <c r="N7" s="43" t="s">
        <v>2691</v>
      </c>
      <c r="O7" s="43" t="s">
        <v>2692</v>
      </c>
    </row>
    <row r="8" spans="1:15" x14ac:dyDescent="0.2">
      <c r="A8" s="38" t="str">
        <v>lastname</v>
      </c>
      <c r="B8" s="38" t="str" cm="1">
        <f t="array" ref="B8">_xlfn.XLOOKUP($A8,ncr_merged[[#All],[column_name]],ncr_merged[[#All],[label]]," ",0)</f>
        <v>Last  name</v>
      </c>
      <c r="E8" s="38" t="str">
        <f>_xlfn.CONCAT(_xlfn.XLOOKUP($A8,ncr_merged[[#All],[column_name]],ncr_merged[[#All],[question]]," ",0),_xlfn.XLOOKUP($A8,ncr_merged[[#All],[column_name]],ncr_merged[[#All],[supporting_definition]]," ",0))</f>
        <v/>
      </c>
      <c r="F8" s="38" t="str">
        <f>_xlfn.CONCAT(_xlfn.XLOOKUP($A8,ncr_merged[[#All],[column_name]],ncr_merged[[#All],[required]]," ",0),"")</f>
        <v>Mandatory</v>
      </c>
      <c r="G8" s="38" t="str">
        <f>_xlfn.CONCAT(_xlfn.XLOOKUP($A8,ncr_merged[[#All],[column_name]],ncr_merged[[#All],[comments]]," ",0),
_xlfn.XLOOKUP($A8,ncr_merged[[#All],[column_name]],ncr_merged[[#All],[validation_rule]]," ",0),
_xlfn.XLOOKUP($A8,ncr_merged[[#All],[column_name]],ncr_merged[[#All],[behaviour]]," ",0),
"from the NCR tab: ",_xlfn.XLOOKUP($A8,ncr_merged[[#All],[column_name]],ncr_merged[[#All],[source_tab]]),
" ")</f>
        <v xml:space="preserve">from the NCR tab: user </v>
      </c>
      <c r="H8" s="38" t="str">
        <f>_xlfn.CONCAT(_xlfn.XLOOKUP($A8,ncr_merged[[#All],[column_name]],ncr_merged[[#All],[format]]," ",0))</f>
        <v/>
      </c>
      <c r="I8" s="38" t="str">
        <f>_xlfn.CONCAT(_xlfn.XLOOKUP($A8,ncr_merged[[#All],[column_name]],ncr_merged[[#All],[permitted_values]]," ",0))</f>
        <v/>
      </c>
      <c r="J8" s="44" t="str">
        <f>_xlfn.CONCAT(_xlfn.XLOOKUP($A8,ncr_merged[[#All],[column_name]],ncr_merged[[#All],[range_(min)]]," ",0))</f>
        <v/>
      </c>
      <c r="K8" s="44" t="str">
        <f>_xlfn.CONCAT(_xlfn.XLOOKUP($A8,ncr_merged[[#All],[column_name]],ncr_merged[[#All],[range_(max)]]," ",0))</f>
        <v/>
      </c>
      <c r="M8" s="38" t="str" cm="1">
        <f t="array" ref="M8">_xlfn.CONCAT(IFERROR(_xlfn.XLOOKUP(data_elements_bkp!A8,Table_query__5[[#All],[NCR Variable ID]],Table_query__5[[#All],[in_progress]]),""))</f>
        <v/>
      </c>
    </row>
    <row r="9" spans="1:15" x14ac:dyDescent="0.2">
      <c r="A9" s="38" t="str">
        <v>state</v>
      </c>
      <c r="B9" s="38" t="str" cm="1">
        <f t="array" ref="B9">_xlfn.XLOOKUP($A9,ncr_merged[[#All],[column_name]],ncr_merged[[#All],[label]]," ",0)</f>
        <v>State</v>
      </c>
      <c r="E9" s="38" t="str">
        <f>_xlfn.CONCAT(_xlfn.XLOOKUP($A9,ncr_merged[[#All],[column_name]],ncr_merged[[#All],[question]]," ",0),_xlfn.XLOOKUP($A9,ncr_merged[[#All],[column_name]],ncr_merged[[#All],[supporting_definition]]," ",0))</f>
        <v/>
      </c>
      <c r="F9" s="38" t="str">
        <f>_xlfn.CONCAT(_xlfn.XLOOKUP($A9,ncr_merged[[#All],[column_name]],ncr_merged[[#All],[required]]," ",0),"")</f>
        <v>Mandatory</v>
      </c>
      <c r="G9" s="38" t="str">
        <f>_xlfn.CONCAT(_xlfn.XLOOKUP($A9,ncr_merged[[#All],[column_name]],ncr_merged[[#All],[comments]]," ",0),
_xlfn.XLOOKUP($A9,ncr_merged[[#All],[column_name]],ncr_merged[[#All],[validation_rule]]," ",0),
_xlfn.XLOOKUP($A9,ncr_merged[[#All],[column_name]],ncr_merged[[#All],[behaviour]]," ",0),
"from the NCR tab: ",_xlfn.XLOOKUP($A9,ncr_merged[[#All],[column_name]],ncr_merged[[#All],[source_tab]]),
" ")</f>
        <v xml:space="preserve">NCR staff to have access to all, some s/t registries will manage contributions for other s/ts (e.g. VIC for TAS)from the NCR tab: user </v>
      </c>
      <c r="H9" s="38" t="str">
        <f>_xlfn.CONCAT(_xlfn.XLOOKUP($A9,ncr_merged[[#All],[column_name]],ncr_merged[[#All],[format]]," ",0))</f>
        <v/>
      </c>
      <c r="I9" s="38" t="str">
        <f>_xlfn.CONCAT(_xlfn.XLOOKUP($A9,ncr_merged[[#All],[column_name]],ncr_merged[[#All],[permitted_values]]," ",0))</f>
        <v>Check all that apply:
ACT
NSW
NT
QLD
SA
TAS
VIC
WA</v>
      </c>
      <c r="J9" s="44" t="str">
        <f>_xlfn.CONCAT(_xlfn.XLOOKUP($A9,ncr_merged[[#All],[column_name]],ncr_merged[[#All],[range_(min)]]," ",0))</f>
        <v/>
      </c>
      <c r="K9" s="44" t="str">
        <f>_xlfn.CONCAT(_xlfn.XLOOKUP($A9,ncr_merged[[#All],[column_name]],ncr_merged[[#All],[range_(max)]]," ",0))</f>
        <v/>
      </c>
      <c r="M9" s="38" t="str" cm="1">
        <f t="array" ref="M9">_xlfn.CONCAT(IFERROR(_xlfn.XLOOKUP(data_elements_bkp!A9,Table_query__5[[#All],[NCR Variable ID]],Table_query__5[[#All],[in_progress]]),""))</f>
        <v/>
      </c>
    </row>
    <row r="10" spans="1:15" x14ac:dyDescent="0.2">
      <c r="A10" s="38" t="str">
        <v>email</v>
      </c>
      <c r="B10" s="38" t="str" cm="1">
        <f t="array" ref="B10">_xlfn.XLOOKUP($A10,ncr_merged[[#All],[column_name]],ncr_merged[[#All],[label]]," ",0)</f>
        <v>Email address</v>
      </c>
      <c r="E10" s="38" t="str">
        <f>_xlfn.CONCAT(_xlfn.XLOOKUP($A10,ncr_merged[[#All],[column_name]],ncr_merged[[#All],[question]]," ",0),_xlfn.XLOOKUP($A10,ncr_merged[[#All],[column_name]],ncr_merged[[#All],[supporting_definition]]," ",0))</f>
        <v/>
      </c>
      <c r="F10" s="38" t="str">
        <f>_xlfn.CONCAT(_xlfn.XLOOKUP($A10,ncr_merged[[#All],[column_name]],ncr_merged[[#All],[required]]," ",0),"")</f>
        <v>Mandatory</v>
      </c>
      <c r="G10" s="38" t="str">
        <f>_xlfn.CONCAT(_xlfn.XLOOKUP($A10,ncr_merged[[#All],[column_name]],ncr_merged[[#All],[comments]]," ",0),
_xlfn.XLOOKUP($A10,ncr_merged[[#All],[column_name]],ncr_merged[[#All],[validation_rule]]," ",0),
_xlfn.XLOOKUP($A10,ncr_merged[[#All],[column_name]],ncr_merged[[#All],[behaviour]]," ",0),
"from the NCR tab: ",_xlfn.XLOOKUP($A10,ncr_merged[[#All],[column_name]],ncr_merged[[#All],[source_tab]]),
" ")</f>
        <v xml:space="preserve">This will act as the usernamefrom the NCR tab: user </v>
      </c>
      <c r="H10" s="38" t="str">
        <f>_xlfn.CONCAT(_xlfn.XLOOKUP($A10,ncr_merged[[#All],[column_name]],ncr_merged[[#All],[format]]," ",0))</f>
        <v/>
      </c>
      <c r="I10" s="38" t="str">
        <f>_xlfn.CONCAT(_xlfn.XLOOKUP($A10,ncr_merged[[#All],[column_name]],ncr_merged[[#All],[permitted_values]]," ",0))</f>
        <v/>
      </c>
      <c r="J10" s="44" t="str">
        <f>_xlfn.CONCAT(_xlfn.XLOOKUP($A10,ncr_merged[[#All],[column_name]],ncr_merged[[#All],[range_(min)]]," ",0))</f>
        <v/>
      </c>
      <c r="K10" s="44" t="str">
        <f>_xlfn.CONCAT(_xlfn.XLOOKUP($A10,ncr_merged[[#All],[column_name]],ncr_merged[[#All],[range_(max)]]," ",0))</f>
        <v/>
      </c>
      <c r="M10" s="38" t="str" cm="1">
        <f t="array" ref="M10">_xlfn.CONCAT(IFERROR(_xlfn.XLOOKUP(data_elements_bkp!A10,Table_query__5[[#All],[NCR Variable ID]],Table_query__5[[#All],[in_progress]]),""))</f>
        <v/>
      </c>
    </row>
    <row r="11" spans="1:15" x14ac:dyDescent="0.2">
      <c r="A11" s="38" t="str">
        <v>role</v>
      </c>
      <c r="B11" s="38" t="str" cm="1">
        <f t="array" ref="B11">_xlfn.XLOOKUP($A11,ncr_merged[[#All],[column_name]],ncr_merged[[#All],[label]]," ",0)</f>
        <v>Role</v>
      </c>
      <c r="E11" s="38" t="str">
        <f>_xlfn.CONCAT(_xlfn.XLOOKUP($A11,ncr_merged[[#All],[column_name]],ncr_merged[[#All],[question]]," ",0),_xlfn.XLOOKUP($A11,ncr_merged[[#All],[column_name]],ncr_merged[[#All],[supporting_definition]]," ",0))</f>
        <v/>
      </c>
      <c r="F11" s="38" t="str">
        <f>_xlfn.CONCAT(_xlfn.XLOOKUP($A11,ncr_merged[[#All],[column_name]],ncr_merged[[#All],[required]]," ",0),"")</f>
        <v>Not in use on commencement</v>
      </c>
      <c r="G11" s="38" t="str">
        <f>_xlfn.CONCAT(_xlfn.XLOOKUP($A11,ncr_merged[[#All],[column_name]],ncr_merged[[#All],[comments]]," ",0),
_xlfn.XLOOKUP($A11,ncr_merged[[#All],[column_name]],ncr_merged[[#All],[validation_rule]]," ",0),
_xlfn.XLOOKUP($A11,ncr_merged[[#All],[column_name]],ncr_merged[[#All],[behaviour]]," ",0),
"from the NCR tab: ",_xlfn.XLOOKUP($A11,ncr_merged[[#All],[column_name]],ncr_merged[[#All],[source_tab]]),
" ")</f>
        <v xml:space="preserve">On commencement just NCR and State admin, clinicians and hospitals could be added in the futurefrom the NCR tab: user </v>
      </c>
      <c r="H11" s="38" t="str">
        <f>_xlfn.CONCAT(_xlfn.XLOOKUP($A11,ncr_merged[[#All],[column_name]],ncr_merged[[#All],[format]]," ",0))</f>
        <v/>
      </c>
      <c r="I11" s="38" t="str">
        <f>_xlfn.CONCAT(_xlfn.XLOOKUP($A11,ncr_merged[[#All],[column_name]],ncr_merged[[#All],[permitted_values]]," ",0))</f>
        <v>1 = NCR Administrator
2 = State Administrator
3 = Clinician
4 = Hospital?? (HOU/Q&amp;S person?)</v>
      </c>
      <c r="J11" s="44" t="str">
        <f>_xlfn.CONCAT(_xlfn.XLOOKUP($A11,ncr_merged[[#All],[column_name]],ncr_merged[[#All],[range_(min)]]," ",0))</f>
        <v/>
      </c>
      <c r="K11" s="44" t="str">
        <f>_xlfn.CONCAT(_xlfn.XLOOKUP($A11,ncr_merged[[#All],[column_name]],ncr_merged[[#All],[range_(max)]]," ",0))</f>
        <v/>
      </c>
      <c r="M11" s="38" t="str" cm="1">
        <f t="array" ref="M11">_xlfn.CONCAT(IFERROR(_xlfn.XLOOKUP(data_elements_bkp!A11,Table_query__5[[#All],[NCR Variable ID]],Table_query__5[[#All],[in_progress]]),""))</f>
        <v/>
      </c>
    </row>
    <row r="12" spans="1:15" x14ac:dyDescent="0.2">
      <c r="A12" s="38" t="str">
        <v>userdeactivate</v>
      </c>
      <c r="B12" s="38" t="str" cm="1">
        <f t="array" ref="B12">_xlfn.XLOOKUP($A12,ncr_merged[[#All],[column_name]],ncr_merged[[#All],[label]]," ",0)</f>
        <v>User Status - Deactivated</v>
      </c>
      <c r="E12" s="38" t="str">
        <f>_xlfn.CONCAT(_xlfn.XLOOKUP($A12,ncr_merged[[#All],[column_name]],ncr_merged[[#All],[question]]," ",0),_xlfn.XLOOKUP($A12,ncr_merged[[#All],[column_name]],ncr_merged[[#All],[supporting_definition]]," ",0))</f>
        <v/>
      </c>
      <c r="F12" s="38" t="str">
        <f>_xlfn.CONCAT(_xlfn.XLOOKUP($A12,ncr_merged[[#All],[column_name]],ncr_merged[[#All],[required]]," ",0),"")</f>
        <v>Only when user deactivated</v>
      </c>
      <c r="G12" s="38" t="str">
        <f>_xlfn.CONCAT(_xlfn.XLOOKUP($A12,ncr_merged[[#All],[column_name]],ncr_merged[[#All],[comments]]," ",0),
_xlfn.XLOOKUP($A12,ncr_merged[[#All],[column_name]],ncr_merged[[#All],[validation_rule]]," ",0),
_xlfn.XLOOKUP($A12,ncr_merged[[#All],[column_name]],ncr_merged[[#All],[behaviour]]," ",0),
"from the NCR tab: ",_xlfn.XLOOKUP($A12,ncr_merged[[#All],[column_name]],ncr_merged[[#All],[source_tab]]),
" ")</f>
        <v xml:space="preserve">from the NCR tab: user </v>
      </c>
      <c r="H12" s="38" t="str">
        <f>_xlfn.CONCAT(_xlfn.XLOOKUP($A12,ncr_merged[[#All],[column_name]],ncr_merged[[#All],[format]]," ",0))</f>
        <v/>
      </c>
      <c r="I12" s="38" t="str">
        <f>_xlfn.CONCAT(_xlfn.XLOOKUP($A12,ncr_merged[[#All],[column_name]],ncr_merged[[#All],[permitted_values]]," ",0))</f>
        <v>Check if user no longer active</v>
      </c>
      <c r="J12" s="44" t="str">
        <f>_xlfn.CONCAT(_xlfn.XLOOKUP($A12,ncr_merged[[#All],[column_name]],ncr_merged[[#All],[range_(min)]]," ",0))</f>
        <v/>
      </c>
      <c r="K12" s="44" t="str">
        <f>_xlfn.CONCAT(_xlfn.XLOOKUP($A12,ncr_merged[[#All],[column_name]],ncr_merged[[#All],[range_(max)]]," ",0))</f>
        <v/>
      </c>
      <c r="M12" s="38" t="str" cm="1">
        <f t="array" ref="M12">_xlfn.CONCAT(IFERROR(_xlfn.XLOOKUP(data_elements_bkp!A12,Table_query__5[[#All],[NCR Variable ID]],Table_query__5[[#All],[in_progress]]),""))</f>
        <v/>
      </c>
    </row>
    <row r="13" spans="1:15" x14ac:dyDescent="0.2">
      <c r="A13" s="38" t="str">
        <v>ncrpatientid</v>
      </c>
      <c r="B13" s="38" t="str" cm="1">
        <f t="array" ref="B13">_xlfn.XLOOKUP($A13,ncr_merged[[#All],[column_name]],ncr_merged[[#All],[label]]," ",0)</f>
        <v>PatientID NCR</v>
      </c>
      <c r="E13" s="38" t="str">
        <f>_xlfn.CONCAT(_xlfn.XLOOKUP($A13,ncr_merged[[#All],[column_name]],ncr_merged[[#All],[question]]," ",0),_xlfn.XLOOKUP($A13,ncr_merged[[#All],[column_name]],ncr_merged[[#All],[supporting_definition]]," ",0))</f>
        <v/>
      </c>
      <c r="F13" s="38" t="str">
        <f>_xlfn.CONCAT(_xlfn.XLOOKUP($A13,ncr_merged[[#All],[column_name]],ncr_merged[[#All],[required]]," ",0),"")</f>
        <v>System generated</v>
      </c>
      <c r="G13" s="38" t="str">
        <f>_xlfn.CONCAT(_xlfn.XLOOKUP($A13,ncr_merged[[#All],[column_name]],ncr_merged[[#All],[comments]]," ",0),
_xlfn.XLOOKUP($A13,ncr_merged[[#All],[column_name]],ncr_merged[[#All],[validation_rule]]," ",0),
_xlfn.XLOOKUP($A13,ncr_merged[[#All],[column_name]],ncr_merged[[#All],[behaviour]]," ",0),
"from the NCR tab: ",_xlfn.XLOOKUP($A13,ncr_merged[[#All],[column_name]],ncr_merged[[#All],[source_tab]]),
" ")</f>
        <v xml:space="preserve">from the NCR tab: patient </v>
      </c>
      <c r="H13" s="38" t="str">
        <f>_xlfn.CONCAT(_xlfn.XLOOKUP($A13,ncr_merged[[#All],[column_name]],ncr_merged[[#All],[format]]," ",0))</f>
        <v>NNNNNN</v>
      </c>
      <c r="I13" s="38" t="str">
        <f>_xlfn.CONCAT(_xlfn.XLOOKUP($A13,ncr_merged[[#All],[column_name]],ncr_merged[[#All],[permitted_values]]," ",0))</f>
        <v>System generate unique ID number = site state code + site public/private code + PatientID</v>
      </c>
      <c r="J13" s="44" t="str">
        <f>_xlfn.CONCAT(_xlfn.XLOOKUP($A13,ncr_merged[[#All],[column_name]],ncr_merged[[#All],[range_(min)]]," ",0))</f>
        <v/>
      </c>
      <c r="K13" s="44" t="str">
        <f>_xlfn.CONCAT(_xlfn.XLOOKUP($A13,ncr_merged[[#All],[column_name]],ncr_merged[[#All],[range_(max)]]," ",0))</f>
        <v/>
      </c>
      <c r="M13" s="38" t="str" cm="1">
        <f t="array" ref="M13">_xlfn.CONCAT(IFERROR(_xlfn.XLOOKUP(data_elements_bkp!A13,Table_query__5[[#All],[NCR Variable ID]],Table_query__5[[#All],[in_progress]]),""))</f>
        <v/>
      </c>
    </row>
    <row r="14" spans="1:15" x14ac:dyDescent="0.2">
      <c r="A14" s="38" t="str">
        <v>patientid</v>
      </c>
      <c r="B14" s="38" t="str" cm="1">
        <f t="array" ref="B14">_xlfn.XLOOKUP($A14,ncr_merged[[#All],[column_name]],ncr_merged[[#All],[label]]," ",0)</f>
        <v>PatientID State Code</v>
      </c>
      <c r="E14" s="38" t="str">
        <f>_xlfn.CONCAT(_xlfn.XLOOKUP($A14,ncr_merged[[#All],[column_name]],ncr_merged[[#All],[question]]," ",0),_xlfn.XLOOKUP($A14,ncr_merged[[#All],[column_name]],ncr_merged[[#All],[supporting_definition]]," ",0))</f>
        <v/>
      </c>
      <c r="F14" s="38" t="str">
        <f>_xlfn.CONCAT(_xlfn.XLOOKUP($A14,ncr_merged[[#All],[column_name]],ncr_merged[[#All],[required]]," ",0),"")</f>
        <v>Always</v>
      </c>
      <c r="G14" s="38" t="str">
        <f>_xlfn.CONCAT(_xlfn.XLOOKUP($A14,ncr_merged[[#All],[column_name]],ncr_merged[[#All],[comments]]," ",0),
_xlfn.XLOOKUP($A14,ncr_merged[[#All],[column_name]],ncr_merged[[#All],[validation_rule]]," ",0),
_xlfn.XLOOKUP($A14,ncr_merged[[#All],[column_name]],ncr_merged[[#All],[behaviour]]," ",0),
"from the NCR tab: ",_xlfn.XLOOKUP($A14,ncr_merged[[#All],[column_name]],ncr_merged[[#All],[source_tab]]),
" ")</f>
        <v xml:space="preserve">State generated, must be unique to each patientReject file if patientid is NULLfrom the NCR tab: patient </v>
      </c>
      <c r="H14" s="38" t="str">
        <f>_xlfn.CONCAT(_xlfn.XLOOKUP($A14,ncr_merged[[#All],[column_name]],ncr_merged[[#All],[format]]," ",0))</f>
        <v/>
      </c>
      <c r="I14" s="38" t="str">
        <f>_xlfn.CONCAT(_xlfn.XLOOKUP($A14,ncr_merged[[#All],[column_name]],ncr_merged[[#All],[permitted_values]]," ",0))</f>
        <v/>
      </c>
      <c r="J14" s="44" t="str">
        <f>_xlfn.CONCAT(_xlfn.XLOOKUP($A14,ncr_merged[[#All],[column_name]],ncr_merged[[#All],[range_(min)]]," ",0))</f>
        <v/>
      </c>
      <c r="K14" s="44" t="str">
        <f>_xlfn.CONCAT(_xlfn.XLOOKUP($A14,ncr_merged[[#All],[column_name]],ncr_merged[[#All],[range_(max)]]," ",0))</f>
        <v/>
      </c>
      <c r="M14" s="38" t="str" cm="1">
        <f t="array" ref="M14">_xlfn.CONCAT(IFERROR(_xlfn.XLOOKUP(data_elements_bkp!A14,Table_query__5[[#All],[NCR Variable ID]],Table_query__5[[#All],[in_progress]]),""))</f>
        <v/>
      </c>
    </row>
    <row r="15" spans="1:15" x14ac:dyDescent="0.2">
      <c r="A15" s="38" t="str">
        <v>sex</v>
      </c>
      <c r="B15" s="38" t="str" cm="1">
        <f t="array" ref="B15">_xlfn.XLOOKUP($A15,ncr_merged[[#All],[column_name]],ncr_merged[[#All],[label]]," ",0)</f>
        <v>sex</v>
      </c>
      <c r="E15" s="38" t="str">
        <f>_xlfn.CONCAT(_xlfn.XLOOKUP($A15,ncr_merged[[#All],[column_name]],ncr_merged[[#All],[question]]," ",0),_xlfn.XLOOKUP($A15,ncr_merged[[#All],[column_name]],ncr_merged[[#All],[supporting_definition]]," ",0))</f>
        <v/>
      </c>
      <c r="F15" s="38" t="str">
        <f>_xlfn.CONCAT(_xlfn.XLOOKUP($A15,ncr_merged[[#All],[column_name]],ncr_merged[[#All],[required]]," ",0),"")</f>
        <v>Always</v>
      </c>
      <c r="G15" s="38" t="str">
        <f>_xlfn.CONCAT(_xlfn.XLOOKUP($A15,ncr_merged[[#All],[column_name]],ncr_merged[[#All],[comments]]," ",0),
_xlfn.XLOOKUP($A15,ncr_merged[[#All],[column_name]],ncr_merged[[#All],[validation_rule]]," ",0),
_xlfn.XLOOKUP($A15,ncr_merged[[#All],[column_name]],ncr_merged[[#All],[behaviour]]," ",0),
"from the NCR tab: ",_xlfn.XLOOKUP($A15,ncr_merged[[#All],[column_name]],ncr_merged[[#All],[source_tab]]),
" ")</f>
        <v xml:space="preserve">Reject file is sex is NULLfrom the NCR tab: patient </v>
      </c>
      <c r="H15" s="38" t="str">
        <f>_xlfn.CONCAT(_xlfn.XLOOKUP($A15,ncr_merged[[#All],[column_name]],ncr_merged[[#All],[format]]," ",0))</f>
        <v>N</v>
      </c>
      <c r="I15" s="38" t="str">
        <f>_xlfn.CONCAT(_xlfn.XLOOKUP($A15,ncr_merged[[#All],[column_name]],ncr_merged[[#All],[permitted_values]]," ",0))</f>
        <v>1=Male
2=Female</v>
      </c>
      <c r="J15" s="44" t="str">
        <f>_xlfn.CONCAT(_xlfn.XLOOKUP($A15,ncr_merged[[#All],[column_name]],ncr_merged[[#All],[range_(min)]]," ",0))</f>
        <v>1</v>
      </c>
      <c r="K15" s="44" t="str">
        <f>_xlfn.CONCAT(_xlfn.XLOOKUP($A15,ncr_merged[[#All],[column_name]],ncr_merged[[#All],[range_(max)]]," ",0))</f>
        <v>2</v>
      </c>
      <c r="M15" s="38" t="str" cm="1">
        <f t="array" ref="M15">_xlfn.CONCAT(IFERROR(_xlfn.XLOOKUP(data_elements_bkp!A15,Table_query__5[[#All],[NCR Variable ID]],Table_query__5[[#All],[in_progress]]),""))</f>
        <v/>
      </c>
    </row>
    <row r="16" spans="1:15" x14ac:dyDescent="0.2">
      <c r="A16" s="38" t="str">
        <v>inds</v>
      </c>
      <c r="B16" s="38" t="str" cm="1">
        <f t="array" ref="B16">_xlfn.XLOOKUP($A16,ncr_merged[[#All],[column_name]],ncr_merged[[#All],[label]]," ",0)</f>
        <v>Indigenous status</v>
      </c>
      <c r="E16" s="38" t="str">
        <f>_xlfn.CONCAT(_xlfn.XLOOKUP($A16,ncr_merged[[#All],[column_name]],ncr_merged[[#All],[question]]," ",0),_xlfn.XLOOKUP($A16,ncr_merged[[#All],[column_name]],ncr_merged[[#All],[supporting_definition]]," ",0))</f>
        <v/>
      </c>
      <c r="F16" s="38" t="str">
        <f>_xlfn.CONCAT(_xlfn.XLOOKUP($A16,ncr_merged[[#All],[column_name]],ncr_merged[[#All],[required]]," ",0),"")</f>
        <v>Always</v>
      </c>
      <c r="G16" s="38" t="str">
        <f>_xlfn.CONCAT(_xlfn.XLOOKUP($A16,ncr_merged[[#All],[column_name]],ncr_merged[[#All],[comments]]," ",0),
_xlfn.XLOOKUP($A16,ncr_merged[[#All],[column_name]],ncr_merged[[#All],[validation_rule]]," ",0),
_xlfn.XLOOKUP($A16,ncr_merged[[#All],[column_name]],ncr_merged[[#All],[behaviour]]," ",0),
"from the NCR tab: ",_xlfn.XLOOKUP($A16,ncr_merged[[#All],[column_name]],ncr_merged[[#All],[source_tab]]),
" ")</f>
        <v xml:space="preserve">Reject file if inds is NULLfrom the NCR tab: patient </v>
      </c>
      <c r="H16" s="38" t="str">
        <f>_xlfn.CONCAT(_xlfn.XLOOKUP($A16,ncr_merged[[#All],[column_name]],ncr_merged[[#All],[format]]," ",0))</f>
        <v/>
      </c>
      <c r="I16" s="38" t="str">
        <f>_xlfn.CONCAT(_xlfn.XLOOKUP($A16,ncr_merged[[#All],[column_name]],ncr_merged[[#All],[permitted_values]]," ",0))</f>
        <v>0=Neither
1=Aboriginal
2=Torres Strait Islander
3=Both Aboriginal and Torres Strait Islander
-1=Unknown</v>
      </c>
      <c r="J16" s="44" t="str">
        <f>_xlfn.CONCAT(_xlfn.XLOOKUP($A16,ncr_merged[[#All],[column_name]],ncr_merged[[#All],[range_(min)]]," ",0))</f>
        <v>-1</v>
      </c>
      <c r="K16" s="44" t="str">
        <f>_xlfn.CONCAT(_xlfn.XLOOKUP($A16,ncr_merged[[#All],[column_name]],ncr_merged[[#All],[range_(max)]]," ",0))</f>
        <v>3</v>
      </c>
      <c r="M16" s="38" t="str" cm="1">
        <f t="array" ref="M16">_xlfn.CONCAT(IFERROR(_xlfn.XLOOKUP(data_elements_bkp!A16,Table_query__5[[#All],[NCR Variable ID]],Table_query__5[[#All],[in_progress]]),""))</f>
        <v>hmds but needs mapping</v>
      </c>
    </row>
    <row r="17" spans="1:13" x14ac:dyDescent="0.2">
      <c r="A17" s="38" t="str">
        <v>hname</v>
      </c>
      <c r="B17" s="38" t="str" cm="1">
        <f t="array" ref="B17">_xlfn.XLOOKUP($A17,ncr_merged[[#All],[column_name]],ncr_merged[[#All],[label]]," ",0)</f>
        <v>Hospital Name</v>
      </c>
      <c r="E17" s="38" t="str">
        <f>_xlfn.CONCAT(_xlfn.XLOOKUP($A17,ncr_merged[[#All],[column_name]],ncr_merged[[#All],[question]]," ",0),_xlfn.XLOOKUP($A17,ncr_merged[[#All],[column_name]],ncr_merged[[#All],[supporting_definition]]," ",0))</f>
        <v/>
      </c>
      <c r="F17" s="38" t="str">
        <f>_xlfn.CONCAT(_xlfn.XLOOKUP($A17,ncr_merged[[#All],[column_name]],ncr_merged[[#All],[required]]," ",0),"")</f>
        <v>Mandatory</v>
      </c>
      <c r="G17" s="38" t="str">
        <f>_xlfn.CONCAT(_xlfn.XLOOKUP($A17,ncr_merged[[#All],[column_name]],ncr_merged[[#All],[comments]]," ",0),
_xlfn.XLOOKUP($A17,ncr_merged[[#All],[column_name]],ncr_merged[[#All],[validation_rule]]," ",0),
_xlfn.XLOOKUP($A17,ncr_merged[[#All],[column_name]],ncr_merged[[#All],[behaviour]]," ",0),
"from the NCR tab: ",_xlfn.XLOOKUP($A17,ncr_merged[[#All],[column_name]],ncr_merged[[#All],[source_tab]]),
" ")</f>
        <v xml:space="preserve">from the NCR tab: site </v>
      </c>
      <c r="H17" s="38" t="str">
        <f>_xlfn.CONCAT(_xlfn.XLOOKUP($A17,ncr_merged[[#All],[column_name]],ncr_merged[[#All],[format]]," ",0))</f>
        <v/>
      </c>
      <c r="I17" s="38" t="str">
        <f>_xlfn.CONCAT(_xlfn.XLOOKUP($A17,ncr_merged[[#All],[column_name]],ncr_merged[[#All],[permitted_values]]," ",0))</f>
        <v/>
      </c>
      <c r="J17" s="44" t="str">
        <f>_xlfn.CONCAT(_xlfn.XLOOKUP($A17,ncr_merged[[#All],[column_name]],ncr_merged[[#All],[range_(min)]]," ",0))</f>
        <v/>
      </c>
      <c r="K17" s="44" t="str">
        <f>_xlfn.CONCAT(_xlfn.XLOOKUP($A17,ncr_merged[[#All],[column_name]],ncr_merged[[#All],[range_(max)]]," ",0))</f>
        <v/>
      </c>
      <c r="M17" s="38" t="str" cm="1">
        <f t="array" ref="M17">_xlfn.CONCAT(IFERROR(_xlfn.XLOOKUP(data_elements_bkp!A17,Table_query__5[[#All],[NCR Variable ID]],Table_query__5[[#All],[in_progress]]),""))</f>
        <v/>
      </c>
    </row>
    <row r="18" spans="1:13" x14ac:dyDescent="0.2">
      <c r="A18" s="38" t="str">
        <v>ncrhid</v>
      </c>
      <c r="B18" s="38" t="str" cm="1">
        <f t="array" ref="B18">_xlfn.XLOOKUP($A18,ncr_merged[[#All],[column_name]],ncr_merged[[#All],[label]]," ",0)</f>
        <v>NCR Hospital ID</v>
      </c>
      <c r="E18" s="38" t="str">
        <f>_xlfn.CONCAT(_xlfn.XLOOKUP($A18,ncr_merged[[#All],[column_name]],ncr_merged[[#All],[question]]," ",0),_xlfn.XLOOKUP($A18,ncr_merged[[#All],[column_name]],ncr_merged[[#All],[supporting_definition]]," ",0))</f>
        <v/>
      </c>
      <c r="F18" s="38" t="str">
        <f>_xlfn.CONCAT(_xlfn.XLOOKUP($A18,ncr_merged[[#All],[column_name]],ncr_merged[[#All],[required]]," ",0),"")</f>
        <v>Mandatory</v>
      </c>
      <c r="G18" s="38" t="str">
        <f>_xlfn.CONCAT(_xlfn.XLOOKUP($A18,ncr_merged[[#All],[column_name]],ncr_merged[[#All],[comments]]," ",0),
_xlfn.XLOOKUP($A18,ncr_merged[[#All],[column_name]],ncr_merged[[#All],[validation_rule]]," ",0),
_xlfn.XLOOKUP($A18,ncr_merged[[#All],[column_name]],ncr_merged[[#All],[behaviour]]," ",0),
"from the NCR tab: ",_xlfn.XLOOKUP($A18,ncr_merged[[#All],[column_name]],ncr_merged[[#All],[source_tab]]),
" ")</f>
        <v xml:space="preserve">from the NCR tab: site </v>
      </c>
      <c r="H18" s="38" t="str">
        <f>_xlfn.CONCAT(_xlfn.XLOOKUP($A18,ncr_merged[[#All],[column_name]],ncr_merged[[#All],[format]]," ",0))</f>
        <v>NNNNNN</v>
      </c>
      <c r="I18" s="38" t="str">
        <f>_xlfn.CONCAT(_xlfn.XLOOKUP($A18,ncr_merged[[#All],[column_name]],ncr_merged[[#All],[permitted_values]]," ",0))</f>
        <v/>
      </c>
      <c r="J18" s="44" t="str">
        <f>_xlfn.CONCAT(_xlfn.XLOOKUP($A18,ncr_merged[[#All],[column_name]],ncr_merged[[#All],[range_(min)]]," ",0))</f>
        <v/>
      </c>
      <c r="K18" s="44" t="str">
        <f>_xlfn.CONCAT(_xlfn.XLOOKUP($A18,ncr_merged[[#All],[column_name]],ncr_merged[[#All],[range_(max)]]," ",0))</f>
        <v/>
      </c>
      <c r="M18" s="38" t="str" cm="1">
        <f t="array" ref="M18">_xlfn.CONCAT(IFERROR(_xlfn.XLOOKUP(data_elements_bkp!A18,Table_query__5[[#All],[NCR Variable ID]],Table_query__5[[#All],[in_progress]]),""))</f>
        <v/>
      </c>
    </row>
    <row r="19" spans="1:13" x14ac:dyDescent="0.2">
      <c r="A19" s="38" t="str">
        <v>hid</v>
      </c>
      <c r="B19" s="38" t="str" cm="1">
        <f t="array" ref="B19">_xlfn.XLOOKUP($A19,ncr_merged[[#All],[column_name]],ncr_merged[[#All],[label]]," ",0)</f>
        <v>State Hospital ID</v>
      </c>
      <c r="E19" s="38" t="str">
        <f>_xlfn.CONCAT(_xlfn.XLOOKUP($A19,ncr_merged[[#All],[column_name]],ncr_merged[[#All],[question]]," ",0),_xlfn.XLOOKUP($A19,ncr_merged[[#All],[column_name]],ncr_merged[[#All],[supporting_definition]]," ",0))</f>
        <v/>
      </c>
      <c r="F19" s="38" t="str">
        <f>_xlfn.CONCAT(_xlfn.XLOOKUP($A19,ncr_merged[[#All],[column_name]],ncr_merged[[#All],[required]]," ",0),"")</f>
        <v>Mandatory</v>
      </c>
      <c r="G19" s="38" t="str">
        <f>_xlfn.CONCAT(_xlfn.XLOOKUP($A19,ncr_merged[[#All],[column_name]],ncr_merged[[#All],[comments]]," ",0),
_xlfn.XLOOKUP($A19,ncr_merged[[#All],[column_name]],ncr_merged[[#All],[validation_rule]]," ",0),
_xlfn.XLOOKUP($A19,ncr_merged[[#All],[column_name]],ncr_merged[[#All],[behaviour]]," ",0),
"from the NCR tab: ",_xlfn.XLOOKUP($A19,ncr_merged[[#All],[column_name]],ncr_merged[[#All],[source_tab]]),
" ")</f>
        <v xml:space="preserve">from the NCR tab: site </v>
      </c>
      <c r="H19" s="38" t="str">
        <f>_xlfn.CONCAT(_xlfn.XLOOKUP($A19,ncr_merged[[#All],[column_name]],ncr_merged[[#All],[format]]," ",0))</f>
        <v/>
      </c>
      <c r="I19" s="38" t="str">
        <f>_xlfn.CONCAT(_xlfn.XLOOKUP($A19,ncr_merged[[#All],[column_name]],ncr_merged[[#All],[permitted_values]]," ",0))</f>
        <v/>
      </c>
      <c r="J19" s="44" t="str">
        <f>_xlfn.CONCAT(_xlfn.XLOOKUP($A19,ncr_merged[[#All],[column_name]],ncr_merged[[#All],[range_(min)]]," ",0))</f>
        <v/>
      </c>
      <c r="K19" s="44" t="str">
        <f>_xlfn.CONCAT(_xlfn.XLOOKUP($A19,ncr_merged[[#All],[column_name]],ncr_merged[[#All],[range_(max)]]," ",0))</f>
        <v/>
      </c>
      <c r="M19" s="38" t="str" cm="1">
        <f t="array" ref="M19">_xlfn.CONCAT(IFERROR(_xlfn.XLOOKUP(data_elements_bkp!A19,Table_query__5[[#All],[NCR Variable ID]],Table_query__5[[#All],[in_progress]]),""))</f>
        <v>wacor generated</v>
      </c>
    </row>
    <row r="20" spans="1:13" x14ac:dyDescent="0.2">
      <c r="A20" s="38" t="str">
        <v>pubpri</v>
      </c>
      <c r="B20" s="38" t="str" cm="1">
        <f t="array" ref="B20">_xlfn.XLOOKUP($A20,ncr_merged[[#All],[column_name]],ncr_merged[[#All],[label]]," ",0)</f>
        <v>Public/Private</v>
      </c>
      <c r="E20" s="38" t="str">
        <f>_xlfn.CONCAT(_xlfn.XLOOKUP($A20,ncr_merged[[#All],[column_name]],ncr_merged[[#All],[question]]," ",0),_xlfn.XLOOKUP($A20,ncr_merged[[#All],[column_name]],ncr_merged[[#All],[supporting_definition]]," ",0))</f>
        <v/>
      </c>
      <c r="F20" s="38" t="str">
        <f>_xlfn.CONCAT(_xlfn.XLOOKUP($A20,ncr_merged[[#All],[column_name]],ncr_merged[[#All],[required]]," ",0),"")</f>
        <v>Mandatory</v>
      </c>
      <c r="G20" s="38" t="str">
        <f>_xlfn.CONCAT(_xlfn.XLOOKUP($A20,ncr_merged[[#All],[column_name]],ncr_merged[[#All],[comments]]," ",0),
_xlfn.XLOOKUP($A20,ncr_merged[[#All],[column_name]],ncr_merged[[#All],[validation_rule]]," ",0),
_xlfn.XLOOKUP($A20,ncr_merged[[#All],[column_name]],ncr_merged[[#All],[behaviour]]," ",0),
"from the NCR tab: ",_xlfn.XLOOKUP($A20,ncr_merged[[#All],[column_name]],ncr_merged[[#All],[source_tab]]),
" ")</f>
        <v xml:space="preserve">from the NCR tab: site </v>
      </c>
      <c r="H20" s="38" t="str">
        <f>_xlfn.CONCAT(_xlfn.XLOOKUP($A20,ncr_merged[[#All],[column_name]],ncr_merged[[#All],[format]]," ",0))</f>
        <v>1=Public
2=Private</v>
      </c>
      <c r="I20" s="38" t="str">
        <f>_xlfn.CONCAT(_xlfn.XLOOKUP($A20,ncr_merged[[#All],[column_name]],ncr_merged[[#All],[permitted_values]]," ",0))</f>
        <v/>
      </c>
      <c r="J20" s="44" t="str">
        <f>_xlfn.CONCAT(_xlfn.XLOOKUP($A20,ncr_merged[[#All],[column_name]],ncr_merged[[#All],[range_(min)]]," ",0))</f>
        <v/>
      </c>
      <c r="K20" s="44" t="str">
        <f>_xlfn.CONCAT(_xlfn.XLOOKUP($A20,ncr_merged[[#All],[column_name]],ncr_merged[[#All],[range_(max)]]," ",0))</f>
        <v/>
      </c>
      <c r="M20" s="38" t="str" cm="1">
        <f t="array" ref="M20">_xlfn.CONCAT(IFERROR(_xlfn.XLOOKUP(data_elements_bkp!A20,Table_query__5[[#All],[NCR Variable ID]],Table_query__5[[#All],[in_progress]]),""))</f>
        <v/>
      </c>
    </row>
    <row r="21" spans="1:13" x14ac:dyDescent="0.2">
      <c r="A21" s="38" t="str">
        <v>volume</v>
      </c>
      <c r="B21" s="38" t="str" cm="1">
        <f t="array" ref="B21">_xlfn.XLOOKUP($A21,ncr_merged[[#All],[column_name]],ncr_merged[[#All],[label]]," ",0)</f>
        <v>PCI annual case volume</v>
      </c>
      <c r="E21" s="38" t="str">
        <f>_xlfn.CONCAT(_xlfn.XLOOKUP($A21,ncr_merged[[#All],[column_name]],ncr_merged[[#All],[question]]," ",0),_xlfn.XLOOKUP($A21,ncr_merged[[#All],[column_name]],ncr_merged[[#All],[supporting_definition]]," ",0))</f>
        <v/>
      </c>
      <c r="F21" s="38" t="str">
        <f>_xlfn.CONCAT(_xlfn.XLOOKUP($A21,ncr_merged[[#All],[column_name]],ncr_merged[[#All],[required]]," ",0),"")</f>
        <v>Derived</v>
      </c>
      <c r="G21" s="38" t="str">
        <f>_xlfn.CONCAT(_xlfn.XLOOKUP($A21,ncr_merged[[#All],[column_name]],ncr_merged[[#All],[comments]]," ",0),
_xlfn.XLOOKUP($A21,ncr_merged[[#All],[column_name]],ncr_merged[[#All],[validation_rule]]," ",0),
_xlfn.XLOOKUP($A21,ncr_merged[[#All],[column_name]],ncr_merged[[#All],[behaviour]]," ",0),
"from the NCR tab: ",_xlfn.XLOOKUP($A21,ncr_merged[[#All],[column_name]],ncr_merged[[#All],[source_tab]]),
" ")</f>
        <v xml:space="preserve">from the NCR tab: site </v>
      </c>
      <c r="H21" s="38" t="str">
        <f>_xlfn.CONCAT(_xlfn.XLOOKUP($A21,ncr_merged[[#All],[column_name]],ncr_merged[[#All],[format]]," ",0))</f>
        <v>To be derived and live, based on tertiles High, Medium and Low</v>
      </c>
      <c r="I21" s="38" t="str">
        <f>_xlfn.CONCAT(_xlfn.XLOOKUP($A21,ncr_merged[[#All],[column_name]],ncr_merged[[#All],[permitted_values]]," ",0))</f>
        <v/>
      </c>
      <c r="J21" s="44" t="str">
        <f>_xlfn.CONCAT(_xlfn.XLOOKUP($A21,ncr_merged[[#All],[column_name]],ncr_merged[[#All],[range_(min)]]," ",0))</f>
        <v/>
      </c>
      <c r="K21" s="44" t="str">
        <f>_xlfn.CONCAT(_xlfn.XLOOKUP($A21,ncr_merged[[#All],[column_name]],ncr_merged[[#All],[range_(max)]]," ",0))</f>
        <v/>
      </c>
      <c r="M21" s="38" t="str" cm="1">
        <f t="array" ref="M21">_xlfn.CONCAT(IFERROR(_xlfn.XLOOKUP(data_elements_bkp!A21,Table_query__5[[#All],[NCR Variable ID]],Table_query__5[[#All],[in_progress]]),""))</f>
        <v/>
      </c>
    </row>
    <row r="22" spans="1:13" x14ac:dyDescent="0.2">
      <c r="A22" s="38" t="str">
        <v>ed</v>
      </c>
      <c r="B22" s="38" t="str" cm="1">
        <f t="array" ref="B22">_xlfn.XLOOKUP($A22,ncr_merged[[#All],[column_name]],ncr_merged[[#All],[label]]," ",0)</f>
        <v>ED vs no ED</v>
      </c>
      <c r="D22" s="38" t="s">
        <v>1685</v>
      </c>
      <c r="E22" s="38" t="str">
        <f>_xlfn.CONCAT(_xlfn.XLOOKUP($A22,ncr_merged[[#All],[column_name]],ncr_merged[[#All],[question]]," ",0),_xlfn.XLOOKUP($A22,ncr_merged[[#All],[column_name]],ncr_merged[[#All],[supporting_definition]]," ",0))</f>
        <v/>
      </c>
      <c r="F22" s="38" t="str">
        <f>_xlfn.CONCAT(_xlfn.XLOOKUP($A22,ncr_merged[[#All],[column_name]],ncr_merged[[#All],[required]]," ",0),"")</f>
        <v>Mandatory</v>
      </c>
      <c r="G22" s="38" t="str">
        <f>_xlfn.CONCAT(_xlfn.XLOOKUP($A22,ncr_merged[[#All],[column_name]],ncr_merged[[#All],[comments]]," ",0),
_xlfn.XLOOKUP($A22,ncr_merged[[#All],[column_name]],ncr_merged[[#All],[validation_rule]]," ",0),
_xlfn.XLOOKUP($A22,ncr_merged[[#All],[column_name]],ncr_merged[[#All],[behaviour]]," ",0),
"from the NCR tab: ",_xlfn.XLOOKUP($A22,ncr_merged[[#All],[column_name]],ncr_merged[[#All],[source_tab]]),
" ")</f>
        <v xml:space="preserve">from the NCR tab: site </v>
      </c>
      <c r="H22" s="38" t="str">
        <f>_xlfn.CONCAT(_xlfn.XLOOKUP($A22,ncr_merged[[#All],[column_name]],ncr_merged[[#All],[format]]," ",0))</f>
        <v/>
      </c>
      <c r="I22" s="38" t="str">
        <f>_xlfn.CONCAT(_xlfn.XLOOKUP($A22,ncr_merged[[#All],[column_name]],ncr_merged[[#All],[permitted_values]]," ",0))</f>
        <v/>
      </c>
      <c r="J22" s="44" t="str">
        <f>_xlfn.CONCAT(_xlfn.XLOOKUP($A22,ncr_merged[[#All],[column_name]],ncr_merged[[#All],[range_(min)]]," ",0))</f>
        <v/>
      </c>
      <c r="K22" s="44" t="str">
        <f>_xlfn.CONCAT(_xlfn.XLOOKUP($A22,ncr_merged[[#All],[column_name]],ncr_merged[[#All],[range_(max)]]," ",0))</f>
        <v/>
      </c>
      <c r="M22" s="38" t="str" cm="1">
        <f t="array" ref="M22">_xlfn.CONCAT(IFERROR(_xlfn.XLOOKUP(data_elements_bkp!A22,Table_query__5[[#All],[NCR Variable ID]],Table_query__5[[#All],[in_progress]]),""))</f>
        <v/>
      </c>
    </row>
    <row r="23" spans="1:13" x14ac:dyDescent="0.2">
      <c r="A23" s="38" t="str">
        <v>cagssite</v>
      </c>
      <c r="B23" s="38" t="str" cm="1">
        <f t="array" ref="B23">_xlfn.XLOOKUP($A23,ncr_merged[[#All],[column_name]],ncr_merged[[#All],[label]]," ",0)</f>
        <v>CAGS on-site vs CAGS not on-site</v>
      </c>
      <c r="E23" s="38" t="str">
        <f>_xlfn.CONCAT(_xlfn.XLOOKUP($A23,ncr_merged[[#All],[column_name]],ncr_merged[[#All],[question]]," ",0),_xlfn.XLOOKUP($A23,ncr_merged[[#All],[column_name]],ncr_merged[[#All],[supporting_definition]]," ",0))</f>
        <v/>
      </c>
      <c r="F23" s="38" t="str">
        <f>_xlfn.CONCAT(_xlfn.XLOOKUP($A23,ncr_merged[[#All],[column_name]],ncr_merged[[#All],[required]]," ",0),"")</f>
        <v>Mandatory</v>
      </c>
      <c r="G23" s="38" t="str">
        <f>_xlfn.CONCAT(_xlfn.XLOOKUP($A23,ncr_merged[[#All],[column_name]],ncr_merged[[#All],[comments]]," ",0),
_xlfn.XLOOKUP($A23,ncr_merged[[#All],[column_name]],ncr_merged[[#All],[validation_rule]]," ",0),
_xlfn.XLOOKUP($A23,ncr_merged[[#All],[column_name]],ncr_merged[[#All],[behaviour]]," ",0),
"from the NCR tab: ",_xlfn.XLOOKUP($A23,ncr_merged[[#All],[column_name]],ncr_merged[[#All],[source_tab]]),
" ")</f>
        <v xml:space="preserve">from the NCR tab: site </v>
      </c>
      <c r="H23" s="38" t="str">
        <f>_xlfn.CONCAT(_xlfn.XLOOKUP($A23,ncr_merged[[#All],[column_name]],ncr_merged[[#All],[format]]," ",0))</f>
        <v/>
      </c>
      <c r="I23" s="38" t="str">
        <f>_xlfn.CONCAT(_xlfn.XLOOKUP($A23,ncr_merged[[#All],[column_name]],ncr_merged[[#All],[permitted_values]]," ",0))</f>
        <v/>
      </c>
      <c r="J23" s="44" t="str">
        <f>_xlfn.CONCAT(_xlfn.XLOOKUP($A23,ncr_merged[[#All],[column_name]],ncr_merged[[#All],[range_(min)]]," ",0))</f>
        <v/>
      </c>
      <c r="K23" s="44" t="str">
        <f>_xlfn.CONCAT(_xlfn.XLOOKUP($A23,ncr_merged[[#All],[column_name]],ncr_merged[[#All],[range_(max)]]," ",0))</f>
        <v/>
      </c>
      <c r="M23" s="38" t="str" cm="1">
        <f t="array" ref="M23">_xlfn.CONCAT(IFERROR(_xlfn.XLOOKUP(data_elements_bkp!A23,Table_query__5[[#All],[NCR Variable ID]],Table_query__5[[#All],[in_progress]]),""))</f>
        <v/>
      </c>
    </row>
    <row r="24" spans="1:13" x14ac:dyDescent="0.2">
      <c r="A24" s="38" t="str">
        <v>sitedeact</v>
      </c>
      <c r="B24" s="38" t="str" cm="1">
        <f t="array" ref="B24">_xlfn.XLOOKUP($A24,ncr_merged[[#All],[column_name]],ncr_merged[[#All],[label]]," ",0)</f>
        <v>Site Status - Deactivated</v>
      </c>
      <c r="E24" s="38" t="str">
        <f>_xlfn.CONCAT(_xlfn.XLOOKUP($A24,ncr_merged[[#All],[column_name]],ncr_merged[[#All],[question]]," ",0),_xlfn.XLOOKUP($A24,ncr_merged[[#All],[column_name]],ncr_merged[[#All],[supporting_definition]]," ",0))</f>
        <v/>
      </c>
      <c r="F24" s="38" t="str">
        <f>_xlfn.CONCAT(_xlfn.XLOOKUP($A24,ncr_merged[[#All],[column_name]],ncr_merged[[#All],[required]]," ",0),"")</f>
        <v>Hopital is allocated in NCR if no longer active</v>
      </c>
      <c r="G24" s="38" t="str">
        <f>_xlfn.CONCAT(_xlfn.XLOOKUP($A24,ncr_merged[[#All],[column_name]],ncr_merged[[#All],[comments]]," ",0),
_xlfn.XLOOKUP($A24,ncr_merged[[#All],[column_name]],ncr_merged[[#All],[validation_rule]]," ",0),
_xlfn.XLOOKUP($A24,ncr_merged[[#All],[column_name]],ncr_merged[[#All],[behaviour]]," ",0),
"from the NCR tab: ",_xlfn.XLOOKUP($A24,ncr_merged[[#All],[column_name]],ncr_merged[[#All],[source_tab]]),
" ")</f>
        <v xml:space="preserve">from the NCR tab: site </v>
      </c>
      <c r="H24" s="38" t="str">
        <f>_xlfn.CONCAT(_xlfn.XLOOKUP($A24,ncr_merged[[#All],[column_name]],ncr_merged[[#All],[format]]," ",0))</f>
        <v>Reject file for inactive sites</v>
      </c>
      <c r="I24" s="38" t="str">
        <f>_xlfn.CONCAT(_xlfn.XLOOKUP($A24,ncr_merged[[#All],[column_name]],ncr_merged[[#All],[permitted_values]]," ",0))</f>
        <v/>
      </c>
      <c r="J24" s="44" t="str">
        <f>_xlfn.CONCAT(_xlfn.XLOOKUP($A24,ncr_merged[[#All],[column_name]],ncr_merged[[#All],[range_(min)]]," ",0))</f>
        <v/>
      </c>
      <c r="K24" s="44" t="str">
        <f>_xlfn.CONCAT(_xlfn.XLOOKUP($A24,ncr_merged[[#All],[column_name]],ncr_merged[[#All],[range_(max)]]," ",0))</f>
        <v/>
      </c>
      <c r="M24" s="38" t="str" cm="1">
        <f t="array" ref="M24">_xlfn.CONCAT(IFERROR(_xlfn.XLOOKUP(data_elements_bkp!A24,Table_query__5[[#All],[NCR Variable ID]],Table_query__5[[#All],[in_progress]]),""))</f>
        <v/>
      </c>
    </row>
    <row r="25" spans="1:13" x14ac:dyDescent="0.2">
      <c r="A25" s="38" t="str">
        <v>eventid</v>
      </c>
      <c r="B25" s="38" t="str" cm="1">
        <f t="array" ref="B25">_xlfn.XLOOKUP($A25,ncr_merged[[#All],[column_name]],ncr_merged[[#All],[label]]," ",0)</f>
        <v>n/a</v>
      </c>
      <c r="E25" s="38" t="str">
        <f>_xlfn.CONCAT(_xlfn.XLOOKUP($A25,ncr_merged[[#All],[column_name]],ncr_merged[[#All],[question]]," ",0),_xlfn.XLOOKUP($A25,ncr_merged[[#All],[column_name]],ncr_merged[[#All],[supporting_definition]]," ",0))</f>
        <v/>
      </c>
      <c r="F25" s="38" t="str">
        <f>_xlfn.CONCAT(_xlfn.XLOOKUP($A25,ncr_merged[[#All],[column_name]],ncr_merged[[#All],[required]]," ",0),"")</f>
        <v>System generated</v>
      </c>
      <c r="G25" s="38" t="str">
        <f>_xlfn.CONCAT(_xlfn.XLOOKUP($A25,ncr_merged[[#All],[column_name]],ncr_merged[[#All],[comments]]," ",0),
_xlfn.XLOOKUP($A25,ncr_merged[[#All],[column_name]],ncr_merged[[#All],[validation_rule]]," ",0),
_xlfn.XLOOKUP($A25,ncr_merged[[#All],[column_name]],ncr_merged[[#All],[behaviour]]," ",0),
"from the NCR tab: ",_xlfn.XLOOKUP($A25,ncr_merged[[#All],[column_name]],ncr_merged[[#All],[source_tab]]),
" ")</f>
        <v xml:space="preserve">Generated when a new Event is createdGenerate a new eventid when a new row is acceptedfrom the NCR tab: admission_preprocedural </v>
      </c>
      <c r="H25" s="38" t="str">
        <f>_xlfn.CONCAT(_xlfn.XLOOKUP($A25,ncr_merged[[#All],[column_name]],ncr_merged[[#All],[format]]," ",0))</f>
        <v>NNNNNN</v>
      </c>
      <c r="I25" s="38" t="str">
        <f>_xlfn.CONCAT(_xlfn.XLOOKUP($A25,ncr_merged[[#All],[column_name]],ncr_merged[[#All],[permitted_values]]," ",0))</f>
        <v/>
      </c>
      <c r="J25" s="44" t="str">
        <f>_xlfn.CONCAT(_xlfn.XLOOKUP($A25,ncr_merged[[#All],[column_name]],ncr_merged[[#All],[range_(min)]]," ",0))</f>
        <v/>
      </c>
      <c r="K25" s="44" t="str">
        <f>_xlfn.CONCAT(_xlfn.XLOOKUP($A25,ncr_merged[[#All],[column_name]],ncr_merged[[#All],[range_(max)]]," ",0))</f>
        <v/>
      </c>
      <c r="M25" s="38" t="str" cm="1">
        <f t="array" ref="M25">_xlfn.CONCAT(IFERROR(_xlfn.XLOOKUP(data_elements_bkp!A25,Table_query__5[[#All],[NCR Variable ID]],Table_query__5[[#All],[in_progress]]),""))</f>
        <v/>
      </c>
    </row>
    <row r="26" spans="1:13" x14ac:dyDescent="0.2">
      <c r="A26" s="38" t="str">
        <v>pcode</v>
      </c>
      <c r="B26" s="38" t="str" cm="1">
        <f t="array" ref="B26">_xlfn.XLOOKUP($A26,ncr_merged[[#All],[column_name]],ncr_merged[[#All],[label]]," ",0)</f>
        <v>Postcode</v>
      </c>
      <c r="D26" s="38" t="s">
        <v>2693</v>
      </c>
      <c r="E26" s="38" t="str">
        <f>_xlfn.CONCAT(_xlfn.XLOOKUP($A26,ncr_merged[[#All],[column_name]],ncr_merged[[#All],[question]]," ",0),_xlfn.XLOOKUP($A26,ncr_merged[[#All],[column_name]],ncr_merged[[#All],[supporting_definition]]," ",0))</f>
        <v>Whats was the patients postcode at the time of admission?</v>
      </c>
      <c r="F26" s="38" t="str">
        <f>_xlfn.CONCAT(_xlfn.XLOOKUP($A26,ncr_merged[[#All],[column_name]],ncr_merged[[#All],[required]]," ",0),"")</f>
        <v/>
      </c>
      <c r="G26" s="38" t="str">
        <f>_xlfn.CONCAT(_xlfn.XLOOKUP($A26,ncr_merged[[#All],[column_name]],ncr_merged[[#All],[comments]]," ",0),
_xlfn.XLOOKUP($A26,ncr_merged[[#All],[column_name]],ncr_merged[[#All],[validation_rule]]," ",0),
_xlfn.XLOOKUP($A26,ncr_merged[[#All],[column_name]],ncr_merged[[#All],[behaviour]]," ",0),
"from the NCR tab: ",_xlfn.XLOOKUP($A26,ncr_merged[[#All],[column_name]],ncr_merged[[#All],[source_tab]]),
" ")</f>
        <v xml:space="preserve">from the NCR tab: admission_preprocedural </v>
      </c>
      <c r="H26" s="38" t="str">
        <f>_xlfn.CONCAT(_xlfn.XLOOKUP($A26,ncr_merged[[#All],[column_name]],ncr_merged[[#All],[format]]," ",0))</f>
        <v>NNNN</v>
      </c>
      <c r="I26" s="38" t="str">
        <f>_xlfn.CONCAT(_xlfn.XLOOKUP($A26,ncr_merged[[#All],[column_name]],ncr_merged[[#All],[permitted_values]]," ",0))</f>
        <v>Numeric [4]</v>
      </c>
      <c r="J26" s="44" t="str">
        <f>_xlfn.CONCAT(_xlfn.XLOOKUP($A26,ncr_merged[[#All],[column_name]],ncr_merged[[#All],[range_(min)]]," ",0))</f>
        <v>0</v>
      </c>
      <c r="K26" s="44" t="str">
        <f>_xlfn.CONCAT(_xlfn.XLOOKUP($A26,ncr_merged[[#All],[column_name]],ncr_merged[[#All],[range_(max)]]," ",0))</f>
        <v>9999</v>
      </c>
      <c r="M26" s="38" t="str" cm="1">
        <f t="array" ref="M26">_xlfn.CONCAT(IFERROR(_xlfn.XLOOKUP(data_elements_bkp!A26,Table_query__5[[#All],[NCR Variable ID]],Table_query__5[[#All],[in_progress]]),""))</f>
        <v/>
      </c>
    </row>
    <row r="27" spans="1:13" x14ac:dyDescent="0.2">
      <c r="A27" s="38" t="str">
        <v>doa</v>
      </c>
      <c r="B27" s="38" t="str" cm="1">
        <f t="array" ref="B27">_xlfn.XLOOKUP($A27,ncr_merged[[#All],[column_name]],ncr_merged[[#All],[label]]," ",0)</f>
        <v>Date of arrival at PCI hospital</v>
      </c>
      <c r="E27" s="38" t="str">
        <f>_xlfn.CONCAT(_xlfn.XLOOKUP($A27,ncr_merged[[#All],[column_name]],ncr_merged[[#All],[question]]," ",0),_xlfn.XLOOKUP($A27,ncr_merged[[#All],[column_name]],ncr_merged[[#All],[supporting_definition]]," ",0))</f>
        <v>On what date did the patient arrive at the PCI hospital?Date the patient was admitted or transferred to the PCI hospital.</v>
      </c>
      <c r="F27" s="38" t="str">
        <f>_xlfn.CONCAT(_xlfn.XLOOKUP($A27,ncr_merged[[#All],[column_name]],ncr_merged[[#All],[required]]," ",0),"")</f>
        <v>Always</v>
      </c>
      <c r="G27" s="38" t="str">
        <f>_xlfn.CONCAT(_xlfn.XLOOKUP($A27,ncr_merged[[#All],[column_name]],ncr_merged[[#All],[comments]]," ",0),
_xlfn.XLOOKUP($A27,ncr_merged[[#All],[column_name]],ncr_merged[[#All],[validation_rule]]," ",0),
_xlfn.XLOOKUP($A27,ncr_merged[[#All],[column_name]],ncr_merged[[#All],[behaviour]]," ",0),
"from the NCR tab: ",_xlfn.XLOOKUP($A27,ncr_merged[[#All],[column_name]],ncr_merged[[#All],[source_tab]]),
" ")</f>
        <v xml:space="preserve">Reject file if NULL
Reject file if doa, toa, dop, top and patientID are all the same across multiple entriesfrom the NCR tab: admission_preprocedural </v>
      </c>
      <c r="H27" s="38" t="str">
        <f>_xlfn.CONCAT(_xlfn.XLOOKUP($A27,ncr_merged[[#All],[column_name]],ncr_merged[[#All],[format]]," ",0))</f>
        <v>DD/MM/YYYY</v>
      </c>
      <c r="I27" s="38" t="str">
        <f>_xlfn.CONCAT(_xlfn.XLOOKUP($A27,ncr_merged[[#All],[column_name]],ncr_merged[[#All],[permitted_values]]," ",0))</f>
        <v/>
      </c>
      <c r="J27" s="44" t="str">
        <f>_xlfn.CONCAT(_xlfn.XLOOKUP($A27,ncr_merged[[#All],[column_name]],ncr_merged[[#All],[range_(min)]]," ",0))</f>
        <v/>
      </c>
      <c r="K27" s="44" t="str">
        <f>_xlfn.CONCAT(_xlfn.XLOOKUP($A27,ncr_merged[[#All],[column_name]],ncr_merged[[#All],[range_(max)]]," ",0))</f>
        <v/>
      </c>
      <c r="M27" s="38" t="str" cm="1">
        <f t="array" ref="M27">_xlfn.CONCAT(IFERROR(_xlfn.XLOOKUP(data_elements_bkp!A27,Table_query__5[[#All],[NCR Variable ID]],Table_query__5[[#All],[in_progress]]),""))</f>
        <v>hmds - needs clarification with webpas team on direct admissions to cath lab, or business rule to take date &amp; time of arrival at cath lab as this field. Would need from cardiobase - needs discussion with vendor/cardiobase leads.</v>
      </c>
    </row>
    <row r="28" spans="1:13" x14ac:dyDescent="0.2">
      <c r="A28" s="38" t="str">
        <v>toa</v>
      </c>
      <c r="B28" s="38" t="str" cm="1">
        <f t="array" ref="B28">_xlfn.XLOOKUP($A28,ncr_merged[[#All],[column_name]],ncr_merged[[#All],[label]]," ",0)</f>
        <v>Time of arrival at PCI hospital</v>
      </c>
      <c r="E28" s="38" t="str">
        <f>_xlfn.CONCAT(_xlfn.XLOOKUP($A28,ncr_merged[[#All],[column_name]],ncr_merged[[#All],[question]]," ",0),_xlfn.XLOOKUP($A28,ncr_merged[[#All],[column_name]],ncr_merged[[#All],[supporting_definition]]," ",0))</f>
        <v>At what time did the patient arrive at the PCI hospital?Indicate the time the patient arrived at the PCI hospital. 
Note: This is the time that the patient arrived at the PCI hospital and when they were triaged (entered into the hospital administrative system).</v>
      </c>
      <c r="F28" s="38" t="str">
        <f>_xlfn.CONCAT(_xlfn.XLOOKUP($A28,ncr_merged[[#All],[column_name]],ncr_merged[[#All],[required]]," ",0),"")</f>
        <v>Always</v>
      </c>
      <c r="G28" s="38" t="str">
        <f>_xlfn.CONCAT(_xlfn.XLOOKUP($A28,ncr_merged[[#All],[column_name]],ncr_merged[[#All],[comments]]," ",0),
_xlfn.XLOOKUP($A28,ncr_merged[[#All],[column_name]],ncr_merged[[#All],[validation_rule]]," ",0),
_xlfn.XLOOKUP($A28,ncr_merged[[#All],[column_name]],ncr_merged[[#All],[behaviour]]," ",0),
"from the NCR tab: ",_xlfn.XLOOKUP($A28,ncr_merged[[#All],[column_name]],ncr_merged[[#All],[source_tab]]),
" ")</f>
        <v xml:space="preserve">Reject file if  NULL
Reject file if doa, toa, dop, top and patientID are all the same across multiple entries within this importfrom the NCR tab: admission_preprocedural </v>
      </c>
      <c r="H28" s="38" t="str">
        <f>_xlfn.CONCAT(_xlfn.XLOOKUP($A28,ncr_merged[[#All],[column_name]],ncr_merged[[#All],[format]]," ",0))</f>
        <v>HH:MM</v>
      </c>
      <c r="I28" s="38" t="str">
        <f>_xlfn.CONCAT(_xlfn.XLOOKUP($A28,ncr_merged[[#All],[column_name]],ncr_merged[[#All],[permitted_values]]," ",0))</f>
        <v/>
      </c>
      <c r="J28" s="44" t="str">
        <f>_xlfn.CONCAT(_xlfn.XLOOKUP($A28,ncr_merged[[#All],[column_name]],ncr_merged[[#All],[range_(min)]]," ",0))</f>
        <v>00:00</v>
      </c>
      <c r="K28" s="44" t="str">
        <f>_xlfn.CONCAT(_xlfn.XLOOKUP($A28,ncr_merged[[#All],[column_name]],ncr_merged[[#All],[range_(max)]]," ",0))</f>
        <v>23:59</v>
      </c>
      <c r="M28" s="38" t="str" cm="1">
        <f t="array" ref="M28">_xlfn.CONCAT(IFERROR(_xlfn.XLOOKUP(data_elements_bkp!A28,Table_query__5[[#All],[NCR Variable ID]],Table_query__5[[#All],[in_progress]]),""))</f>
        <v>hmds - needs clarification with webpas team on direct admissions to cath lab, or business rule to take date &amp; time of arrival at cath lab as this field. Would need from cardiobase - needs discussion with vendor/cardiobase leads.</v>
      </c>
    </row>
    <row r="29" spans="1:13" x14ac:dyDescent="0.2">
      <c r="A29" s="38" t="str">
        <v>age</v>
      </c>
      <c r="B29" s="38" t="str" cm="1">
        <f t="array" ref="B29">_xlfn.XLOOKUP($A29,ncr_merged[[#All],[column_name]],ncr_merged[[#All],[label]]," ",0)</f>
        <v>Patient age</v>
      </c>
      <c r="E29" s="38" t="str">
        <f>_xlfn.CONCAT(_xlfn.XLOOKUP($A29,ncr_merged[[#All],[column_name]],ncr_merged[[#All],[question]]," ",0),_xlfn.XLOOKUP($A29,ncr_merged[[#All],[column_name]],ncr_merged[[#All],[supporting_definition]]," ",0))</f>
        <v>How old is the patient at the date of procedure?The age of the patient in integer format</v>
      </c>
      <c r="F29" s="38" t="str">
        <f>_xlfn.CONCAT(_xlfn.XLOOKUP($A29,ncr_merged[[#All],[column_name]],ncr_merged[[#All],[required]]," ",0),"")</f>
        <v/>
      </c>
      <c r="G29" s="38" t="str">
        <f>_xlfn.CONCAT(_xlfn.XLOOKUP($A29,ncr_merged[[#All],[column_name]],ncr_merged[[#All],[comments]]," ",0),
_xlfn.XLOOKUP($A29,ncr_merged[[#All],[column_name]],ncr_merged[[#All],[validation_rule]]," ",0),
_xlfn.XLOOKUP($A29,ncr_merged[[#All],[column_name]],ncr_merged[[#All],[behaviour]]," ",0),
"from the NCR tab: ",_xlfn.XLOOKUP($A29,ncr_merged[[#All],[column_name]],ncr_merged[[#All],[source_tab]]),
" ")</f>
        <v xml:space="preserve">Reject file if NULL
Reject if &lt;18from the NCR tab: admission_preprocedural </v>
      </c>
      <c r="H29" s="38" t="str">
        <f>_xlfn.CONCAT(_xlfn.XLOOKUP($A29,ncr_merged[[#All],[column_name]],ncr_merged[[#All],[format]]," ",0))</f>
        <v>NN (years)</v>
      </c>
      <c r="I29" s="38" t="str">
        <f>_xlfn.CONCAT(_xlfn.XLOOKUP($A29,ncr_merged[[#All],[column_name]],ncr_merged[[#All],[permitted_values]]," ",0))</f>
        <v>Age at DOP for PCI</v>
      </c>
      <c r="J29" s="44" t="str">
        <f>_xlfn.CONCAT(_xlfn.XLOOKUP($A29,ncr_merged[[#All],[column_name]],ncr_merged[[#All],[range_(min)]]," ",0))</f>
        <v>18</v>
      </c>
      <c r="K29" s="44" t="str">
        <f>_xlfn.CONCAT(_xlfn.XLOOKUP($A29,ncr_merged[[#All],[column_name]],ncr_merged[[#All],[range_(max)]]," ",0))</f>
        <v>110</v>
      </c>
      <c r="M29" s="38" t="str" cm="1">
        <f t="array" ref="M29">_xlfn.CONCAT(IFERROR(_xlfn.XLOOKUP(data_elements_bkp!A29,Table_query__5[[#All],[NCR Variable ID]],Table_query__5[[#All],[in_progress]]),""))</f>
        <v>Business rule.</v>
      </c>
    </row>
    <row r="30" spans="1:13" x14ac:dyDescent="0.2">
      <c r="A30" s="38" t="str">
        <v>htm</v>
      </c>
      <c r="B30" s="38" t="str" cm="1">
        <f t="array" ref="B30">_xlfn.XLOOKUP($A30,ncr_merged[[#All],[column_name]],ncr_merged[[#All],[label]]," ",0)</f>
        <v>Patient height [cm]</v>
      </c>
      <c r="E30" s="38" t="str">
        <f>_xlfn.CONCAT(_xlfn.XLOOKUP($A30,ncr_merged[[#All],[column_name]],ncr_merged[[#All],[question]]," ",0),_xlfn.XLOOKUP($A30,ncr_merged[[#All],[column_name]],ncr_merged[[#All],[supporting_definition]]," ",0))</f>
        <v>How tall is the patient in cm?Height in centimetres in bare or stockinged feet. 
Note: Can be self-reported, estimated or measured.</v>
      </c>
      <c r="F30" s="38" t="str">
        <f>_xlfn.CONCAT(_xlfn.XLOOKUP($A30,ncr_merged[[#All],[column_name]],ncr_merged[[#All],[required]]," ",0),"")</f>
        <v/>
      </c>
      <c r="G30" s="38" t="str">
        <f>_xlfn.CONCAT(_xlfn.XLOOKUP($A30,ncr_merged[[#All],[column_name]],ncr_merged[[#All],[comments]]," ",0),
_xlfn.XLOOKUP($A30,ncr_merged[[#All],[column_name]],ncr_merged[[#All],[validation_rule]]," ",0),
_xlfn.XLOOKUP($A30,ncr_merged[[#All],[column_name]],ncr_merged[[#All],[behaviour]]," ",0),
"from the NCR tab: ",_xlfn.XLOOKUP($A30,ncr_merged[[#All],[column_name]],ncr_merged[[#All],[source_tab]]),
" ")</f>
        <v xml:space="preserve">from the NCR tab: admission_preprocedural </v>
      </c>
      <c r="H30" s="38" t="str">
        <f>_xlfn.CONCAT(_xlfn.XLOOKUP($A30,ncr_merged[[#All],[column_name]],ncr_merged[[#All],[format]]," ",0))</f>
        <v>NNN</v>
      </c>
      <c r="I30" s="38" t="str">
        <f>_xlfn.CONCAT(_xlfn.XLOOKUP($A30,ncr_merged[[#All],[column_name]],ncr_merged[[#All],[permitted_values]]," ",0))</f>
        <v>Numeric (3)</v>
      </c>
      <c r="J30" s="44" t="str">
        <f>_xlfn.CONCAT(_xlfn.XLOOKUP($A30,ncr_merged[[#All],[column_name]],ncr_merged[[#All],[range_(min)]]," ",0))</f>
        <v/>
      </c>
      <c r="K30" s="44" t="str">
        <f>_xlfn.CONCAT(_xlfn.XLOOKUP($A30,ncr_merged[[#All],[column_name]],ncr_merged[[#All],[range_(max)]]," ",0))</f>
        <v/>
      </c>
      <c r="M30" s="38" t="str" cm="1">
        <f t="array" ref="M30">_xlfn.CONCAT(IFERROR(_xlfn.XLOOKUP(data_elements_bkp!A30,Table_query__5[[#All],[NCR Variable ID]],Table_query__5[[#All],[in_progress]]),""))</f>
        <v>Cardiobase risk score module.</v>
      </c>
    </row>
    <row r="31" spans="1:13" x14ac:dyDescent="0.2">
      <c r="A31" s="38" t="str">
        <v>wkg</v>
      </c>
      <c r="B31" s="38" t="str" cm="1">
        <f t="array" ref="B31">_xlfn.XLOOKUP($A31,ncr_merged[[#All],[column_name]],ncr_merged[[#All],[label]]," ",0)</f>
        <v>Patient weight [kg]</v>
      </c>
      <c r="E31" s="38" t="str">
        <f>_xlfn.CONCAT(_xlfn.XLOOKUP($A31,ncr_merged[[#All],[column_name]],ncr_merged[[#All],[question]]," ",0),_xlfn.XLOOKUP($A31,ncr_merged[[#All],[column_name]],ncr_merged[[#All],[supporting_definition]]," ",0))</f>
        <v>How much does the patient weigh in kg?Weight in kilograms in light clothing. 
Note: Can be self-reported, estimated or measured.</v>
      </c>
      <c r="F31" s="38" t="str">
        <f>_xlfn.CONCAT(_xlfn.XLOOKUP($A31,ncr_merged[[#All],[column_name]],ncr_merged[[#All],[required]]," ",0),"")</f>
        <v/>
      </c>
      <c r="G31" s="38" t="str">
        <f>_xlfn.CONCAT(_xlfn.XLOOKUP($A31,ncr_merged[[#All],[column_name]],ncr_merged[[#All],[comments]]," ",0),
_xlfn.XLOOKUP($A31,ncr_merged[[#All],[column_name]],ncr_merged[[#All],[validation_rule]]," ",0),
_xlfn.XLOOKUP($A31,ncr_merged[[#All],[column_name]],ncr_merged[[#All],[behaviour]]," ",0),
"from the NCR tab: ",_xlfn.XLOOKUP($A31,ncr_merged[[#All],[column_name]],ncr_merged[[#All],[source_tab]]),
" ")</f>
        <v xml:space="preserve">from the NCR tab: admission_preprocedural </v>
      </c>
      <c r="H31" s="38" t="str">
        <f>_xlfn.CONCAT(_xlfn.XLOOKUP($A31,ncr_merged[[#All],[column_name]],ncr_merged[[#All],[format]]," ",0))</f>
        <v>NNN</v>
      </c>
      <c r="I31" s="38" t="str">
        <f>_xlfn.CONCAT(_xlfn.XLOOKUP($A31,ncr_merged[[#All],[column_name]],ncr_merged[[#All],[permitted_values]]," ",0))</f>
        <v>Numeric (3)</v>
      </c>
      <c r="J31" s="44" t="str">
        <f>_xlfn.CONCAT(_xlfn.XLOOKUP($A31,ncr_merged[[#All],[column_name]],ncr_merged[[#All],[range_(min)]]," ",0))</f>
        <v/>
      </c>
      <c r="K31" s="44" t="str">
        <f>_xlfn.CONCAT(_xlfn.XLOOKUP($A31,ncr_merged[[#All],[column_name]],ncr_merged[[#All],[range_(max)]]," ",0))</f>
        <v/>
      </c>
      <c r="M31" s="38" t="str" cm="1">
        <f t="array" ref="M31">_xlfn.CONCAT(IFERROR(_xlfn.XLOOKUP(data_elements_bkp!A31,Table_query__5[[#All],[NCR Variable ID]],Table_query__5[[#All],[in_progress]]),""))</f>
        <v>Cardiobase risk score module.</v>
      </c>
    </row>
    <row r="32" spans="1:13" x14ac:dyDescent="0.2">
      <c r="A32" s="38" t="str">
        <v>bmi</v>
      </c>
      <c r="B32" s="38" t="str" cm="1">
        <f t="array" ref="B32">_xlfn.XLOOKUP($A32,ncr_merged[[#All],[column_name]],ncr_merged[[#All],[label]]," ",0)</f>
        <v>Body Mass Index [kg/m^2]</v>
      </c>
      <c r="E32" s="38" t="str">
        <f>_xlfn.CONCAT(_xlfn.XLOOKUP($A32,ncr_merged[[#All],[column_name]],ncr_merged[[#All],[question]]," ",0),_xlfn.XLOOKUP($A32,ncr_merged[[#All],[column_name]],ncr_merged[[#All],[supporting_definition]]," ",0))</f>
        <v xml:space="preserve"> - -</v>
      </c>
      <c r="F32" s="38" t="str">
        <f>_xlfn.CONCAT(_xlfn.XLOOKUP($A32,ncr_merged[[#All],[column_name]],ncr_merged[[#All],[required]]," ",0),"")</f>
        <v>Derived variable</v>
      </c>
      <c r="G32" s="38" t="str">
        <f>_xlfn.CONCAT(_xlfn.XLOOKUP($A32,ncr_merged[[#All],[column_name]],ncr_merged[[#All],[comments]]," ",0),
_xlfn.XLOOKUP($A32,ncr_merged[[#All],[column_name]],ncr_merged[[#All],[validation_rule]]," ",0),
_xlfn.XLOOKUP($A32,ncr_merged[[#All],[column_name]],ncr_merged[[#All],[behaviour]]," ",0),
"from the NCR tab: ",_xlfn.XLOOKUP($A32,ncr_merged[[#All],[column_name]],ncr_merged[[#All],[source_tab]]),
" ")</f>
        <v xml:space="preserve">BMI = WKG/(HTM/100)^2Derived - no import on this fieldfrom the NCR tab: admission_preprocedural </v>
      </c>
      <c r="H32" s="38" t="str">
        <f>_xlfn.CONCAT(_xlfn.XLOOKUP($A32,ncr_merged[[#All],[column_name]],ncr_merged[[#All],[format]]," ",0))</f>
        <v>NN.N (kg/m2)</v>
      </c>
      <c r="I32" s="38" t="str">
        <f>_xlfn.CONCAT(_xlfn.XLOOKUP($A32,ncr_merged[[#All],[column_name]],ncr_merged[[#All],[permitted_values]]," ",0))</f>
        <v/>
      </c>
      <c r="J32" s="44" t="str">
        <f>_xlfn.CONCAT(_xlfn.XLOOKUP($A32,ncr_merged[[#All],[column_name]],ncr_merged[[#All],[range_(min)]]," ",0))</f>
        <v/>
      </c>
      <c r="K32" s="44" t="str">
        <f>_xlfn.CONCAT(_xlfn.XLOOKUP($A32,ncr_merged[[#All],[column_name]],ncr_merged[[#All],[range_(max)]]," ",0))</f>
        <v/>
      </c>
      <c r="M32" s="38" t="str" cm="1">
        <f t="array" ref="M32">_xlfn.CONCAT(IFERROR(_xlfn.XLOOKUP(data_elements_bkp!A32,Table_query__5[[#All],[NCR Variable ID]],Table_query__5[[#All],[in_progress]]),""))</f>
        <v>Needs definition completd for transparency.</v>
      </c>
    </row>
    <row r="33" spans="1:13" x14ac:dyDescent="0.2">
      <c r="A33" s="38" t="str">
        <v>dop</v>
      </c>
      <c r="B33" s="38" t="str" cm="1">
        <f t="array" ref="B33">_xlfn.XLOOKUP($A33,ncr_merged[[#All],[column_name]],ncr_merged[[#All],[label]]," ",0)</f>
        <v>PCI procedure date</v>
      </c>
      <c r="E33" s="38" t="str">
        <f>_xlfn.CONCAT(_xlfn.XLOOKUP($A33,ncr_merged[[#All],[column_name]],ncr_merged[[#All],[question]]," ",0),_xlfn.XLOOKUP($A33,ncr_merged[[#All],[column_name]],ncr_merged[[#All],[supporting_definition]]," ",0))</f>
        <v>On what date was the PCI performed?Date on which the patient crossed the threshold of entry into the cardiac catheter laboratory for the current PCI in DD/MM/YYYY format. 
Note: Where multiple procedures occur during the index hospitalisation, a separate  entry must be recorded for every relevant procedure.</v>
      </c>
      <c r="F33" s="38" t="str">
        <f>_xlfn.CONCAT(_xlfn.XLOOKUP($A33,ncr_merged[[#All],[column_name]],ncr_merged[[#All],[required]]," ",0),"")</f>
        <v>Always</v>
      </c>
      <c r="G33" s="38" t="str">
        <f>_xlfn.CONCAT(_xlfn.XLOOKUP($A33,ncr_merged[[#All],[column_name]],ncr_merged[[#All],[comments]]," ",0),
_xlfn.XLOOKUP($A33,ncr_merged[[#All],[column_name]],ncr_merged[[#All],[validation_rule]]," ",0),
_xlfn.XLOOKUP($A33,ncr_merged[[#All],[column_name]],ncr_merged[[#All],[behaviour]]," ",0),
"from the NCR tab: ",_xlfn.XLOOKUP($A33,ncr_merged[[#All],[column_name]],ncr_merged[[#All],[source_tab]]),
" ")</f>
        <v xml:space="preserve">Reject file if DOP is &gt; date of file import
Reject file if dop is NULL
Reject file if DOP is &lt;DOA
Reject file if doa, toa, dop, top and patientID are all the same across multiple entries within this importfrom the NCR tab: admission_preprocedural </v>
      </c>
      <c r="H33" s="38" t="str">
        <f>_xlfn.CONCAT(_xlfn.XLOOKUP($A33,ncr_merged[[#All],[column_name]],ncr_merged[[#All],[format]]," ",0))</f>
        <v>DD/MM/YYYY</v>
      </c>
      <c r="I33" s="38" t="str">
        <f>_xlfn.CONCAT(_xlfn.XLOOKUP($A33,ncr_merged[[#All],[column_name]],ncr_merged[[#All],[permitted_values]]," ",0))</f>
        <v/>
      </c>
      <c r="J33" s="44" t="str">
        <f>_xlfn.CONCAT(_xlfn.XLOOKUP($A33,ncr_merged[[#All],[column_name]],ncr_merged[[#All],[range_(min)]]," ",0))</f>
        <v/>
      </c>
      <c r="K33" s="44" t="str">
        <f>_xlfn.CONCAT(_xlfn.XLOOKUP($A33,ncr_merged[[#All],[column_name]],ncr_merged[[#All],[range_(max)]]," ",0))</f>
        <v/>
      </c>
      <c r="M33" s="38" t="str" cm="1">
        <f t="array" ref="M33">_xlfn.CONCAT(IFERROR(_xlfn.XLOOKUP(data_elements_bkp!A33,Table_query__5[[#All],[NCR Variable ID]],Table_query__5[[#All],[in_progress]]),""))</f>
        <v>Cardiobase - needs validation &amp; enagement with vendor.</v>
      </c>
    </row>
    <row r="34" spans="1:13" x14ac:dyDescent="0.2">
      <c r="A34" s="38" t="str">
        <v>top</v>
      </c>
      <c r="B34" s="38" t="str" cm="1">
        <f t="array" ref="B34">_xlfn.XLOOKUP($A34,ncr_merged[[#All],[column_name]],ncr_merged[[#All],[label]]," ",0)</f>
        <v>PCI Procedure time</v>
      </c>
      <c r="E34" s="38" t="str">
        <f>_xlfn.CONCAT(_xlfn.XLOOKUP($A34,ncr_merged[[#All],[column_name]],ncr_merged[[#All],[question]]," ",0),_xlfn.XLOOKUP($A34,ncr_merged[[#All],[column_name]],ncr_merged[[#All],[supporting_definition]]," ",0))</f>
        <v>At what time was the PCI performed?The time the patient crossed the threshold of entry into the catheter laboratory for the current PCI.</v>
      </c>
      <c r="F34" s="38" t="str">
        <f>_xlfn.CONCAT(_xlfn.XLOOKUP($A34,ncr_merged[[#All],[column_name]],ncr_merged[[#All],[required]]," ",0),"")</f>
        <v>Always</v>
      </c>
      <c r="G34" s="38" t="str">
        <f>_xlfn.CONCAT(_xlfn.XLOOKUP($A34,ncr_merged[[#All],[column_name]],ncr_merged[[#All],[comments]]," ",0),
_xlfn.XLOOKUP($A34,ncr_merged[[#All],[column_name]],ncr_merged[[#All],[validation_rule]]," ",0),
_xlfn.XLOOKUP($A34,ncr_merged[[#All],[column_name]],ncr_merged[[#All],[behaviour]]," ",0),
"from the NCR tab: ",_xlfn.XLOOKUP($A34,ncr_merged[[#All],[column_name]],ncr_merged[[#All],[source_tab]]),
" ")</f>
        <v xml:space="preserve">Reject file if dop=doa and top &lt; toa
Reject file if top is NULL
Reject file if doa, toa, dop, top and patientID are all the same across multiple entries within this importfrom the NCR tab: admission_preprocedural </v>
      </c>
      <c r="H34" s="38" t="str">
        <f>_xlfn.CONCAT(_xlfn.XLOOKUP($A34,ncr_merged[[#All],[column_name]],ncr_merged[[#All],[format]]," ",0))</f>
        <v>HH:MM</v>
      </c>
      <c r="I34" s="38" t="str">
        <f>_xlfn.CONCAT(_xlfn.XLOOKUP($A34,ncr_merged[[#All],[column_name]],ncr_merged[[#All],[permitted_values]]," ",0))</f>
        <v/>
      </c>
      <c r="J34" s="44" t="str">
        <f>_xlfn.CONCAT(_xlfn.XLOOKUP($A34,ncr_merged[[#All],[column_name]],ncr_merged[[#All],[range_(min)]]," ",0))</f>
        <v>00:00</v>
      </c>
      <c r="K34" s="44" t="str">
        <f>_xlfn.CONCAT(_xlfn.XLOOKUP($A34,ncr_merged[[#All],[column_name]],ncr_merged[[#All],[range_(max)]]," ",0))</f>
        <v>23:59</v>
      </c>
      <c r="M34" s="38" t="str" cm="1">
        <f t="array" ref="M34">_xlfn.CONCAT(IFERROR(_xlfn.XLOOKUP(data_elements_bkp!A34,Table_query__5[[#All],[NCR Variable ID]],Table_query__5[[#All],[in_progress]]),""))</f>
        <v>Cardiobase - needs validation &amp; enagement with vendor.</v>
      </c>
    </row>
    <row r="35" spans="1:13" x14ac:dyDescent="0.2">
      <c r="A35" s="38" t="str">
        <v>po</v>
      </c>
      <c r="B35" s="38" t="str" cm="1">
        <f t="array" ref="B35">_xlfn.XLOOKUP($A35,ncr_merged[[#All],[column_name]],ncr_merged[[#All],[label]]," ",0)</f>
        <v>Primary Operator</v>
      </c>
      <c r="E35" s="38" t="str">
        <f>_xlfn.CONCAT(_xlfn.XLOOKUP($A35,ncr_merged[[#All],[column_name]],ncr_merged[[#All],[question]]," ",0),_xlfn.XLOOKUP($A35,ncr_merged[[#All],[column_name]],ncr_merged[[#All],[supporting_definition]]," ",0))</f>
        <v>Who was the interventional cardiologist responsible the for the PCI?The unique code of the cardiologist/clinician who is ultimately responsible for the PCI as allocated by the State Registry.</v>
      </c>
      <c r="F35" s="38" t="str">
        <f>_xlfn.CONCAT(_xlfn.XLOOKUP($A35,ncr_merged[[#All],[column_name]],ncr_merged[[#All],[required]]," ",0),"")</f>
        <v>Optional</v>
      </c>
      <c r="G35" s="38" t="str">
        <f>_xlfn.CONCAT(_xlfn.XLOOKUP($A35,ncr_merged[[#All],[column_name]],ncr_merged[[#All],[comments]]," ",0),
_xlfn.XLOOKUP($A35,ncr_merged[[#All],[column_name]],ncr_merged[[#All],[validation_rule]]," ",0),
_xlfn.XLOOKUP($A35,ncr_merged[[#All],[column_name]],ncr_merged[[#All],[behaviour]]," ",0),
"from the NCR tab: ",_xlfn.XLOOKUP($A35,ncr_merged[[#All],[column_name]],ncr_merged[[#All],[source_tab]]),
" ")</f>
        <v xml:space="preserve">Alpha is for state eg NSW N213366, VIC V1236999from the NCR tab: admission_preprocedural </v>
      </c>
      <c r="H35" s="38" t="str">
        <f>_xlfn.CONCAT(_xlfn.XLOOKUP($A35,ncr_merged[[#All],[column_name]],ncr_merged[[#All],[format]]," ",0))</f>
        <v>free text</v>
      </c>
      <c r="I35" s="38" t="str">
        <f>_xlfn.CONCAT(_xlfn.XLOOKUP($A35,ncr_merged[[#All],[column_name]],ncr_merged[[#All],[permitted_values]]," ",0))</f>
        <v/>
      </c>
      <c r="J35" s="44" t="str">
        <f>_xlfn.CONCAT(_xlfn.XLOOKUP($A35,ncr_merged[[#All],[column_name]],ncr_merged[[#All],[range_(min)]]," ",0))</f>
        <v/>
      </c>
      <c r="K35" s="44" t="str">
        <f>_xlfn.CONCAT(_xlfn.XLOOKUP($A35,ncr_merged[[#All],[column_name]],ncr_merged[[#All],[range_(max)]]," ",0))</f>
        <v/>
      </c>
      <c r="M35" s="38" t="str" cm="1">
        <f t="array" ref="M35">_xlfn.CONCAT(IFERROR(_xlfn.XLOOKUP(data_elements_bkp!A35,Table_query__5[[#All],[NCR Variable ID]],Table_query__5[[#All],[in_progress]]),""))</f>
        <v>WACOR generated, needs independent lookup table linked to practitioner.  Needs separate table.</v>
      </c>
    </row>
    <row r="36" spans="1:13" x14ac:dyDescent="0.2">
      <c r="A36" s="38" t="str">
        <v>ncrpo</v>
      </c>
      <c r="B36" s="38" t="str" cm="1">
        <f t="array" ref="B36">_xlfn.XLOOKUP($A36,ncr_merged[[#All],[column_name]],ncr_merged[[#All],[label]]," ",0)</f>
        <v>NCR Primary Operator</v>
      </c>
      <c r="E36" s="38" t="str">
        <f>_xlfn.CONCAT(_xlfn.XLOOKUP($A36,ncr_merged[[#All],[column_name]],ncr_merged[[#All],[question]]," ",0),_xlfn.XLOOKUP($A36,ncr_merged[[#All],[column_name]],ncr_merged[[#All],[supporting_definition]]," ",0))</f>
        <v>Derived from site state + po</v>
      </c>
      <c r="F36" s="38" t="str">
        <f>_xlfn.CONCAT(_xlfn.XLOOKUP($A36,ncr_merged[[#All],[column_name]],ncr_merged[[#All],[required]]," ",0),"")</f>
        <v>Derived variable</v>
      </c>
      <c r="G36" s="38" t="str">
        <f>_xlfn.CONCAT(_xlfn.XLOOKUP($A36,ncr_merged[[#All],[column_name]],ncr_merged[[#All],[comments]]," ",0),
_xlfn.XLOOKUP($A36,ncr_merged[[#All],[column_name]],ncr_merged[[#All],[validation_rule]]," ",0),
_xlfn.XLOOKUP($A36,ncr_merged[[#All],[column_name]],ncr_merged[[#All],[behaviour]]," ",0),
"from the NCR tab: ",_xlfn.XLOOKUP($A36,ncr_merged[[#All],[column_name]],ncr_merged[[#All],[source_tab]]),
" ")</f>
        <v xml:space="preserve">from the NCR tab: admission_preprocedural </v>
      </c>
      <c r="H36" s="38" t="str">
        <f>_xlfn.CONCAT(_xlfn.XLOOKUP($A36,ncr_merged[[#All],[column_name]],ncr_merged[[#All],[format]]," ",0))</f>
        <v>Nxxxxxxx</v>
      </c>
      <c r="I36" s="38" t="str">
        <f>_xlfn.CONCAT(_xlfn.XLOOKUP($A36,ncr_merged[[#All],[column_name]],ncr_merged[[#All],[permitted_values]]," ",0))</f>
        <v/>
      </c>
      <c r="J36" s="44" t="str">
        <f>_xlfn.CONCAT(_xlfn.XLOOKUP($A36,ncr_merged[[#All],[column_name]],ncr_merged[[#All],[range_(min)]]," ",0))</f>
        <v/>
      </c>
      <c r="K36" s="44" t="str">
        <f>_xlfn.CONCAT(_xlfn.XLOOKUP($A36,ncr_merged[[#All],[column_name]],ncr_merged[[#All],[range_(max)]]," ",0))</f>
        <v/>
      </c>
      <c r="M36" s="38" t="str" cm="1">
        <f t="array" ref="M36">_xlfn.CONCAT(IFERROR(_xlfn.XLOOKUP(data_elements_bkp!A36,Table_query__5[[#All],[NCR Variable ID]],Table_query__5[[#All],[in_progress]]),""))</f>
        <v/>
      </c>
    </row>
    <row r="37" spans="1:13" x14ac:dyDescent="0.2">
      <c r="A37" s="38" t="str">
        <v>db</v>
      </c>
      <c r="B37" s="38" t="str" cm="1">
        <f t="array" ref="B37">_xlfn.XLOOKUP($A37,ncr_merged[[#All],[column_name]],ncr_merged[[#All],[label]]," ",0)</f>
        <v>Diabetes</v>
      </c>
      <c r="E37" s="38" t="str">
        <f>_xlfn.CONCAT(_xlfn.XLOOKUP($A37,ncr_merged[[#All],[column_name]],ncr_merged[[#All],[question]]," ",0),_xlfn.XLOOKUP($A37,ncr_merged[[#All],[column_name]],ncr_merged[[#All],[supporting_definition]]," ",0))</f>
        <v>Does the patient have a diagnosis of diabetes?Indicate if the patient has been diagnosed with diabetes mellitus regardless of duration of disease and, this includes a medical diagnosis made during the current admission.</v>
      </c>
      <c r="F37" s="38" t="str">
        <f>_xlfn.CONCAT(_xlfn.XLOOKUP($A37,ncr_merged[[#All],[column_name]],ncr_merged[[#All],[required]]," ",0),"")</f>
        <v>Always</v>
      </c>
      <c r="G37" s="38" t="str">
        <f>_xlfn.CONCAT(_xlfn.XLOOKUP($A37,ncr_merged[[#All],[column_name]],ncr_merged[[#All],[comments]]," ",0),
_xlfn.XLOOKUP($A37,ncr_merged[[#All],[column_name]],ncr_merged[[#All],[validation_rule]]," ",0),
_xlfn.XLOOKUP($A37,ncr_merged[[#All],[column_name]],ncr_merged[[#All],[behaviour]]," ",0),
"from the NCR tab: ",_xlfn.XLOOKUP($A37,ncr_merged[[#All],[column_name]],ncr_merged[[#All],[source_tab]]),
" ")</f>
        <v xml:space="preserve">Reject file if NULLfrom the NCR tab: admission_preprocedural </v>
      </c>
      <c r="H37" s="38" t="str">
        <f>_xlfn.CONCAT(_xlfn.XLOOKUP($A37,ncr_merged[[#All],[column_name]],ncr_merged[[#All],[format]]," ",0))</f>
        <v>N</v>
      </c>
      <c r="I37" s="38" t="str">
        <f>_xlfn.CONCAT(_xlfn.XLOOKUP($A37,ncr_merged[[#All],[column_name]],ncr_merged[[#All],[permitted_values]]," ",0))</f>
        <v>0=No
1=Yes</v>
      </c>
      <c r="J37" s="44" t="str">
        <f>_xlfn.CONCAT(_xlfn.XLOOKUP($A37,ncr_merged[[#All],[column_name]],ncr_merged[[#All],[range_(min)]]," ",0))</f>
        <v>0</v>
      </c>
      <c r="K37" s="44" t="str">
        <f>_xlfn.CONCAT(_xlfn.XLOOKUP($A37,ncr_merged[[#All],[column_name]],ncr_merged[[#All],[range_(max)]]," ",0))</f>
        <v>1</v>
      </c>
      <c r="M37" s="38" t="str" cm="1">
        <f t="array" ref="M37">_xlfn.CONCAT(IFERROR(_xlfn.XLOOKUP(data_elements_bkp!A37,Table_query__5[[#All],[NCR Variable ID]],Table_query__5[[#All],[in_progress]]),""))</f>
        <v>Business rule to take value from whichever is more specific or populated, RiskScore/HMDS/Other</v>
      </c>
    </row>
    <row r="38" spans="1:13" x14ac:dyDescent="0.2">
      <c r="A38" s="38" t="str">
        <v>dbm</v>
      </c>
      <c r="B38" s="38" t="str" cm="1">
        <f t="array" ref="B38">_xlfn.XLOOKUP($A38,ncr_merged[[#All],[column_name]],ncr_merged[[#All],[label]]," ",0)</f>
        <v>Diabetes management type</v>
      </c>
      <c r="E38" s="38" t="str">
        <f>_xlfn.CONCAT(_xlfn.XLOOKUP($A38,ncr_merged[[#All],[column_name]],ncr_merged[[#All],[question]]," ",0),_xlfn.XLOOKUP($A38,ncr_merged[[#All],[column_name]],ncr_merged[[#All],[supporting_definition]]," ",0))</f>
        <v>Where Diabetes is coded 1=Yes, indicate the management type.Indicate the diabetes management type:
- Oral: Patient requires oral hypoglycaemic medication to control their condition
- Insulin: Patient requires insulin to control their condition with or without oral therapy
- Diet: Patient has received dietary advice appropriate to their condition but is not taking medication to lower blood sugar</v>
      </c>
      <c r="F38" s="38" t="str">
        <f>_xlfn.CONCAT(_xlfn.XLOOKUP($A38,ncr_merged[[#All],[column_name]],ncr_merged[[#All],[required]]," ",0),"")</f>
        <v>If db =1</v>
      </c>
      <c r="G38" s="38" t="str">
        <f>_xlfn.CONCAT(_xlfn.XLOOKUP($A38,ncr_merged[[#All],[column_name]],ncr_merged[[#All],[comments]]," ",0),
_xlfn.XLOOKUP($A38,ncr_merged[[#All],[column_name]],ncr_merged[[#All],[validation_rule]]," ",0),
_xlfn.XLOOKUP($A38,ncr_merged[[#All],[column_name]],ncr_merged[[#All],[behaviour]]," ",0),
"from the NCR tab: ",_xlfn.XLOOKUP($A38,ncr_merged[[#All],[column_name]],ncr_merged[[#All],[source_tab]]),
" ")</f>
        <v xml:space="preserve">Reject file if db=0, and data is in dbm
Reject file if db=1 AND dbm is NULLfrom the NCR tab: admission_preprocedural </v>
      </c>
      <c r="H38" s="38" t="str">
        <f>_xlfn.CONCAT(_xlfn.XLOOKUP($A38,ncr_merged[[#All],[column_name]],ncr_merged[[#All],[format]]," ",0))</f>
        <v>N</v>
      </c>
      <c r="I38" s="38" t="str">
        <f>_xlfn.CONCAT(_xlfn.XLOOKUP($A38,ncr_merged[[#All],[column_name]],ncr_merged[[#All],[permitted_values]]," ",0))</f>
        <v>1=Oral
2= Insulin
3=Diet</v>
      </c>
      <c r="J38" s="44" t="str">
        <f>_xlfn.CONCAT(_xlfn.XLOOKUP($A38,ncr_merged[[#All],[column_name]],ncr_merged[[#All],[range_(min)]]," ",0))</f>
        <v>1</v>
      </c>
      <c r="K38" s="44" t="str">
        <f>_xlfn.CONCAT(_xlfn.XLOOKUP($A38,ncr_merged[[#All],[column_name]],ncr_merged[[#All],[range_(max)]]," ",0))</f>
        <v>3</v>
      </c>
      <c r="M38" s="38" t="str" cm="1">
        <f t="array" ref="M38">_xlfn.CONCAT(IFERROR(_xlfn.XLOOKUP(data_elements_bkp!A38,Table_query__5[[#All],[NCR Variable ID]],Table_query__5[[#All],[in_progress]]),""))</f>
        <v>HIH Results Hub - needs clarification &amp; SME input (SMA)</v>
      </c>
    </row>
    <row r="39" spans="1:13" x14ac:dyDescent="0.2">
      <c r="A39" s="38" t="str">
        <v>pvd1</v>
      </c>
      <c r="B39" s="38" t="str" cm="1">
        <f t="array" ref="B39">_xlfn.XLOOKUP($A39,ncr_merged[[#All],[column_name]],ncr_merged[[#All],[label]]," ",0)</f>
        <v>Peripheral vascular disease history 1 - with intervention</v>
      </c>
      <c r="E39" s="38" t="str">
        <f>_xlfn.CONCAT(_xlfn.XLOOKUP($A39,ncr_merged[[#All],[column_name]],ncr_merged[[#All],[question]]," ",0),_xlfn.XLOOKUP($A39,ncr_merged[[#All],[column_name]],ncr_merged[[#All],[supporting_definition]]," ",0))</f>
        <v>Does the patient have a history of PVD with intervention? Note: only respond to PVD1 or PVD2Indicate if the patient displays evidence of either chronic or acute PVD. The presence of PVD must be demonstrated by vascular reconstruction or amputation for arterial insufficiency, bypass surgery or percutaneous intervention.
Note: This definition of PVD must be accompanied with intervention such as reconstruction, amputation, surgery or percutaneous intervention.  Includes the aorta, extremities and carotid vessels. If no intervention select the broader option of PVD 2.</v>
      </c>
      <c r="F39" s="38" t="str">
        <f>_xlfn.CONCAT(_xlfn.XLOOKUP($A39,ncr_merged[[#All],[column_name]],ncr_merged[[#All],[required]]," ",0),"")</f>
        <v>If pvd2 is NULL</v>
      </c>
      <c r="G39" s="38" t="str">
        <f>_xlfn.CONCAT(_xlfn.XLOOKUP($A39,ncr_merged[[#All],[column_name]],ncr_merged[[#All],[comments]]," ",0),
_xlfn.XLOOKUP($A39,ncr_merged[[#All],[column_name]],ncr_merged[[#All],[validation_rule]]," ",0),
_xlfn.XLOOKUP($A39,ncr_merged[[#All],[column_name]],ncr_merged[[#All],[behaviour]]," ",0),
"from the NCR tab: ",_xlfn.XLOOKUP($A39,ncr_merged[[#All],[column_name]],ncr_merged[[#All],[source_tab]]),
" ")</f>
        <v xml:space="preserve">Can only have data in pvd1 OR pvd2 not bothReject file if PVD1 and PVD2 both have data
Reject file if PVD1 and PVD2 are both NULLfrom the NCR tab: admission_preprocedural </v>
      </c>
      <c r="H39" s="38" t="str">
        <f>_xlfn.CONCAT(_xlfn.XLOOKUP($A39,ncr_merged[[#All],[column_name]],ncr_merged[[#All],[format]]," ",0))</f>
        <v>N</v>
      </c>
      <c r="I39" s="38" t="str">
        <f>_xlfn.CONCAT(_xlfn.XLOOKUP($A39,ncr_merged[[#All],[column_name]],ncr_merged[[#All],[permitted_values]]," ",0))</f>
        <v>0=No
1=Yes</v>
      </c>
      <c r="J39" s="44" t="str">
        <f>_xlfn.CONCAT(_xlfn.XLOOKUP($A39,ncr_merged[[#All],[column_name]],ncr_merged[[#All],[range_(min)]]," ",0))</f>
        <v>0</v>
      </c>
      <c r="K39" s="44" t="str">
        <f>_xlfn.CONCAT(_xlfn.XLOOKUP($A39,ncr_merged[[#All],[column_name]],ncr_merged[[#All],[range_(max)]]," ",0))</f>
        <v>1</v>
      </c>
      <c r="M39" s="38" t="str" cm="1">
        <f t="array" ref="M39">_xlfn.CONCAT(IFERROR(_xlfn.XLOOKUP(data_elements_bkp!A39,Table_query__5[[#All],[NCR Variable ID]],Table_query__5[[#All],[in_progress]]),""))</f>
        <v>Derivable with history from HMDS, and/or NACS, and/or Cardiobase - needs additional variables to be added to explain why this field is set to to TRUE and originating data source.</v>
      </c>
    </row>
    <row r="40" spans="1:13" x14ac:dyDescent="0.2">
      <c r="A40" s="38" t="str">
        <v>pvd2</v>
      </c>
      <c r="B40" s="38" t="str" cm="1">
        <f t="array" ref="B40">_xlfn.XLOOKUP($A40,ncr_merged[[#All],[column_name]],ncr_merged[[#All],[label]]," ",0)</f>
        <v>Peripheral vascular disease history 2 - broader definition</v>
      </c>
      <c r="E40" s="38" t="str">
        <f>_xlfn.CONCAT(_xlfn.XLOOKUP($A40,ncr_merged[[#All],[column_name]],ncr_merged[[#All],[question]]," ",0),_xlfn.XLOOKUP($A40,ncr_merged[[#All],[column_name]],ncr_merged[[#All],[supporting_definition]]," ",0))</f>
        <v>Does the patient have a history of PVD with or without intervention?  Note: only respond to PVD1 or PVD2Indicate if the patient has a current or previous history of peripheral vascular disease (includes subclavian, iliac, femoral, and upper- and lower-extremity vessels; excludes renal, coronary, cerebral, and mesenteric vessels and aneurysms). This can include: Claudication on exertion, Amputation for arterial vascular insufficiency, Vascular reconstruction, bypass surgery, or percutaneous revascularization in the arteries of the extremities, Positive noninvasive test (e.g., ankle brachial index &lt;= 0.9, ultrasound, MR or CT imaging of &gt;50% diameter stenosis in any peripheral artery (i.e., subclavian, femoral, iliac) or angiographic imaging)</v>
      </c>
      <c r="F40" s="38" t="str">
        <f>_xlfn.CONCAT(_xlfn.XLOOKUP($A40,ncr_merged[[#All],[column_name]],ncr_merged[[#All],[required]]," ",0),"")</f>
        <v>If pvd1 is NULL</v>
      </c>
      <c r="G40" s="38" t="str">
        <f>_xlfn.CONCAT(_xlfn.XLOOKUP($A40,ncr_merged[[#All],[column_name]],ncr_merged[[#All],[comments]]," ",0),
_xlfn.XLOOKUP($A40,ncr_merged[[#All],[column_name]],ncr_merged[[#All],[validation_rule]]," ",0),
_xlfn.XLOOKUP($A40,ncr_merged[[#All],[column_name]],ncr_merged[[#All],[behaviour]]," ",0),
"from the NCR tab: ",_xlfn.XLOOKUP($A40,ncr_merged[[#All],[column_name]],ncr_merged[[#All],[source_tab]]),
" ")</f>
        <v xml:space="preserve">Can only have data in pvd1 OR pvd2 not bothReject file if PVD1 and PVD2 both have data
Reject file if PVD1 and PVD2 are both NULLfrom the NCR tab: admission_preprocedural </v>
      </c>
      <c r="H40" s="38" t="str">
        <f>_xlfn.CONCAT(_xlfn.XLOOKUP($A40,ncr_merged[[#All],[column_name]],ncr_merged[[#All],[format]]," ",0))</f>
        <v>N</v>
      </c>
      <c r="I40" s="38" t="str">
        <f>_xlfn.CONCAT(_xlfn.XLOOKUP($A40,ncr_merged[[#All],[column_name]],ncr_merged[[#All],[permitted_values]]," ",0))</f>
        <v>0=No
1=Yes</v>
      </c>
      <c r="J40" s="44" t="str">
        <f>_xlfn.CONCAT(_xlfn.XLOOKUP($A40,ncr_merged[[#All],[column_name]],ncr_merged[[#All],[range_(min)]]," ",0))</f>
        <v>0</v>
      </c>
      <c r="K40" s="44" t="str">
        <f>_xlfn.CONCAT(_xlfn.XLOOKUP($A40,ncr_merged[[#All],[column_name]],ncr_merged[[#All],[range_(max)]]," ",0))</f>
        <v>1</v>
      </c>
      <c r="M40" s="38" t="str" cm="1">
        <f t="array" ref="M40">_xlfn.CONCAT(IFERROR(_xlfn.XLOOKUP(data_elements_bkp!A40,Table_query__5[[#All],[NCR Variable ID]],Table_query__5[[#All],[in_progress]]),""))</f>
        <v>Derivable with history from HMDS, and/or NACS, and/or Cardiobase - needs additional variables to be added to explain why this field is set to to TRUE and originating data source.</v>
      </c>
    </row>
    <row r="41" spans="1:13" x14ac:dyDescent="0.2">
      <c r="A41" s="38" t="str">
        <v>pcabg</v>
      </c>
      <c r="B41" s="38" t="str" cm="1">
        <f t="array" ref="B41">_xlfn.XLOOKUP($A41,ncr_merged[[#All],[column_name]],ncr_merged[[#All],[label]]," ",0)</f>
        <v>Previous CABG</v>
      </c>
      <c r="E41" s="38" t="str">
        <f>_xlfn.CONCAT(_xlfn.XLOOKUP($A41,ncr_merged[[#All],[column_name]],ncr_merged[[#All],[question]]," ",0),_xlfn.XLOOKUP($A41,ncr_merged[[#All],[column_name]],ncr_merged[[#All],[supporting_definition]]," ",0))</f>
        <v>Has the patient previously undergone a CABG?Indicate if the patient has undergone a previous Coronary Artery Bypass (CABG) surgery prior to the current PCI procedure.</v>
      </c>
      <c r="F41" s="38" t="str">
        <f>_xlfn.CONCAT(_xlfn.XLOOKUP($A41,ncr_merged[[#All],[column_name]],ncr_merged[[#All],[required]]," ",0),"")</f>
        <v>Always</v>
      </c>
      <c r="G41" s="38" t="str">
        <f>_xlfn.CONCAT(_xlfn.XLOOKUP($A41,ncr_merged[[#All],[column_name]],ncr_merged[[#All],[comments]]," ",0),
_xlfn.XLOOKUP($A41,ncr_merged[[#All],[column_name]],ncr_merged[[#All],[validation_rule]]," ",0),
_xlfn.XLOOKUP($A41,ncr_merged[[#All],[column_name]],ncr_merged[[#All],[behaviour]]," ",0),
"from the NCR tab: ",_xlfn.XLOOKUP($A41,ncr_merged[[#All],[column_name]],ncr_merged[[#All],[source_tab]]),
" ")</f>
        <v xml:space="preserve">Reject file if NULLfrom the NCR tab: admission_preprocedural </v>
      </c>
      <c r="H41" s="38" t="str">
        <f>_xlfn.CONCAT(_xlfn.XLOOKUP($A41,ncr_merged[[#All],[column_name]],ncr_merged[[#All],[format]]," ",0))</f>
        <v/>
      </c>
      <c r="I41" s="38" t="str">
        <f>_xlfn.CONCAT(_xlfn.XLOOKUP($A41,ncr_merged[[#All],[column_name]],ncr_merged[[#All],[permitted_values]]," ",0))</f>
        <v>0=No
1=Yes</v>
      </c>
      <c r="J41" s="44" t="str">
        <f>_xlfn.CONCAT(_xlfn.XLOOKUP($A41,ncr_merged[[#All],[column_name]],ncr_merged[[#All],[range_(min)]]," ",0))</f>
        <v>0</v>
      </c>
      <c r="K41" s="44" t="str">
        <f>_xlfn.CONCAT(_xlfn.XLOOKUP($A41,ncr_merged[[#All],[column_name]],ncr_merged[[#All],[range_(max)]]," ",0))</f>
        <v>1</v>
      </c>
      <c r="M41" s="38" t="str" cm="1">
        <f t="array" ref="M41">_xlfn.CONCAT(IFERROR(_xlfn.XLOOKUP(data_elements_bkp!A41,Table_query__5[[#All],[NCR Variable ID]],Table_query__5[[#All],[in_progress]]),""))</f>
        <v>Derivable with history from HMDS, and/or NACS, and/or Cardiobase - needs additional variables to be added to explain why this field is set to to TRUE and originating data source.</v>
      </c>
    </row>
    <row r="42" spans="1:13" x14ac:dyDescent="0.2">
      <c r="A42" s="38" t="str">
        <v>dpcabg</v>
      </c>
      <c r="B42" s="38" t="str" cm="1">
        <f t="array" ref="B42">_xlfn.XLOOKUP($A42,ncr_merged[[#All],[column_name]],ncr_merged[[#All],[label]]," ",0)</f>
        <v>When was the most recent CABG?</v>
      </c>
      <c r="E42" s="38" t="str">
        <f>_xlfn.CONCAT(_xlfn.XLOOKUP($A42,ncr_merged[[#All],[column_name]],ncr_merged[[#All],[question]]," ",0),_xlfn.XLOOKUP($A42,ncr_merged[[#All],[column_name]],ncr_merged[[#All],[supporting_definition]]," ",0))</f>
        <v>If Previous CABG is coded 1=Yes, on what date?The date on which patient had their most recent CABG in DD/ MM /YYYY format. Note: If only the year is known or estimated, this will suffice, enter as 01/01/YYYY.</v>
      </c>
      <c r="F42" s="38" t="str">
        <f>_xlfn.CONCAT(_xlfn.XLOOKUP($A42,ncr_merged[[#All],[column_name]],ncr_merged[[#All],[required]]," ",0),"")</f>
        <v>If pcabg =1</v>
      </c>
      <c r="G42" s="38" t="str">
        <f>_xlfn.CONCAT(_xlfn.XLOOKUP($A42,ncr_merged[[#All],[column_name]],ncr_merged[[#All],[comments]]," ",0),
_xlfn.XLOOKUP($A42,ncr_merged[[#All],[column_name]],ncr_merged[[#All],[validation_rule]]," ",0),
_xlfn.XLOOKUP($A42,ncr_merged[[#All],[column_name]],ncr_merged[[#All],[behaviour]]," ",0),
"from the NCR tab: ",_xlfn.XLOOKUP($A42,ncr_merged[[#All],[column_name]],ncr_merged[[#All],[source_tab]]),
" ")</f>
        <v xml:space="preserve">DPCABG must be ≤DOPReject file if DPCABG is &gt;DOP
Reject file if pcabg =0 AND dpcabg has data
Reject file if pcabg = 1 AND dpcabg is NULLfrom the NCR tab: admission_preprocedural </v>
      </c>
      <c r="H42" s="38" t="str">
        <f>_xlfn.CONCAT(_xlfn.XLOOKUP($A42,ncr_merged[[#All],[column_name]],ncr_merged[[#All],[format]]," ",0))</f>
        <v>DD/MM/YYYY</v>
      </c>
      <c r="I42" s="38" t="str">
        <f>_xlfn.CONCAT(_xlfn.XLOOKUP($A42,ncr_merged[[#All],[column_name]],ncr_merged[[#All],[permitted_values]]," ",0))</f>
        <v/>
      </c>
      <c r="J42" s="44" t="str">
        <f>_xlfn.CONCAT(_xlfn.XLOOKUP($A42,ncr_merged[[#All],[column_name]],ncr_merged[[#All],[range_(min)]]," ",0))</f>
        <v/>
      </c>
      <c r="K42" s="44" t="str">
        <f>_xlfn.CONCAT(_xlfn.XLOOKUP($A42,ncr_merged[[#All],[column_name]],ncr_merged[[#All],[range_(max)]]," ",0))</f>
        <v/>
      </c>
      <c r="M42" s="38" t="str" cm="1">
        <f t="array" ref="M42">_xlfn.CONCAT(IFERROR(_xlfn.XLOOKUP(data_elements_bkp!A42,Table_query__5[[#All],[NCR Variable ID]],Table_query__5[[#All],[in_progress]]),""))</f>
        <v>Derivable if pt had procedure within WA, HMDS</v>
      </c>
    </row>
    <row r="43" spans="1:13" x14ac:dyDescent="0.2">
      <c r="A43" s="38" t="str">
        <v>ppci</v>
      </c>
      <c r="B43" s="38" t="str" cm="1">
        <f t="array" ref="B43">_xlfn.XLOOKUP($A43,ncr_merged[[#All],[column_name]],ncr_merged[[#All],[label]]," ",0)</f>
        <v>Previous PCI</v>
      </c>
      <c r="E43" s="38" t="str">
        <f>_xlfn.CONCAT(_xlfn.XLOOKUP($A43,ncr_merged[[#All],[column_name]],ncr_merged[[#All],[question]]," ",0),_xlfn.XLOOKUP($A43,ncr_merged[[#All],[column_name]],ncr_merged[[#All],[supporting_definition]]," ",0))</f>
        <v>Has the patient had a prior PCI?Indicate if patient has had a prior Percutaneous Transluminal Coronary Angioplasty, Coronary Atherectomy, and/or coronary stent done at any time prior to the current PCI procedure. 
Note: This may include a PCI performed during the current admission.</v>
      </c>
      <c r="F43" s="38" t="str">
        <f>_xlfn.CONCAT(_xlfn.XLOOKUP($A43,ncr_merged[[#All],[column_name]],ncr_merged[[#All],[required]]," ",0),"")</f>
        <v>Always</v>
      </c>
      <c r="G43" s="38" t="str">
        <f>_xlfn.CONCAT(_xlfn.XLOOKUP($A43,ncr_merged[[#All],[column_name]],ncr_merged[[#All],[comments]]," ",0),
_xlfn.XLOOKUP($A43,ncr_merged[[#All],[column_name]],ncr_merged[[#All],[validation_rule]]," ",0),
_xlfn.XLOOKUP($A43,ncr_merged[[#All],[column_name]],ncr_merged[[#All],[behaviour]]," ",0),
"from the NCR tab: ",_xlfn.XLOOKUP($A43,ncr_merged[[#All],[column_name]],ncr_merged[[#All],[source_tab]]),
" ")</f>
        <v xml:space="preserve">Reject file if NULLfrom the NCR tab: admission_preprocedural </v>
      </c>
      <c r="H43" s="38" t="str">
        <f>_xlfn.CONCAT(_xlfn.XLOOKUP($A43,ncr_merged[[#All],[column_name]],ncr_merged[[#All],[format]]," ",0))</f>
        <v>N</v>
      </c>
      <c r="I43" s="38" t="str">
        <f>_xlfn.CONCAT(_xlfn.XLOOKUP($A43,ncr_merged[[#All],[column_name]],ncr_merged[[#All],[permitted_values]]," ",0))</f>
        <v>0=No
1=Yes</v>
      </c>
      <c r="J43" s="44" t="str">
        <f>_xlfn.CONCAT(_xlfn.XLOOKUP($A43,ncr_merged[[#All],[column_name]],ncr_merged[[#All],[range_(min)]]," ",0))</f>
        <v>0</v>
      </c>
      <c r="K43" s="44" t="str">
        <f>_xlfn.CONCAT(_xlfn.XLOOKUP($A43,ncr_merged[[#All],[column_name]],ncr_merged[[#All],[range_(max)]]," ",0))</f>
        <v>1</v>
      </c>
      <c r="M43" s="38" t="str" cm="1">
        <f t="array" ref="M43">_xlfn.CONCAT(IFERROR(_xlfn.XLOOKUP(data_elements_bkp!A43,Table_query__5[[#All],[NCR Variable ID]],Table_query__5[[#All],[in_progress]]),""))</f>
        <v>Derivable if pt had procedure within WA, HMDS</v>
      </c>
    </row>
    <row r="44" spans="1:13" x14ac:dyDescent="0.2">
      <c r="A44" s="38" t="str">
        <v>dppci</v>
      </c>
      <c r="B44" s="38" t="str" cm="1">
        <f t="array" ref="B44">_xlfn.XLOOKUP($A44,ncr_merged[[#All],[column_name]],ncr_merged[[#All],[label]]," ",0)</f>
        <v>When was the most recent PCI?</v>
      </c>
      <c r="E44" s="38" t="str">
        <f>_xlfn.CONCAT(_xlfn.XLOOKUP($A44,ncr_merged[[#All],[column_name]],ncr_merged[[#All],[question]]," ",0),_xlfn.XLOOKUP($A44,ncr_merged[[#All],[column_name]],ncr_merged[[#All],[supporting_definition]]," ",0))</f>
        <v>If Previous PCI is coded 1=Yes, on what date?The date on which patient had their most recent PCI in DD/ MM /YYYY format. Note: If only the year is known or estimated, this will suffice, enter as 01/01/YYYY.</v>
      </c>
      <c r="F44" s="38" t="str">
        <f>_xlfn.CONCAT(_xlfn.XLOOKUP($A44,ncr_merged[[#All],[column_name]],ncr_merged[[#All],[required]]," ",0),"")</f>
        <v>If ppci=1</v>
      </c>
      <c r="G44" s="38" t="str">
        <f>_xlfn.CONCAT(_xlfn.XLOOKUP($A44,ncr_merged[[#All],[column_name]],ncr_merged[[#All],[comments]]," ",0),
_xlfn.XLOOKUP($A44,ncr_merged[[#All],[column_name]],ncr_merged[[#All],[validation_rule]]," ",0),
_xlfn.XLOOKUP($A44,ncr_merged[[#All],[column_name]],ncr_merged[[#All],[behaviour]]," ",0),
"from the NCR tab: ",_xlfn.XLOOKUP($A44,ncr_merged[[#All],[column_name]],ncr_merged[[#All],[source_tab]]),
" ")</f>
        <v xml:space="preserve">DPPCI must be ≤DOPReject file if dppci &gt; DOP
Reject file if ppci =0 and dppci has data
Reject file if ppci = 1 AND dppci is NULLfrom the NCR tab: admission_preprocedural </v>
      </c>
      <c r="H44" s="38" t="str">
        <f>_xlfn.CONCAT(_xlfn.XLOOKUP($A44,ncr_merged[[#All],[column_name]],ncr_merged[[#All],[format]]," ",0))</f>
        <v>DD/MM/YYYY</v>
      </c>
      <c r="I44" s="38" t="str">
        <f>_xlfn.CONCAT(_xlfn.XLOOKUP($A44,ncr_merged[[#All],[column_name]],ncr_merged[[#All],[permitted_values]]," ",0))</f>
        <v/>
      </c>
      <c r="J44" s="44" t="str">
        <f>_xlfn.CONCAT(_xlfn.XLOOKUP($A44,ncr_merged[[#All],[column_name]],ncr_merged[[#All],[range_(min)]]," ",0))</f>
        <v/>
      </c>
      <c r="K44" s="44" t="str">
        <f>_xlfn.CONCAT(_xlfn.XLOOKUP($A44,ncr_merged[[#All],[column_name]],ncr_merged[[#All],[range_(max)]]," ",0))</f>
        <v/>
      </c>
      <c r="M44" s="38" t="str" cm="1">
        <f t="array" ref="M44">_xlfn.CONCAT(IFERROR(_xlfn.XLOOKUP(data_elements_bkp!A44,Table_query__5[[#All],[NCR Variable ID]],Table_query__5[[#All],[in_progress]]),""))</f>
        <v>Derivable if pt had procedure within WA, HMDS</v>
      </c>
    </row>
    <row r="45" spans="1:13" x14ac:dyDescent="0.2">
      <c r="A45" s="38" t="str">
        <v>npcr</v>
      </c>
      <c r="B45" s="38" t="str" cm="1">
        <f t="array" ref="B45">_xlfn.XLOOKUP($A45,ncr_merged[[#All],[column_name]],ncr_merged[[#All],[label]]," ",0)</f>
        <v>Creatinine result not available</v>
      </c>
      <c r="E45" s="38" t="str">
        <f>_xlfn.CONCAT(_xlfn.XLOOKUP($A45,ncr_merged[[#All],[column_name]],ncr_merged[[#All],[question]]," ",0),_xlfn.XLOOKUP($A45,ncr_merged[[#All],[column_name]],ncr_merged[[#All],[supporting_definition]]," ",0))</f>
        <v>Is the last pre-procedure creatinine not available?If creatinine results not available leave the above blank and note 1=Yes here.</v>
      </c>
      <c r="F45" s="38" t="str">
        <f>_xlfn.CONCAT(_xlfn.XLOOKUP($A45,ncr_merged[[#All],[column_name]],ncr_merged[[#All],[required]]," ",0),"")</f>
        <v>If pcr is NULL</v>
      </c>
      <c r="G45" s="38" t="str">
        <f>_xlfn.CONCAT(_xlfn.XLOOKUP($A45,ncr_merged[[#All],[column_name]],ncr_merged[[#All],[comments]]," ",0),
_xlfn.XLOOKUP($A45,ncr_merged[[#All],[column_name]],ncr_merged[[#All],[validation_rule]]," ",0),
_xlfn.XLOOKUP($A45,ncr_merged[[#All],[column_name]],ncr_merged[[#All],[behaviour]]," ",0),
"from the NCR tab: ",_xlfn.XLOOKUP($A45,ncr_merged[[#All],[column_name]],ncr_merged[[#All],[source_tab]]),
" ")</f>
        <v xml:space="preserve">pcr must be emptyReject file if there is a value in pcr and npcr=1
Reject file if both pcr AND npcr are NULLfrom the NCR tab: admission_preprocedural </v>
      </c>
      <c r="H45" s="38" t="str">
        <f>_xlfn.CONCAT(_xlfn.XLOOKUP($A45,ncr_merged[[#All],[column_name]],ncr_merged[[#All],[format]]," ",0))</f>
        <v/>
      </c>
      <c r="I45" s="38" t="str">
        <f>_xlfn.CONCAT(_xlfn.XLOOKUP($A45,ncr_merged[[#All],[column_name]],ncr_merged[[#All],[permitted_values]]," ",0))</f>
        <v> 1=Yes not available</v>
      </c>
      <c r="J45" s="44" t="str">
        <f>_xlfn.CONCAT(_xlfn.XLOOKUP($A45,ncr_merged[[#All],[column_name]],ncr_merged[[#All],[range_(min)]]," ",0))</f>
        <v>1</v>
      </c>
      <c r="K45" s="44" t="str">
        <f>_xlfn.CONCAT(_xlfn.XLOOKUP($A45,ncr_merged[[#All],[column_name]],ncr_merged[[#All],[range_(max)]]," ",0))</f>
        <v>1</v>
      </c>
      <c r="M45" s="38" t="str" cm="1">
        <f t="array" ref="M45">_xlfn.CONCAT(IFERROR(_xlfn.XLOOKUP(data_elements_bkp!A45,Table_query__5[[#All],[NCR Variable ID]],Table_query__5[[#All],[in_progress]]),""))</f>
        <v>Business Rule</v>
      </c>
    </row>
    <row r="46" spans="1:13" x14ac:dyDescent="0.2">
      <c r="A46" s="38" t="str">
        <v>eftp</v>
      </c>
      <c r="B46" s="38" t="str" cm="1">
        <f t="array" ref="B46">_xlfn.XLOOKUP($A46,ncr_merged[[#All],[column_name]],ncr_merged[[#All],[label]]," ",0)</f>
        <v>LVEF test performed</v>
      </c>
      <c r="E46" s="38" t="str">
        <f>_xlfn.CONCAT(_xlfn.XLOOKUP($A46,ncr_merged[[#All],[column_name]],ncr_merged[[#All],[question]]," ",0),_xlfn.XLOOKUP($A46,ncr_merged[[#All],[column_name]],ncr_merged[[#All],[supporting_definition]]," ",0))</f>
        <v>For STEMI patients was a LVEF test performed during the index admission or up to 30 days post-discharge, and for other patients was a LVEF test performed within 6 months prior or up to 30 days  post-discharge?For all patients (excluding STEMIs – see note below) indicate whether the patient’s ventricular ejection fraction (EF) was measured (or estimated) within 6 months prior to the current procedure up to four weeks post-discharge. This includes the period leading up to and including the cardiac catheter lab visit, after the lab visit and up to 30 days after the patient was discharged. If multiple test results are available during this period, select the test result closest to the date/time of the index PCI. 
Note: For STEMI patients a LVEF test must have been recorded DURING the index admission or up to 30 days post-discharge for this item to be coded ‘yes’.  For these patients, where no LVEF test was performed DURING THE INDEX ADMISSION, code “no”.</v>
      </c>
      <c r="F46" s="38" t="str">
        <f>_xlfn.CONCAT(_xlfn.XLOOKUP($A46,ncr_merged[[#All],[column_name]],ncr_merged[[#All],[required]]," ",0),"")</f>
        <v>Always</v>
      </c>
      <c r="G46" s="38" t="str">
        <f>_xlfn.CONCAT(_xlfn.XLOOKUP($A46,ncr_merged[[#All],[column_name]],ncr_merged[[#All],[comments]]," ",0),
_xlfn.XLOOKUP($A46,ncr_merged[[#All],[column_name]],ncr_merged[[#All],[validation_rule]]," ",0),
_xlfn.XLOOKUP($A46,ncr_merged[[#All],[column_name]],ncr_merged[[#All],[behaviour]]," ",0),
"from the NCR tab: ",_xlfn.XLOOKUP($A46,ncr_merged[[#All],[column_name]],ncr_merged[[#All],[source_tab]]),
" ")</f>
        <v xml:space="preserve">Reject file if NULLfrom the NCR tab: admission_preprocedural </v>
      </c>
      <c r="H46" s="38" t="str">
        <f>_xlfn.CONCAT(_xlfn.XLOOKUP($A46,ncr_merged[[#All],[column_name]],ncr_merged[[#All],[format]]," ",0))</f>
        <v>N</v>
      </c>
      <c r="I46" s="38" t="str">
        <f>_xlfn.CONCAT(_xlfn.XLOOKUP($A46,ncr_merged[[#All],[column_name]],ncr_merged[[#All],[permitted_values]]," ",0))</f>
        <v>0=No
1=Yes</v>
      </c>
      <c r="J46" s="44" t="str">
        <f>_xlfn.CONCAT(_xlfn.XLOOKUP($A46,ncr_merged[[#All],[column_name]],ncr_merged[[#All],[range_(min)]]," ",0))</f>
        <v>0</v>
      </c>
      <c r="K46" s="44" t="str">
        <f>_xlfn.CONCAT(_xlfn.XLOOKUP($A46,ncr_merged[[#All],[column_name]],ncr_merged[[#All],[range_(max)]]," ",0))</f>
        <v>1</v>
      </c>
      <c r="M46" s="38" t="str" cm="1">
        <f t="array" ref="M46">_xlfn.CONCAT(IFERROR(_xlfn.XLOOKUP(data_elements_bkp!A46,Table_query__5[[#All],[NCR Variable ID]],Table_query__5[[#All],[in_progress]]),""))</f>
        <v>Two possible sources, explore syngo access, and HIH results hub.  eftp_derived_source</v>
      </c>
    </row>
    <row r="47" spans="1:13" x14ac:dyDescent="0.2">
      <c r="A47" s="38" t="str">
        <v>def</v>
      </c>
      <c r="B47" s="38" t="str" cm="1">
        <f t="array" ref="B47">_xlfn.XLOOKUP($A47,ncr_merged[[#All],[column_name]],ncr_merged[[#All],[label]]," ",0)</f>
        <v>Date of LVEF test</v>
      </c>
      <c r="E47" s="38" t="str">
        <f>_xlfn.CONCAT(_xlfn.XLOOKUP($A47,ncr_merged[[#All],[column_name]],ncr_merged[[#All],[question]]," ",0),_xlfn.XLOOKUP($A47,ncr_merged[[#All],[column_name]],ncr_merged[[#All],[supporting_definition]]," ",0))</f>
        <v>Where LVEF test performed is coded 'yes', on what date was the most recent LVEF test?The date of the MOST RECENT LVEF test.
Note: Where multiple LVEF test results exist within the 6 month period leading up to the index admission or anytime during the index admission but within 30 days post-discharge, record the test result CLOSEST TO THE INDEX PCI date/time.</v>
      </c>
      <c r="F47" s="38" t="str">
        <f>_xlfn.CONCAT(_xlfn.XLOOKUP($A47,ncr_merged[[#All],[column_name]],ncr_merged[[#All],[required]]," ",0),"")</f>
        <v>If eftp=1</v>
      </c>
      <c r="G47" s="38" t="str">
        <f>_xlfn.CONCAT(_xlfn.XLOOKUP($A47,ncr_merged[[#All],[column_name]],ncr_merged[[#All],[comments]]," ",0),
_xlfn.XLOOKUP($A47,ncr_merged[[#All],[column_name]],ncr_merged[[#All],[validation_rule]]," ",0),
_xlfn.XLOOKUP($A47,ncr_merged[[#All],[column_name]],ncr_merged[[#All],[behaviour]]," ",0),
"from the NCR tab: ",_xlfn.XLOOKUP($A47,ncr_merged[[#All],[column_name]],ncr_merged[[#All],[source_tab]]),
" ")</f>
        <v xml:space="preserve">
If ACST &lt; &gt; 3 then DEF must be between [6 months prior to DOP] and [DOD+30 days]
If ACST = 3 then DEF must be between DOA and [DOD+30 days]Reject file if eftp=0 and def has data
Reject file if eftp =1 and def is NULL
Reject file if def is &gt;dod+30 days
Reject file if acst=3 AND def &lt;doa
Reject file if acst is NOT =3 and def is &lt;doa-6 monthsfrom the NCR tab: admission_preprocedural </v>
      </c>
      <c r="H47" s="38" t="str">
        <f>_xlfn.CONCAT(_xlfn.XLOOKUP($A47,ncr_merged[[#All],[column_name]],ncr_merged[[#All],[format]]," ",0))</f>
        <v>DD/MM/YYYY</v>
      </c>
      <c r="I47" s="38" t="str">
        <f>_xlfn.CONCAT(_xlfn.XLOOKUP($A47,ncr_merged[[#All],[column_name]],ncr_merged[[#All],[permitted_values]]," ",0))</f>
        <v/>
      </c>
      <c r="J47" s="44" t="str">
        <f>_xlfn.CONCAT(_xlfn.XLOOKUP($A47,ncr_merged[[#All],[column_name]],ncr_merged[[#All],[range_(min)]]," ",0))</f>
        <v/>
      </c>
      <c r="K47" s="44" t="str">
        <f>_xlfn.CONCAT(_xlfn.XLOOKUP($A47,ncr_merged[[#All],[column_name]],ncr_merged[[#All],[range_(max)]]," ",0))</f>
        <v/>
      </c>
      <c r="M47" s="38" t="str" cm="1">
        <f t="array" ref="M47">_xlfn.CONCAT(IFERROR(_xlfn.XLOOKUP(data_elements_bkp!A47,Table_query__5[[#All],[NCR Variable ID]],Table_query__5[[#All],[in_progress]]),""))</f>
        <v>Need access to Syngo back end SQL.</v>
      </c>
    </row>
    <row r="48" spans="1:13" x14ac:dyDescent="0.2">
      <c r="A48" s="38" t="str">
        <v>eft</v>
      </c>
      <c r="B48" s="38" t="str" cm="1">
        <f t="array" ref="B48">_xlfn.XLOOKUP($A48,ncr_merged[[#All],[column_name]],ncr_merged[[#All],[label]]," ",0)</f>
        <v>LVEF test type</v>
      </c>
      <c r="E48" s="38" t="str">
        <f>_xlfn.CONCAT(_xlfn.XLOOKUP($A48,ncr_merged[[#All],[column_name]],ncr_merged[[#All],[question]]," ",0),_xlfn.XLOOKUP($A48,ncr_merged[[#All],[column_name]],ncr_merged[[#All],[supporting_definition]]," ",0))</f>
        <v>Where LVEF test performed is coded 'yes', what was the most recent LVEF test type?Select ONE of the following:  
- Echocardiography
- Angiography
- Gated cardiac blood pool scan
- Magnetic resonance imaging (MRI)
- Myocardial perfusion scan
- Not stated/inadequately described</v>
      </c>
      <c r="F48" s="38" t="str">
        <f>_xlfn.CONCAT(_xlfn.XLOOKUP($A48,ncr_merged[[#All],[column_name]],ncr_merged[[#All],[required]]," ",0),"")</f>
        <v>If eftp=1</v>
      </c>
      <c r="G48" s="38" t="str">
        <f>_xlfn.CONCAT(_xlfn.XLOOKUP($A48,ncr_merged[[#All],[column_name]],ncr_merged[[#All],[comments]]," ",0),
_xlfn.XLOOKUP($A48,ncr_merged[[#All],[column_name]],ncr_merged[[#All],[validation_rule]]," ",0),
_xlfn.XLOOKUP($A48,ncr_merged[[#All],[column_name]],ncr_merged[[#All],[behaviour]]," ",0),
"from the NCR tab: ",_xlfn.XLOOKUP($A48,ncr_merged[[#All],[column_name]],ncr_merged[[#All],[source_tab]]),
" ")</f>
        <v xml:space="preserve">Reject file if eftp=0 and eft has data
Reject file if eftp =1 and eft is NULLfrom the NCR tab: admission_preprocedural </v>
      </c>
      <c r="H48" s="38" t="str">
        <f>_xlfn.CONCAT(_xlfn.XLOOKUP($A48,ncr_merged[[#All],[column_name]],ncr_merged[[#All],[format]]," ",0))</f>
        <v/>
      </c>
      <c r="I48" s="38" t="str">
        <f>_xlfn.CONCAT(_xlfn.XLOOKUP($A48,ncr_merged[[#All],[column_name]],ncr_merged[[#All],[permitted_values]]," ",0))</f>
        <v>1= Echocardiography 
2=Angiography
3=Gated cardiac blood pool scan
4=Magnetic resonance imaging (MRI)
5=Myocardial perfusion scan
6=Not stated/inadequately described</v>
      </c>
      <c r="J48" s="44" t="str">
        <f>_xlfn.CONCAT(_xlfn.XLOOKUP($A48,ncr_merged[[#All],[column_name]],ncr_merged[[#All],[range_(min)]]," ",0))</f>
        <v>1</v>
      </c>
      <c r="K48" s="44" t="str">
        <f>_xlfn.CONCAT(_xlfn.XLOOKUP($A48,ncr_merged[[#All],[column_name]],ncr_merged[[#All],[range_(max)]]," ",0))</f>
        <v>6</v>
      </c>
      <c r="M48" s="38" t="str" cm="1">
        <f t="array" ref="M48">_xlfn.CONCAT(IFERROR(_xlfn.XLOOKUP(data_elements_bkp!A48,Table_query__5[[#All],[NCR Variable ID]],Table_query__5[[#All],[in_progress]]),""))</f>
        <v/>
      </c>
    </row>
    <row r="49" spans="1:13" x14ac:dyDescent="0.2">
      <c r="A49" s="38" t="str">
        <v>ef</v>
      </c>
      <c r="B49" s="38" t="str" cm="1">
        <f t="array" ref="B49">_xlfn.XLOOKUP($A49,ncr_merged[[#All],[column_name]],ncr_merged[[#All],[label]]," ",0)</f>
        <v>Ejection fraction (EF) test result 
Digitially Derived %
OR</v>
      </c>
      <c r="E49" s="38" t="str">
        <f>_xlfn.CONCAT(_xlfn.XLOOKUP($A49,ncr_merged[[#All],[column_name]],ncr_merged[[#All],[question]]," ",0),_xlfn.XLOOKUP($A49,ncr_merged[[#All],[column_name]],ncr_merged[[#All],[supporting_definition]]," ",0))</f>
        <v>Where LVEF test performed is coded 'yes', what was the digitally derived EF test result? Only answer digitally derived or estimated not both.Record the digitally derived EF result (where the EF test results is a computed, digital EF percentage). 
Note: The patient’s digitally derived EF result should ONLY be expressed as a whole number (between 10 and 80) expressed as a percentage of blood emptied from the left ventricle at the end of contraction.</v>
      </c>
      <c r="F49" s="38" t="str">
        <f>_xlfn.CONCAT(_xlfn.XLOOKUP($A49,ncr_merged[[#All],[column_name]],ncr_merged[[#All],[required]]," ",0),"")</f>
        <v>If efpt is 1 and efes is NULL</v>
      </c>
      <c r="G49" s="38" t="str">
        <f>_xlfn.CONCAT(_xlfn.XLOOKUP($A49,ncr_merged[[#All],[column_name]],ncr_merged[[#All],[comments]]," ",0),
_xlfn.XLOOKUP($A49,ncr_merged[[#All],[column_name]],ncr_merged[[#All],[validation_rule]]," ",0),
_xlfn.XLOOKUP($A49,ncr_merged[[#All],[column_name]],ncr_merged[[#All],[behaviour]]," ",0),
"from the NCR tab: ",_xlfn.XLOOKUP($A49,ncr_merged[[#All],[column_name]],ncr_merged[[#All],[source_tab]]),
" ")</f>
        <v xml:space="preserve">If value entered into EFES, disable EF (cannot be both)Reject file if eftp=0 and ef has data
Reject file if ef has data &amp; efes has data
Reject file if eftp =1 and both efes and ef are NULLfrom the NCR tab: admission_preprocedural </v>
      </c>
      <c r="H49" s="38" t="str">
        <f>_xlfn.CONCAT(_xlfn.XLOOKUP($A49,ncr_merged[[#All],[column_name]],ncr_merged[[#All],[format]]," ",0))</f>
        <v>NN</v>
      </c>
      <c r="I49" s="38" t="str">
        <f>_xlfn.CONCAT(_xlfn.XLOOKUP($A49,ncr_merged[[#All],[column_name]],ncr_merged[[#All],[permitted_values]]," ",0))</f>
        <v>Enter a percentage in the range of 01 - 99. If a percentage range was reported, report the lowest number of the range BELOW (i.e.50-55%, is reported as 50%).</v>
      </c>
      <c r="J49" s="44" t="str">
        <f>_xlfn.CONCAT(_xlfn.XLOOKUP($A49,ncr_merged[[#All],[column_name]],ncr_merged[[#All],[range_(min)]]," ",0))</f>
        <v>01</v>
      </c>
      <c r="K49" s="44" t="str">
        <f>_xlfn.CONCAT(_xlfn.XLOOKUP($A49,ncr_merged[[#All],[column_name]],ncr_merged[[#All],[range_(max)]]," ",0))</f>
        <v>99</v>
      </c>
      <c r="M49" s="38" t="str" cm="1">
        <f t="array" ref="M49">_xlfn.CONCAT(IFERROR(_xlfn.XLOOKUP(data_elements_bkp!A49,Table_query__5[[#All],[NCR Variable ID]],Table_query__5[[#All],[in_progress]]),""))</f>
        <v>Cardiobase OR HIH results hub.   Needs wacor clarification on WHEN the result (assume linked to EFTP date?)</v>
      </c>
    </row>
    <row r="50" spans="1:13" x14ac:dyDescent="0.2">
      <c r="A50" s="38" t="str">
        <v>efes</v>
      </c>
      <c r="B50" s="38" t="str" cm="1">
        <f t="array" ref="B50">_xlfn.XLOOKUP($A50,ncr_merged[[#All],[column_name]],ncr_merged[[#All],[label]]," ",0)</f>
        <v>Ejection fraction (EF) test result
Estimated</v>
      </c>
      <c r="E50" s="38" t="str">
        <f>_xlfn.CONCAT(_xlfn.XLOOKUP($A50,ncr_merged[[#All],[column_name]],ncr_merged[[#All],[question]]," ",0),_xlfn.XLOOKUP($A50,ncr_merged[[#All],[column_name]],ncr_merged[[#All],[supporting_definition]]," ",0))</f>
        <v>Where LVEF test performed is coded 'yes', what was the estimated EF test result? Only answer digitially derived or estimated not both.The patient’s ejection fraction is the amount of blood emptied from the left ventricle at the end of contraction. EF is estimated where the test itself has not computed a digital EF percentage to express ventricular function. For Estimated EF, select ONE of the following:
1=Normal function (&gt;50%)
2= Mild dysfunction/impairment (45-49%)
3=Moderate dysfunction/impairment (35% -44%)
4=Severe dysfunction/impairment (&lt;35%)</v>
      </c>
      <c r="F50" s="38" t="str">
        <f>_xlfn.CONCAT(_xlfn.XLOOKUP($A50,ncr_merged[[#All],[column_name]],ncr_merged[[#All],[required]]," ",0),"")</f>
        <v>If eftp =1 and ef is NULL</v>
      </c>
      <c r="G50" s="38" t="str">
        <f>_xlfn.CONCAT(_xlfn.XLOOKUP($A50,ncr_merged[[#All],[column_name]],ncr_merged[[#All],[comments]]," ",0),
_xlfn.XLOOKUP($A50,ncr_merged[[#All],[column_name]],ncr_merged[[#All],[validation_rule]]," ",0),
_xlfn.XLOOKUP($A50,ncr_merged[[#All],[column_name]],ncr_merged[[#All],[behaviour]]," ",0),
"from the NCR tab: ",_xlfn.XLOOKUP($A50,ncr_merged[[#All],[column_name]],ncr_merged[[#All],[source_tab]]),
" ")</f>
        <v xml:space="preserve">If value entered into EF, disable EFES (cannot be both)Reject file if eftp=0 and efes has data
Reject file if ef has data &amp; efes has data
Reject file if eftp =1 and both efes and ef are NULLfrom the NCR tab: admission_preprocedural </v>
      </c>
      <c r="H50" s="38" t="str">
        <f>_xlfn.CONCAT(_xlfn.XLOOKUP($A50,ncr_merged[[#All],[column_name]],ncr_merged[[#All],[format]]," ",0))</f>
        <v>N</v>
      </c>
      <c r="I50" s="38" t="str">
        <f>_xlfn.CONCAT(_xlfn.XLOOKUP($A50,ncr_merged[[#All],[column_name]],ncr_merged[[#All],[permitted_values]]," ",0))</f>
        <v xml:space="preserve">
1=Normal function (&gt;50%)
2= Mild dysfunction/impairment (45-49%)
3=Moderate dysfunction/impairment (35% -44%)
4=Severe dysfunction/impairment (&lt;35%)</v>
      </c>
      <c r="J50" s="44" t="str">
        <f>_xlfn.CONCAT(_xlfn.XLOOKUP($A50,ncr_merged[[#All],[column_name]],ncr_merged[[#All],[range_(min)]]," ",0))</f>
        <v>1</v>
      </c>
      <c r="K50" s="44" t="str">
        <f>_xlfn.CONCAT(_xlfn.XLOOKUP($A50,ncr_merged[[#All],[column_name]],ncr_merged[[#All],[range_(max)]]," ",0))</f>
        <v>4</v>
      </c>
      <c r="M50" s="38" t="str" cm="1">
        <f t="array" ref="M50">_xlfn.CONCAT(IFERROR(_xlfn.XLOOKUP(data_elements_bkp!A50,Table_query__5[[#All],[NCR Variable ID]],Table_query__5[[#All],[in_progress]]),""))</f>
        <v/>
      </c>
    </row>
    <row r="51" spans="1:13" x14ac:dyDescent="0.2">
      <c r="A51" s="38" t="str">
        <v>egfr</v>
      </c>
      <c r="B51" s="38" t="str" cm="1">
        <f t="array" ref="B51">_xlfn.XLOOKUP($A51,ncr_merged[[#All],[column_name]],ncr_merged[[#All],[label]]," ",0)</f>
        <v>Estimated Glomerular Filtration Rate (Cockcroft-Gault formula)</v>
      </c>
      <c r="E51" s="38" t="str">
        <f>_xlfn.CONCAT(_xlfn.XLOOKUP($A51,ncr_merged[[#All],[column_name]],ncr_merged[[#All],[question]]," ",0),_xlfn.XLOOKUP($A51,ncr_merged[[#All],[column_name]],ncr_merged[[#All],[supporting_definition]]," ",0))</f>
        <v xml:space="preserve"> -An overall measure of kidney function, the glomerular filtration rate measures how well kidneys filter the wastes from the blood. It is calculated using age, wight (in kg) and ast pre-procedure creatinine.</v>
      </c>
      <c r="F51" s="38" t="str">
        <f>_xlfn.CONCAT(_xlfn.XLOOKUP($A51,ncr_merged[[#All],[column_name]],ncr_merged[[#All],[required]]," ",0),"")</f>
        <v>Derived variable</v>
      </c>
      <c r="G51" s="38" t="str">
        <f>_xlfn.CONCAT(_xlfn.XLOOKUP($A51,ncr_merged[[#All],[column_name]],ncr_merged[[#All],[comments]]," ",0),
_xlfn.XLOOKUP($A51,ncr_merged[[#All],[column_name]],ncr_merged[[#All],[validation_rule]]," ",0),
_xlfn.XLOOKUP($A51,ncr_merged[[#All],[column_name]],ncr_merged[[#All],[behaviour]]," ",0),
"from the NCR tab: ",_xlfn.XLOOKUP($A51,ncr_merged[[#All],[column_name]],ncr_merged[[#All],[source_tab]]),
" ")</f>
        <v xml:space="preserve">EGFR = (140 – AGE) x WKG x Constant / PCR (in umol/L)
[Constant = 1.23 for men and Constant=1.04 for women]Derived - no import on this fieldfrom the NCR tab: admission_preprocedural </v>
      </c>
      <c r="H51" s="38" t="str">
        <f>_xlfn.CONCAT(_xlfn.XLOOKUP($A51,ncr_merged[[#All],[column_name]],ncr_merged[[#All],[format]]," ",0))</f>
        <v>NNN.NN</v>
      </c>
      <c r="I51" s="38" t="str">
        <f>_xlfn.CONCAT(_xlfn.XLOOKUP($A51,ncr_merged[[#All],[column_name]],ncr_merged[[#All],[permitted_values]]," ",0))</f>
        <v>Numeric (3.2)</v>
      </c>
      <c r="J51" s="44" t="str">
        <f>_xlfn.CONCAT(_xlfn.XLOOKUP($A51,ncr_merged[[#All],[column_name]],ncr_merged[[#All],[range_(min)]]," ",0))</f>
        <v/>
      </c>
      <c r="K51" s="44" t="str">
        <f>_xlfn.CONCAT(_xlfn.XLOOKUP($A51,ncr_merged[[#All],[column_name]],ncr_merged[[#All],[range_(max)]]," ",0))</f>
        <v/>
      </c>
      <c r="M51" s="38" t="str" cm="1">
        <f t="array" ref="M51">_xlfn.CONCAT(IFERROR(_xlfn.XLOOKUP(data_elements_bkp!A51,Table_query__5[[#All],[NCR Variable ID]],Table_query__5[[#All],[in_progress]]),""))</f>
        <v/>
      </c>
    </row>
    <row r="52" spans="1:13" x14ac:dyDescent="0.2">
      <c r="A52" s="38" t="str">
        <v>egfri</v>
      </c>
      <c r="B52" s="38" t="str" cm="1">
        <f t="array" ref="B52">_xlfn.XLOOKUP($A52,ncr_merged[[#All],[column_name]],ncr_merged[[#All],[label]]," ",0)</f>
        <v>Estimated Glomerular Filtration Rate Imported</v>
      </c>
      <c r="E52" s="38" t="str">
        <f>_xlfn.CONCAT(_xlfn.XLOOKUP($A52,ncr_merged[[#All],[column_name]],ncr_merged[[#All],[question]]," ",0),_xlfn.XLOOKUP($A52,ncr_merged[[#All],[column_name]],ncr_merged[[#All],[supporting_definition]]," ",0))</f>
        <v>What was the hosptial system calculated EGFR?Where a hospital system calculates an egfr this can be included here as per the hospital's definition.</v>
      </c>
      <c r="F52" s="38" t="str">
        <f>_xlfn.CONCAT(_xlfn.XLOOKUP($A52,ncr_merged[[#All],[column_name]],ncr_merged[[#All],[required]]," ",0),"")</f>
        <v>Optional</v>
      </c>
      <c r="G52" s="38" t="str">
        <f>_xlfn.CONCAT(_xlfn.XLOOKUP($A52,ncr_merged[[#All],[column_name]],ncr_merged[[#All],[comments]]," ",0),
_xlfn.XLOOKUP($A52,ncr_merged[[#All],[column_name]],ncr_merged[[#All],[validation_rule]]," ",0),
_xlfn.XLOOKUP($A52,ncr_merged[[#All],[column_name]],ncr_merged[[#All],[behaviour]]," ",0),
"from the NCR tab: ",_xlfn.XLOOKUP($A52,ncr_merged[[#All],[column_name]],ncr_merged[[#All],[source_tab]]),
" ")</f>
        <v xml:space="preserve">Nil requiredfrom the NCR tab: admission_preprocedural </v>
      </c>
      <c r="H52" s="38" t="str">
        <f>_xlfn.CONCAT(_xlfn.XLOOKUP($A52,ncr_merged[[#All],[column_name]],ncr_merged[[#All],[format]]," ",0))</f>
        <v>NNN.NN</v>
      </c>
      <c r="I52" s="38" t="str">
        <f>_xlfn.CONCAT(_xlfn.XLOOKUP($A52,ncr_merged[[#All],[column_name]],ncr_merged[[#All],[permitted_values]]," ",0))</f>
        <v>Numeric (3.2)</v>
      </c>
      <c r="J52" s="44" t="str">
        <f>_xlfn.CONCAT(_xlfn.XLOOKUP($A52,ncr_merged[[#All],[column_name]],ncr_merged[[#All],[range_(min)]]," ",0))</f>
        <v>1.00</v>
      </c>
      <c r="K52" s="44" t="str">
        <f>_xlfn.CONCAT(_xlfn.XLOOKUP($A52,ncr_merged[[#All],[column_name]],ncr_merged[[#All],[range_(max)]]," ",0))</f>
        <v>999.00</v>
      </c>
      <c r="M52" s="38" t="str" cm="1">
        <f t="array" ref="M52">_xlfn.CONCAT(IFERROR(_xlfn.XLOOKUP(data_elements_bkp!A52,Table_query__5[[#All],[NCR Variable ID]],Table_query__5[[#All],[in_progress]]),""))</f>
        <v>HIH Results Hub - needs clarification &amp; SME input (SMA)</v>
      </c>
    </row>
    <row r="53" spans="1:13" x14ac:dyDescent="0.2">
      <c r="A53" s="38" t="str">
        <v>shock</v>
      </c>
      <c r="B53" s="38" t="str" cm="1">
        <f t="array" ref="B53">_xlfn.XLOOKUP($A53,ncr_merged[[#All],[column_name]],ncr_merged[[#All],[label]]," ",0)</f>
        <v>Cardiogenic shock</v>
      </c>
      <c r="E53" s="38" t="str">
        <f>_xlfn.CONCAT(_xlfn.XLOOKUP($A53,ncr_merged[[#All],[column_name]],ncr_merged[[#All],[question]]," ",0),_xlfn.XLOOKUP($A53,ncr_merged[[#All],[column_name]],ncr_merged[[#All],[supporting_definition]]," ",0))</f>
        <v>Was the patient in cardiogenic shock at the time of index PCI?Indicate if the patient was in cardiogenic shock at the time of index PCI. 
There may be some minor variation in the way participating registries define this item.
Cardiogenic supporting definition:
Transient episodes of hypotension reversed with IV fluid or atropine do not constitute cardiogenic shock. Cardiogenic shock is coded as ‘yes’ if all of the following apply: 1. Sustained (&gt;30 minutes) episode of systolic blood pressure &lt;90 mm Hg (or vasopressors required to maintain BP &gt;90 mm Hg); AND 2. Evidence of elevated filling pressures (e.g. pulmonary congestion on examination or chest radiograph); AND 3. Evidence of end organ hypoperfusion (e.g. urine output 30mL/hour; or cold/diaphoretic extremities; or altered mental status, etc.).</v>
      </c>
      <c r="F53" s="38" t="str">
        <f>_xlfn.CONCAT(_xlfn.XLOOKUP($A53,ncr_merged[[#All],[column_name]],ncr_merged[[#All],[required]]," ",0),"")</f>
        <v>Always</v>
      </c>
      <c r="G53" s="38" t="str">
        <f>_xlfn.CONCAT(_xlfn.XLOOKUP($A53,ncr_merged[[#All],[column_name]],ncr_merged[[#All],[comments]]," ",0),
_xlfn.XLOOKUP($A53,ncr_merged[[#All],[column_name]],ncr_merged[[#All],[validation_rule]]," ",0),
_xlfn.XLOOKUP($A53,ncr_merged[[#All],[column_name]],ncr_merged[[#All],[behaviour]]," ",0),
"from the NCR tab: ",_xlfn.XLOOKUP($A53,ncr_merged[[#All],[column_name]],ncr_merged[[#All],[source_tab]]),
" ")</f>
        <v xml:space="preserve">Reject file if shock is NULLfrom the NCR tab: admission_preprocedural </v>
      </c>
      <c r="H53" s="38" t="str">
        <f>_xlfn.CONCAT(_xlfn.XLOOKUP($A53,ncr_merged[[#All],[column_name]],ncr_merged[[#All],[format]]," ",0))</f>
        <v>N</v>
      </c>
      <c r="I53" s="38" t="str">
        <f>_xlfn.CONCAT(_xlfn.XLOOKUP($A53,ncr_merged[[#All],[column_name]],ncr_merged[[#All],[permitted_values]]," ",0))</f>
        <v>0=No
1=Yes</v>
      </c>
      <c r="J53" s="44" t="str">
        <f>_xlfn.CONCAT(_xlfn.XLOOKUP($A53,ncr_merged[[#All],[column_name]],ncr_merged[[#All],[range_(min)]]," ",0))</f>
        <v>0</v>
      </c>
      <c r="K53" s="44" t="str">
        <f>_xlfn.CONCAT(_xlfn.XLOOKUP($A53,ncr_merged[[#All],[column_name]],ncr_merged[[#All],[range_(max)]]," ",0))</f>
        <v>1</v>
      </c>
      <c r="M53" s="38" t="str" cm="1">
        <f t="array" ref="M53">_xlfn.CONCAT(IFERROR(_xlfn.XLOOKUP(data_elements_bkp!A53,Table_query__5[[#All],[NCR Variable ID]],Table_query__5[[#All],[in_progress]]),""))</f>
        <v>HMDS or HIH</v>
      </c>
    </row>
    <row r="54" spans="1:13" x14ac:dyDescent="0.2">
      <c r="A54" s="38" t="str">
        <v>oca</v>
      </c>
      <c r="B54" s="38" t="str" cm="1">
        <f t="array" ref="B54">_xlfn.XLOOKUP($A54,ncr_merged[[#All],[column_name]],ncr_merged[[#All],[label]]," ",0)</f>
        <v>Out-of-hospital cardiac arrest</v>
      </c>
      <c r="E54" s="38" t="str">
        <f>_xlfn.CONCAT(_xlfn.XLOOKUP($A54,ncr_merged[[#All],[column_name]],ncr_merged[[#All],[question]]," ",0),_xlfn.XLOOKUP($A54,ncr_merged[[#All],[column_name]],ncr_merged[[#All],[supporting_definition]]," ",0))</f>
        <v>Has the patient had an Out-of-hospital cardiac arrest?Indicate if the patient has experienced an out of hospital cardiac arrest (i.e. the lack of effective cardiac output) including if the person was under cardiac arrest at the time of presentation to the hospital. </v>
      </c>
      <c r="F54" s="38" t="str">
        <f>_xlfn.CONCAT(_xlfn.XLOOKUP($A54,ncr_merged[[#All],[column_name]],ncr_merged[[#All],[required]]," ",0),"")</f>
        <v>Always</v>
      </c>
      <c r="G54" s="38" t="str">
        <f>_xlfn.CONCAT(_xlfn.XLOOKUP($A54,ncr_merged[[#All],[column_name]],ncr_merged[[#All],[comments]]," ",0),
_xlfn.XLOOKUP($A54,ncr_merged[[#All],[column_name]],ncr_merged[[#All],[validation_rule]]," ",0),
_xlfn.XLOOKUP($A54,ncr_merged[[#All],[column_name]],ncr_merged[[#All],[behaviour]]," ",0),
"from the NCR tab: ",_xlfn.XLOOKUP($A54,ncr_merged[[#All],[column_name]],ncr_merged[[#All],[source_tab]]),
" ")</f>
        <v xml:space="preserve">Reject file if OCA is NULLfrom the NCR tab: admission_preprocedural </v>
      </c>
      <c r="H54" s="38" t="str">
        <f>_xlfn.CONCAT(_xlfn.XLOOKUP($A54,ncr_merged[[#All],[column_name]],ncr_merged[[#All],[format]]," ",0))</f>
        <v>N</v>
      </c>
      <c r="I54" s="38" t="str">
        <f>_xlfn.CONCAT(_xlfn.XLOOKUP($A54,ncr_merged[[#All],[column_name]],ncr_merged[[#All],[permitted_values]]," ",0))</f>
        <v>0=No
1=Yes</v>
      </c>
      <c r="J54" s="44" t="str">
        <f>_xlfn.CONCAT(_xlfn.XLOOKUP($A54,ncr_merged[[#All],[column_name]],ncr_merged[[#All],[range_(min)]]," ",0))</f>
        <v>0</v>
      </c>
      <c r="K54" s="44" t="str">
        <f>_xlfn.CONCAT(_xlfn.XLOOKUP($A54,ncr_merged[[#All],[column_name]],ncr_merged[[#All],[range_(max)]]," ",0))</f>
        <v>1</v>
      </c>
      <c r="M54" s="38" t="str" cm="1">
        <f t="array" ref="M54">_xlfn.CONCAT(IFERROR(_xlfn.XLOOKUP(data_elements_bkp!A54,Table_query__5[[#All],[NCR Variable ID]],Table_query__5[[#All],[in_progress]]),""))</f>
        <v>HMDS, query Y code with WACCA.</v>
      </c>
    </row>
    <row r="55" spans="1:13" x14ac:dyDescent="0.2">
      <c r="A55" s="38" t="str">
        <v>pint</v>
      </c>
      <c r="B55" s="38" t="str" cm="1">
        <f t="array" ref="B55">_xlfn.XLOOKUP($A55,ncr_merged[[#All],[column_name]],ncr_merged[[#All],[label]]," ",0)</f>
        <v>Pre-procedure intubation</v>
      </c>
      <c r="E55" s="38" t="str">
        <f>_xlfn.CONCAT(_xlfn.XLOOKUP($A55,ncr_merged[[#All],[column_name]],ncr_merged[[#All],[question]]," ",0),_xlfn.XLOOKUP($A55,ncr_merged[[#All],[column_name]],ncr_merged[[#All],[supporting_definition]]," ",0))</f>
        <v>Was the patient intubated before the PCI procedure commenced?Indicate if the patient was intubated prior to the PCI procedure. Note: intubation during the procedure should be coded under "Procedural intubation required: pintr"</v>
      </c>
      <c r="F55" s="38" t="str">
        <f>_xlfn.CONCAT(_xlfn.XLOOKUP($A55,ncr_merged[[#All],[column_name]],ncr_merged[[#All],[required]]," ",0),"")</f>
        <v>Always</v>
      </c>
      <c r="G55" s="38" t="str">
        <f>_xlfn.CONCAT(_xlfn.XLOOKUP($A55,ncr_merged[[#All],[column_name]],ncr_merged[[#All],[comments]]," ",0),
_xlfn.XLOOKUP($A55,ncr_merged[[#All],[column_name]],ncr_merged[[#All],[validation_rule]]," ",0),
_xlfn.XLOOKUP($A55,ncr_merged[[#All],[column_name]],ncr_merged[[#All],[behaviour]]," ",0),
"from the NCR tab: ",_xlfn.XLOOKUP($A55,ncr_merged[[#All],[column_name]],ncr_merged[[#All],[source_tab]]),
" ")</f>
        <v xml:space="preserve">Reject file if pint is NULLfrom the NCR tab: admission_preprocedural </v>
      </c>
      <c r="H55" s="38" t="str">
        <f>_xlfn.CONCAT(_xlfn.XLOOKUP($A55,ncr_merged[[#All],[column_name]],ncr_merged[[#All],[format]]," ",0))</f>
        <v>N</v>
      </c>
      <c r="I55" s="38" t="str">
        <f>_xlfn.CONCAT(_xlfn.XLOOKUP($A55,ncr_merged[[#All],[column_name]],ncr_merged[[#All],[permitted_values]]," ",0))</f>
        <v>0=No
1=Yes</v>
      </c>
      <c r="J55" s="44" t="str">
        <f>_xlfn.CONCAT(_xlfn.XLOOKUP($A55,ncr_merged[[#All],[column_name]],ncr_merged[[#All],[range_(min)]]," ",0))</f>
        <v>0</v>
      </c>
      <c r="K55" s="44" t="str">
        <f>_xlfn.CONCAT(_xlfn.XLOOKUP($A55,ncr_merged[[#All],[column_name]],ncr_merged[[#All],[range_(max)]]," ",0))</f>
        <v>1</v>
      </c>
      <c r="M55" s="38" t="str" cm="1">
        <f t="array" ref="M55">_xlfn.CONCAT(IFERROR(_xlfn.XLOOKUP(data_elements_bkp!A55,Table_query__5[[#All],[NCR Variable ID]],Table_query__5[[#All],[in_progress]]),""))</f>
        <v>Cardiobase.</v>
      </c>
    </row>
    <row r="56" spans="1:13" x14ac:dyDescent="0.2">
      <c r="A56" s="38" t="str">
        <v>acs</v>
      </c>
      <c r="B56" s="38" t="str" cm="1">
        <f t="array" ref="B56">_xlfn.XLOOKUP($A56,ncr_merged[[#All],[column_name]],ncr_merged[[#All],[label]]," ",0)</f>
        <v>Acute coronary syndrome (ACS)</v>
      </c>
      <c r="E56" s="38" t="str">
        <f>_xlfn.CONCAT(_xlfn.XLOOKUP($A56,ncr_merged[[#All],[column_name]],ncr_merged[[#All],[question]]," ",0),_xlfn.XLOOKUP($A56,ncr_merged[[#All],[column_name]],ncr_merged[[#All],[supporting_definition]]," ",0))</f>
        <v>Was the patient  suffering from an acute coronary syndrome (ACS) in the 7 day period leading up to and including the index PCI?ACS encompasses clinical features comprising chest pain or overwhelming shortness of breath, defined by accompanying clinical, ECG and biochemical features. Specifically, ACS refers to unstable angina, non ST-Elevation Myocardial Infarction (NSTEMI) and/or ST-Elevation Myocardial Infarction (STEMI).</v>
      </c>
      <c r="F56" s="38" t="str">
        <f>_xlfn.CONCAT(_xlfn.XLOOKUP($A56,ncr_merged[[#All],[column_name]],ncr_merged[[#All],[required]]," ",0),"")</f>
        <v>Always</v>
      </c>
      <c r="G56" s="38" t="str">
        <f>_xlfn.CONCAT(_xlfn.XLOOKUP($A56,ncr_merged[[#All],[column_name]],ncr_merged[[#All],[comments]]," ",0),
_xlfn.XLOOKUP($A56,ncr_merged[[#All],[column_name]],ncr_merged[[#All],[validation_rule]]," ",0),
_xlfn.XLOOKUP($A56,ncr_merged[[#All],[column_name]],ncr_merged[[#All],[behaviour]]," ",0),
"from the NCR tab: ",_xlfn.XLOOKUP($A56,ncr_merged[[#All],[column_name]],ncr_merged[[#All],[source_tab]]),
" ")</f>
        <v xml:space="preserve">
Reject file if NULLfrom the NCR tab: procedure </v>
      </c>
      <c r="H56" s="38" t="str">
        <f>_xlfn.CONCAT(_xlfn.XLOOKUP($A56,ncr_merged[[#All],[column_name]],ncr_merged[[#All],[format]]," ",0))</f>
        <v>N</v>
      </c>
      <c r="I56" s="38" t="str">
        <f>_xlfn.CONCAT(_xlfn.XLOOKUP($A56,ncr_merged[[#All],[column_name]],ncr_merged[[#All],[permitted_values]]," ",0))</f>
        <v>0=No 
1=Yes</v>
      </c>
      <c r="J56" s="44" t="str">
        <f>_xlfn.CONCAT(_xlfn.XLOOKUP($A56,ncr_merged[[#All],[column_name]],ncr_merged[[#All],[range_(min)]]," ",0))</f>
        <v>0</v>
      </c>
      <c r="K56" s="44" t="str">
        <f>_xlfn.CONCAT(_xlfn.XLOOKUP($A56,ncr_merged[[#All],[column_name]],ncr_merged[[#All],[range_(max)]]," ",0))</f>
        <v>1</v>
      </c>
      <c r="M56" s="38" t="str" cm="1">
        <f t="array" ref="M56">_xlfn.CONCAT(IFERROR(_xlfn.XLOOKUP(data_elements_bkp!A56,Table_query__5[[#All],[NCR Variable ID]],Table_query__5[[#All],[in_progress]]),""))</f>
        <v>Needs multiple sources and business rules: 
Component 1 derived from ED attendance.  Needs more detailed business rules.</v>
      </c>
    </row>
    <row r="57" spans="1:13" x14ac:dyDescent="0.2">
      <c r="A57" s="38" t="str">
        <v>dso</v>
      </c>
      <c r="B57" s="38" t="str" cm="1">
        <f t="array" ref="B57">_xlfn.XLOOKUP($A57,ncr_merged[[#All],[column_name]],ncr_merged[[#All],[label]]," ",0)</f>
        <v>Date of ACS symptom onset</v>
      </c>
      <c r="E57" s="38" t="str">
        <f>_xlfn.CONCAT(_xlfn.XLOOKUP($A57,ncr_merged[[#All],[column_name]],ncr_merged[[#All],[question]]," ",0),_xlfn.XLOOKUP($A57,ncr_merged[[#All],[column_name]],ncr_merged[[#All],[supporting_definition]]," ",0))</f>
        <v>Where item Acute coronary syndrome (ACS) was coded ‘yes’, on what date did the ACS symptoms start that prompted them to seek medical treatment?Where medical attention is defined as either at hospital or from a general practitioner.
In the event of stuttering symptoms, ACS symptom onset is the date when symptoms became constant in quality or intensity.  Restrict coding to 7 days prior to current procedure.
ACS symptoms may include: tightness, pressure, heaviness, fullness or squeezing in the chest which may spread to the neck and throat, jaw, shoulders, the back, upper abdomen, either or both arms and even into the wrists and hands, dyspnoea, nausea/vomiting, cold sweat or syncope. Seeking medical attention could include the person presenting to their GP who then refers them to hospital or the person presenting directly to hospital (via ambulance or own form of transport). If the person is already a patient at the hospital for another reason then the time recorded would be when they advised hospital staff of their symptoms.</v>
      </c>
      <c r="F57" s="38" t="str">
        <f>_xlfn.CONCAT(_xlfn.XLOOKUP($A57,ncr_merged[[#All],[column_name]],ncr_merged[[#All],[required]]," ",0),"")</f>
        <v>If acs=1</v>
      </c>
      <c r="G57" s="38" t="str">
        <f>_xlfn.CONCAT(_xlfn.XLOOKUP($A57,ncr_merged[[#All],[column_name]],ncr_merged[[#All],[comments]]," ",0),
_xlfn.XLOOKUP($A57,ncr_merged[[#All],[column_name]],ncr_merged[[#All],[validation_rule]]," ",0),
_xlfn.XLOOKUP($A57,ncr_merged[[#All],[column_name]],ncr_merged[[#All],[behaviour]]," ",0),
"from the NCR tab: ",_xlfn.XLOOKUP($A57,ncr_merged[[#All],[column_name]],ncr_merged[[#All],[source_tab]]),
" ")</f>
        <v xml:space="preserve">DSO must be ≤DOP AND &gt;[DOP-7 days]Reject file if dso is &lt; dop-7
Reject file if dso is &gt; dop
Reject file if acs=1 and dso is NULLfrom the NCR tab: procedure </v>
      </c>
      <c r="H57" s="38" t="str">
        <f>_xlfn.CONCAT(_xlfn.XLOOKUP($A57,ncr_merged[[#All],[column_name]],ncr_merged[[#All],[format]]," ",0))</f>
        <v>DD/MM/YYYY</v>
      </c>
      <c r="I57" s="38" t="str">
        <f>_xlfn.CONCAT(_xlfn.XLOOKUP($A57,ncr_merged[[#All],[column_name]],ncr_merged[[#All],[permitted_values]]," ",0))</f>
        <v/>
      </c>
      <c r="J57" s="44" t="str">
        <f>_xlfn.CONCAT(_xlfn.XLOOKUP($A57,ncr_merged[[#All],[column_name]],ncr_merged[[#All],[range_(min)]]," ",0))</f>
        <v>[DOP]-7 days</v>
      </c>
      <c r="K57" s="44" t="str">
        <f>_xlfn.CONCAT(_xlfn.XLOOKUP($A57,ncr_merged[[#All],[column_name]],ncr_merged[[#All],[range_(max)]]," ",0))</f>
        <v>DOP</v>
      </c>
      <c r="M57" s="38" t="str" cm="1">
        <f t="array" ref="M57">_xlfn.CONCAT(IFERROR(_xlfn.XLOOKUP(data_elements_bkp!A57,Table_query__5[[#All],[NCR Variable ID]],Table_query__5[[#All],[in_progress]]),""))</f>
        <v>Cardiobase or WACOR data collection tool.</v>
      </c>
    </row>
    <row r="58" spans="1:13" x14ac:dyDescent="0.2">
      <c r="A58" s="38" t="str">
        <v>tso</v>
      </c>
      <c r="B58" s="38" t="str" cm="1">
        <f t="array" ref="B58">_xlfn.XLOOKUP($A58,ncr_merged[[#All],[column_name]],ncr_merged[[#All],[label]]," ",0)</f>
        <v>Time of ACS symptom onset</v>
      </c>
      <c r="E58" s="38" t="str">
        <f>_xlfn.CONCAT(_xlfn.XLOOKUP($A58,ncr_merged[[#All],[column_name]],ncr_merged[[#All],[question]]," ",0),_xlfn.XLOOKUP($A58,ncr_merged[[#All],[column_name]],ncr_merged[[#All],[supporting_definition]]," ",0))</f>
        <v>Where item Acute coronary syndrome (ACS) was coded ‘yes’, at what time did the ACS symptoms start that prompted them to seek medical treatment?The time at which a person experienced ACS symptoms that prompted them to seek medical attention (on the date outlined in 'Date of ACS symptom onset' in 24 hour clock (HH:MM) format.
If the symptom onset time is not specified in the medical record, it may be recorded as 0700 for morning; 1200 for lunchtime; 1500 for afternoon; 1800 for dinnertime; 2200 for evening and 0300 if awakened from sleep</v>
      </c>
      <c r="F58" s="38" t="str">
        <f>_xlfn.CONCAT(_xlfn.XLOOKUP($A58,ncr_merged[[#All],[column_name]],ncr_merged[[#All],[required]]," ",0),"")</f>
        <v>If acs=1</v>
      </c>
      <c r="G58" s="38" t="str">
        <f>_xlfn.CONCAT(_xlfn.XLOOKUP($A58,ncr_merged[[#All],[column_name]],ncr_merged[[#All],[comments]]," ",0),
_xlfn.XLOOKUP($A58,ncr_merged[[#All],[column_name]],ncr_merged[[#All],[validation_rule]]," ",0),
_xlfn.XLOOKUP($A58,ncr_merged[[#All],[column_name]],ncr_merged[[#All],[behaviour]]," ",0),
"from the NCR tab: ",_xlfn.XLOOKUP($A58,ncr_merged[[#All],[column_name]],ncr_merged[[#All],[source_tab]]),
" ")</f>
        <v xml:space="preserve">There must be data in tso OR ntsoReject file if acs=1 and tso AND ntso is NULL
Reject file if tso has data and ntso =1from the NCR tab: procedure </v>
      </c>
      <c r="H58" s="38" t="str">
        <f>_xlfn.CONCAT(_xlfn.XLOOKUP($A58,ncr_merged[[#All],[column_name]],ncr_merged[[#All],[format]]," ",0))</f>
        <v>HH:MM</v>
      </c>
      <c r="I58" s="38" t="str">
        <f>_xlfn.CONCAT(_xlfn.XLOOKUP($A58,ncr_merged[[#All],[column_name]],ncr_merged[[#All],[permitted_values]]," ",0))</f>
        <v/>
      </c>
      <c r="J58" s="44" t="str">
        <f>_xlfn.CONCAT(_xlfn.XLOOKUP($A58,ncr_merged[[#All],[column_name]],ncr_merged[[#All],[range_(min)]]," ",0))</f>
        <v/>
      </c>
      <c r="K58" s="44" t="str">
        <f>_xlfn.CONCAT(_xlfn.XLOOKUP($A58,ncr_merged[[#All],[column_name]],ncr_merged[[#All],[range_(max)]]," ",0))</f>
        <v/>
      </c>
      <c r="M58" s="38" t="str" cm="1">
        <f t="array" ref="M58">_xlfn.CONCAT(IFERROR(_xlfn.XLOOKUP(data_elements_bkp!A58,Table_query__5[[#All],[NCR Variable ID]],Table_query__5[[#All],[in_progress]]),""))</f>
        <v>Cardiobase or WACOR data collection tool.</v>
      </c>
    </row>
    <row r="59" spans="1:13" x14ac:dyDescent="0.2">
      <c r="A59" s="38" t="str">
        <v>ntso</v>
      </c>
      <c r="B59" s="38" t="str" cm="1">
        <f t="array" ref="B59">_xlfn.XLOOKUP($A59,ncr_merged[[#All],[column_name]],ncr_merged[[#All],[label]]," ",0)</f>
        <v>Onset time not available</v>
      </c>
      <c r="E59" s="38" t="str">
        <f>_xlfn.CONCAT(_xlfn.XLOOKUP($A59,ncr_merged[[#All],[column_name]],ncr_merged[[#All],[question]]," ",0),_xlfn.XLOOKUP($A59,ncr_merged[[#All],[column_name]],ncr_merged[[#All],[supporting_definition]]," ",0))</f>
        <v>Is the time of symptom onset not available?Where time of sypmtom onset is not available, specify here. Only applicable if time is missing.</v>
      </c>
      <c r="F59" s="38" t="str">
        <f>_xlfn.CONCAT(_xlfn.XLOOKUP($A59,ncr_merged[[#All],[column_name]],ncr_merged[[#All],[required]]," ",0),"")</f>
        <v/>
      </c>
      <c r="G59" s="38" t="str">
        <f>_xlfn.CONCAT(_xlfn.XLOOKUP($A59,ncr_merged[[#All],[column_name]],ncr_merged[[#All],[comments]]," ",0),
_xlfn.XLOOKUP($A59,ncr_merged[[#All],[column_name]],ncr_merged[[#All],[validation_rule]]," ",0),
_xlfn.XLOOKUP($A59,ncr_merged[[#All],[column_name]],ncr_merged[[#All],[behaviour]]," ",0),
"from the NCR tab: ",_xlfn.XLOOKUP($A59,ncr_merged[[#All],[column_name]],ncr_merged[[#All],[source_tab]]),
" ")</f>
        <v xml:space="preserve">
Reject file if tso has data and ntso =1from the NCR tab: procedure </v>
      </c>
      <c r="H59" s="38" t="str">
        <f>_xlfn.CONCAT(_xlfn.XLOOKUP($A59,ncr_merged[[#All],[column_name]],ncr_merged[[#All],[format]]," ",0))</f>
        <v>N</v>
      </c>
      <c r="I59" s="38" t="str">
        <f>_xlfn.CONCAT(_xlfn.XLOOKUP($A59,ncr_merged[[#All],[column_name]],ncr_merged[[#All],[permitted_values]]," ",0))</f>
        <v xml:space="preserve">
1=Yes</v>
      </c>
      <c r="J59" s="44" t="str">
        <f>_xlfn.CONCAT(_xlfn.XLOOKUP($A59,ncr_merged[[#All],[column_name]],ncr_merged[[#All],[range_(min)]]," ",0))</f>
        <v/>
      </c>
      <c r="K59" s="44" t="str">
        <f>_xlfn.CONCAT(_xlfn.XLOOKUP($A59,ncr_merged[[#All],[column_name]],ncr_merged[[#All],[range_(max)]]," ",0))</f>
        <v/>
      </c>
      <c r="M59" s="38" t="str" cm="1">
        <f t="array" ref="M59">_xlfn.CONCAT(IFERROR(_xlfn.XLOOKUP(data_elements_bkp!A59,Table_query__5[[#All],[NCR Variable ID]],Table_query__5[[#All],[in_progress]]),""))</f>
        <v>Cardiobase or WACOR data collection tool.</v>
      </c>
    </row>
    <row r="60" spans="1:13" x14ac:dyDescent="0.2">
      <c r="A60" s="38" t="str">
        <v>acst</v>
      </c>
      <c r="B60" s="38" t="str" cm="1">
        <f t="array" ref="B60">_xlfn.XLOOKUP($A60,ncr_merged[[#All],[column_name]],ncr_merged[[#All],[label]]," ",0)</f>
        <v>Type of ACS (select ONE):</v>
      </c>
      <c r="E60" s="38" t="str">
        <f>_xlfn.CONCAT(_xlfn.XLOOKUP($A60,ncr_merged[[#All],[column_name]],ncr_merged[[#All],[question]]," ",0),_xlfn.XLOOKUP($A60,ncr_merged[[#All],[column_name]],ncr_merged[[#All],[supporting_definition]]," ",0))</f>
        <v>What is the type of ACS?	Unstable Angina 
Symptoms must include AT LEAST ONE of the following:
1.	Angina that occurred at rest and was prolonged, usually lasting &gt;20 mins; 
2.	New-onset angina of at least CCS class III severity; 
3.	Recent acceleration of angina reflected by an increase in severity of at least 1 CCS class (to at least CCS class III)
	Non ST-Elevation Myocardial Infarction (NSTEMI) 
AT LEAST ONE of the following biomarkers for detecting myocardial necrosis MUST be present:
1.	Troponin T or I: Maximal concentration of Troponin T or I greater than the MI diagnostic limit on at least one occasion within 24 hours from the index clinical event; 
2.	CK-MB:
	Maximal value of CK-MB &gt;2x the upper limit of normal (ULN) on one occasion during the first hours after the index clinical event; OR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1.	Either ST segment depression or T wave abnormalities in the ECG; or
2.	Ischaemic symptoms in the presence or absence of chest discomfort. Ischaemic symptoms may include:
	- Unexplained nausea and vomiting; or
	- Persistent shortness of breath secondary to left ventricular failure; or
	- Unexplained weakness, dizziness, light-headedness, or syncope.
	ST-Elevation Myocardial Infarction (STEMI)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ECG changes:
1.	ST-segment elevation: New or presumed new ST segment elevation at the J point in two or more contiguous leads with the cut-off points ≥ 0.2mV in leads V1, V2, or V3, or ≥0.1 mV in other leads. 
2.	Development of any Q wave in leads V1 through V3, or the development of a Q-wave ≥ 30ms (0.03s) in leads I, II, aVL, aVF, V4, V5, or V6. (Q wave changes must be present in any two contiguous leads, and be ≥1mm in depth).</v>
      </c>
      <c r="F60" s="38" t="str">
        <f>_xlfn.CONCAT(_xlfn.XLOOKUP($A60,ncr_merged[[#All],[column_name]],ncr_merged[[#All],[required]]," ",0),"")</f>
        <v/>
      </c>
      <c r="G60" s="38" t="str">
        <f>_xlfn.CONCAT(_xlfn.XLOOKUP($A60,ncr_merged[[#All],[column_name]],ncr_merged[[#All],[comments]]," ",0),
_xlfn.XLOOKUP($A60,ncr_merged[[#All],[column_name]],ncr_merged[[#All],[validation_rule]]," ",0),
_xlfn.XLOOKUP($A60,ncr_merged[[#All],[column_name]],ncr_merged[[#All],[behaviour]]," ",0),
"from the NCR tab: ",_xlfn.XLOOKUP($A60,ncr_merged[[#All],[column_name]],ncr_merged[[#All],[source_tab]]),
" ")</f>
        <v xml:space="preserve">Reject file if acs=1 and acst is NULLfrom the NCR tab: procedure </v>
      </c>
      <c r="H60" s="38" t="str">
        <f>_xlfn.CONCAT(_xlfn.XLOOKUP($A60,ncr_merged[[#All],[column_name]],ncr_merged[[#All],[format]]," ",0))</f>
        <v>N</v>
      </c>
      <c r="I60" s="38" t="str">
        <f>_xlfn.CONCAT(_xlfn.XLOOKUP($A60,ncr_merged[[#All],[column_name]],ncr_merged[[#All],[permitted_values]]," ",0))</f>
        <v>1=Unstable Angina 
2=NSTEMI
3=STEMI</v>
      </c>
      <c r="J60" s="44" t="str">
        <f>_xlfn.CONCAT(_xlfn.XLOOKUP($A60,ncr_merged[[#All],[column_name]],ncr_merged[[#All],[range_(min)]]," ",0))</f>
        <v>1</v>
      </c>
      <c r="K60" s="44" t="str">
        <f>_xlfn.CONCAT(_xlfn.XLOOKUP($A60,ncr_merged[[#All],[column_name]],ncr_merged[[#All],[range_(max)]]," ",0))</f>
        <v>3</v>
      </c>
      <c r="M60" s="38" t="str" cm="1">
        <f t="array" ref="M60">_xlfn.CONCAT(IFERROR(_xlfn.XLOOKUP(data_elements_bkp!A60,Table_query__5[[#All],[NCR Variable ID]],Table_query__5[[#All],[in_progress]]),""))</f>
        <v>Needs 7 sub-fields to be created for NSTEMI.
Needs 3 sub fields for angina.
? Number of additional fields to be created fro STEMI.</v>
      </c>
    </row>
    <row r="61" spans="1:13" x14ac:dyDescent="0.2">
      <c r="A61" s="38" t="str">
        <v>iht</v>
      </c>
      <c r="B61" s="38" t="str" cm="1">
        <f t="array" ref="B61">_xlfn.XLOOKUP($A61,ncr_merged[[#All],[column_name]],ncr_merged[[#All],[label]]," ",0)</f>
        <v>Inter-hospital transfer</v>
      </c>
      <c r="E61" s="38" t="str">
        <f>_xlfn.CONCAT(_xlfn.XLOOKUP($A61,ncr_merged[[#All],[column_name]],ncr_merged[[#All],[question]]," ",0),_xlfn.XLOOKUP($A61,ncr_merged[[#All],[column_name]],ncr_merged[[#All],[supporting_definition]]," ",0))</f>
        <v>Where patient 'Type of ACS' coded as ‘STEMI’, was the patient transferred from another acute care facility?Indicate if the patient was admitted to the PCI hospital following transfer from another acute care facility.</v>
      </c>
      <c r="F61" s="38" t="str">
        <f>_xlfn.CONCAT(_xlfn.XLOOKUP($A61,ncr_merged[[#All],[column_name]],ncr_merged[[#All],[required]]," ",0),"")</f>
        <v>If ACST=3</v>
      </c>
      <c r="G61" s="38" t="str">
        <f>_xlfn.CONCAT(_xlfn.XLOOKUP($A61,ncr_merged[[#All],[column_name]],ncr_merged[[#All],[comments]]," ",0),
_xlfn.XLOOKUP($A61,ncr_merged[[#All],[column_name]],ncr_merged[[#All],[validation_rule]]," ",0),
_xlfn.XLOOKUP($A61,ncr_merged[[#All],[column_name]],ncr_merged[[#All],[behaviour]]," ",0),
"from the NCR tab: ",_xlfn.XLOOKUP($A61,ncr_merged[[#All],[column_name]],ncr_merged[[#All],[source_tab]]),
" ")</f>
        <v xml:space="preserve">Reject file if acst=3 and iht is NULLfrom the NCR tab: procedure </v>
      </c>
      <c r="H61" s="38" t="str">
        <f>_xlfn.CONCAT(_xlfn.XLOOKUP($A61,ncr_merged[[#All],[column_name]],ncr_merged[[#All],[format]]," ",0))</f>
        <v>N</v>
      </c>
      <c r="I61" s="38" t="str">
        <f>_xlfn.CONCAT(_xlfn.XLOOKUP($A61,ncr_merged[[#All],[column_name]],ncr_merged[[#All],[permitted_values]]," ",0))</f>
        <v>0=No 
1=Yes</v>
      </c>
      <c r="J61" s="44" t="str">
        <f>_xlfn.CONCAT(_xlfn.XLOOKUP($A61,ncr_merged[[#All],[column_name]],ncr_merged[[#All],[range_(min)]]," ",0))</f>
        <v>0</v>
      </c>
      <c r="K61" s="44" t="str">
        <f>_xlfn.CONCAT(_xlfn.XLOOKUP($A61,ncr_merged[[#All],[column_name]],ncr_merged[[#All],[range_(max)]]," ",0))</f>
        <v>1</v>
      </c>
      <c r="M61" s="38" t="str" cm="1">
        <f t="array" ref="M61">_xlfn.CONCAT(IFERROR(_xlfn.XLOOKUP(data_elements_bkp!A61,Table_query__5[[#All],[NCR Variable ID]],Table_query__5[[#All],[in_progress]]),""))</f>
        <v>HMDS Derived.</v>
      </c>
    </row>
    <row r="62" spans="1:13" x14ac:dyDescent="0.2">
      <c r="A62" s="38" t="str">
        <v>phn</v>
      </c>
      <c r="B62" s="38" t="str" cm="1">
        <f t="array" ref="B62">_xlfn.XLOOKUP($A62,ncr_merged[[#All],[column_name]],ncr_merged[[#All],[label]]," ",0)</f>
        <v>Pre -Hospital notification</v>
      </c>
      <c r="E62" s="38" t="str">
        <f>_xlfn.CONCAT(_xlfn.XLOOKUP($A62,ncr_merged[[#All],[column_name]],ncr_merged[[#All],[question]]," ",0),_xlfn.XLOOKUP($A62,ncr_merged[[#All],[column_name]],ncr_merged[[#All],[supporting_definition]]," ",0))</f>
        <v>Where patient 'Type of ACS' coded as ‘STEMI’, Indicate if the PCI hospital was notified via electronic ECG transmission (or equivalent) from a paramedic field triage service prior to their arrival at the PCI hospitalIndicate if the PCI hospital was notified via electronic ECG transmission (or equivalent) from a pamarmedic field triage service prior to their arrival at the PCI hospital</v>
      </c>
      <c r="F62" s="38" t="str">
        <f>_xlfn.CONCAT(_xlfn.XLOOKUP($A62,ncr_merged[[#All],[column_name]],ncr_merged[[#All],[required]]," ",0),"")</f>
        <v>If ACST=3</v>
      </c>
      <c r="G62" s="38" t="str">
        <f>_xlfn.CONCAT(_xlfn.XLOOKUP($A62,ncr_merged[[#All],[column_name]],ncr_merged[[#All],[comments]]," ",0),
_xlfn.XLOOKUP($A62,ncr_merged[[#All],[column_name]],ncr_merged[[#All],[validation_rule]]," ",0),
_xlfn.XLOOKUP($A62,ncr_merged[[#All],[column_name]],ncr_merged[[#All],[behaviour]]," ",0),
"from the NCR tab: ",_xlfn.XLOOKUP($A62,ncr_merged[[#All],[column_name]],ncr_merged[[#All],[source_tab]]),
" ")</f>
        <v xml:space="preserve">Reject file if acst=3 and phn is NULLfrom the NCR tab: procedure </v>
      </c>
      <c r="H62" s="38" t="str">
        <f>_xlfn.CONCAT(_xlfn.XLOOKUP($A62,ncr_merged[[#All],[column_name]],ncr_merged[[#All],[format]]," ",0))</f>
        <v>N</v>
      </c>
      <c r="I62" s="38" t="str">
        <f>_xlfn.CONCAT(_xlfn.XLOOKUP($A62,ncr_merged[[#All],[column_name]],ncr_merged[[#All],[permitted_values]]," ",0))</f>
        <v>0=No 
1=Yes</v>
      </c>
      <c r="J62" s="44" t="str">
        <f>_xlfn.CONCAT(_xlfn.XLOOKUP($A62,ncr_merged[[#All],[column_name]],ncr_merged[[#All],[range_(min)]]," ",0))</f>
        <v>0</v>
      </c>
      <c r="K62" s="44" t="str">
        <f>_xlfn.CONCAT(_xlfn.XLOOKUP($A62,ncr_merged[[#All],[column_name]],ncr_merged[[#All],[range_(max)]]," ",0))</f>
        <v>1</v>
      </c>
      <c r="M62" s="38" t="str" cm="1">
        <f t="array" ref="M62">_xlfn.CONCAT(IFERROR(_xlfn.XLOOKUP(data_elements_bkp!A62,Table_query__5[[#All],[NCR Variable ID]],Table_query__5[[#All],[in_progress]]),""))</f>
        <v>Cardiobase or WACOR data collection tool.  
No SJA data yet, needs follow up with SJA to request data or DOH contract team.</v>
      </c>
    </row>
    <row r="63" spans="1:13" x14ac:dyDescent="0.2">
      <c r="A63" s="38" t="str">
        <v>dbd</v>
      </c>
      <c r="B63" s="38" t="str" cm="1">
        <f t="array" ref="B63">_xlfn.XLOOKUP($A63,ncr_merged[[#All],[column_name]],ncr_merged[[#All],[label]]," ",0)</f>
        <v>Balloon/device date</v>
      </c>
      <c r="E63" s="38" t="str">
        <f>_xlfn.CONCAT(_xlfn.XLOOKUP($A63,ncr_merged[[#All],[column_name]],ncr_merged[[#All],[question]]," ",0),_xlfn.XLOOKUP($A63,ncr_merged[[#All],[column_name]],ncr_merged[[#All],[supporting_definition]]," ",0))</f>
        <v xml:space="preserve"> -</v>
      </c>
      <c r="F63" s="38" t="str">
        <f>_xlfn.CONCAT(_xlfn.XLOOKUP($A63,ncr_merged[[#All],[column_name]],ncr_merged[[#All],[required]]," ",0),"")</f>
        <v>Derived variable</v>
      </c>
      <c r="G63" s="38" t="str">
        <f>_xlfn.CONCAT(_xlfn.XLOOKUP($A63,ncr_merged[[#All],[column_name]],ncr_merged[[#All],[comments]]," ",0),
_xlfn.XLOOKUP($A63,ncr_merged[[#All],[column_name]],ncr_merged[[#All],[validation_rule]]," ",0),
_xlfn.XLOOKUP($A63,ncr_merged[[#All],[column_name]],ncr_merged[[#All],[behaviour]]," ",0),
"from the NCR tab: ",_xlfn.XLOOKUP($A63,ncr_merged[[#All],[column_name]],ncr_merged[[#All],[source_tab]]),
" ")</f>
        <v xml:space="preserve">If [TBD=&lt;TOP] then DBD=DOP + [1 day]
If [TBD&gt;TOP] then DBD=DOPfrom the NCR tab: procedure </v>
      </c>
      <c r="H63" s="38" t="str">
        <f>_xlfn.CONCAT(_xlfn.XLOOKUP($A63,ncr_merged[[#All],[column_name]],ncr_merged[[#All],[format]]," ",0))</f>
        <v>DD/MM/YYYY</v>
      </c>
      <c r="I63" s="38" t="str">
        <f>_xlfn.CONCAT(_xlfn.XLOOKUP($A63,ncr_merged[[#All],[column_name]],ncr_merged[[#All],[permitted_values]]," ",0))</f>
        <v/>
      </c>
      <c r="J63" s="44" t="str">
        <f>_xlfn.CONCAT(_xlfn.XLOOKUP($A63,ncr_merged[[#All],[column_name]],ncr_merged[[#All],[range_(min)]]," ",0))</f>
        <v/>
      </c>
      <c r="K63" s="44" t="str">
        <f>_xlfn.CONCAT(_xlfn.XLOOKUP($A63,ncr_merged[[#All],[column_name]],ncr_merged[[#All],[range_(max)]]," ",0))</f>
        <v/>
      </c>
      <c r="M63" s="38" t="str" cm="1">
        <f t="array" ref="M63">_xlfn.CONCAT(IFERROR(_xlfn.XLOOKUP(data_elements_bkp!A63,Table_query__5[[#All],[NCR Variable ID]],Table_query__5[[#All],[in_progress]]),""))</f>
        <v>Cardiobase</v>
      </c>
    </row>
    <row r="64" spans="1:13" x14ac:dyDescent="0.2">
      <c r="A64" s="38" t="str">
        <v>tbd</v>
      </c>
      <c r="B64" s="38" t="str" cm="1">
        <f t="array" ref="B64">_xlfn.XLOOKUP($A64,ncr_merged[[#All],[column_name]],ncr_merged[[#All],[label]]," ",0)</f>
        <v>Balloon/device time</v>
      </c>
      <c r="E64" s="38" t="str">
        <f>_xlfn.CONCAT(_xlfn.XLOOKUP($A64,ncr_merged[[#All],[column_name]],ncr_merged[[#All],[question]]," ",0),_xlfn.XLOOKUP($A64,ncr_merged[[#All],[column_name]],ncr_merged[[#All],[supporting_definition]]," ",0))</f>
        <v>Where patient 'Type of ACS' coded as ‘STEMI’, at what time was the first device used?Indicate the time the first device was used to treat the target lesion. Examples of the first device used include, but are not limited to: balloon; thrombectomy device; atherectomy device or stent.  If the lesion cannot be crossed by the guidewire or device, use the time that the guide catheter was introduced.
Note: This is a process measure, not a clinical outcomes measure and, as such, is not related to the timing of or whether TIMI 3 flow was/was not restored.</v>
      </c>
      <c r="F64" s="38" t="str">
        <f>_xlfn.CONCAT(_xlfn.XLOOKUP($A64,ncr_merged[[#All],[column_name]],ncr_merged[[#All],[required]]," ",0),"")</f>
        <v>If ACST=3</v>
      </c>
      <c r="G64" s="38" t="str">
        <f>_xlfn.CONCAT(_xlfn.XLOOKUP($A64,ncr_merged[[#All],[column_name]],ncr_merged[[#All],[comments]]," ",0),
_xlfn.XLOOKUP($A64,ncr_merged[[#All],[column_name]],ncr_merged[[#All],[validation_rule]]," ",0),
_xlfn.XLOOKUP($A64,ncr_merged[[#All],[column_name]],ncr_merged[[#All],[behaviour]]," ",0),
"from the NCR tab: ",_xlfn.XLOOKUP($A64,ncr_merged[[#All],[column_name]],ncr_merged[[#All],[source_tab]]),
" ")</f>
        <v xml:space="preserve">24 hour clock format onlyReject file if acst=3 and tbd is NULLfrom the NCR tab: procedure </v>
      </c>
      <c r="H64" s="38" t="str">
        <f>_xlfn.CONCAT(_xlfn.XLOOKUP($A64,ncr_merged[[#All],[column_name]],ncr_merged[[#All],[format]]," ",0))</f>
        <v>N</v>
      </c>
      <c r="I64" s="38" t="str">
        <f>_xlfn.CONCAT(_xlfn.XLOOKUP($A64,ncr_merged[[#All],[column_name]],ncr_merged[[#All],[permitted_values]]," ",0))</f>
        <v/>
      </c>
      <c r="J64" s="44" t="str">
        <f>_xlfn.CONCAT(_xlfn.XLOOKUP($A64,ncr_merged[[#All],[column_name]],ncr_merged[[#All],[range_(min)]]," ",0))</f>
        <v>00:00</v>
      </c>
      <c r="K64" s="44" t="str">
        <f>_xlfn.CONCAT(_xlfn.XLOOKUP($A64,ncr_merged[[#All],[column_name]],ncr_merged[[#All],[range_(max)]]," ",0))</f>
        <v>23:59</v>
      </c>
      <c r="M64" s="38" t="str" cm="1">
        <f t="array" ref="M64">_xlfn.CONCAT(IFERROR(_xlfn.XLOOKUP(data_elements_bkp!A64,Table_query__5[[#All],[NCR Variable ID]],Table_query__5[[#All],[in_progress]]),""))</f>
        <v>Cardiobase</v>
      </c>
    </row>
    <row r="65" spans="1:13" x14ac:dyDescent="0.2">
      <c r="A65" s="38" t="str">
        <v>sor</v>
      </c>
      <c r="B65" s="38" t="str" cm="1">
        <f t="array" ref="B65">_xlfn.XLOOKUP($A65,ncr_merged[[#All],[column_name]],ncr_merged[[#All],[label]]," ",0)</f>
        <v>Sympton Onset to reperfusion</v>
      </c>
      <c r="E65" s="38" t="str">
        <f>_xlfn.CONCAT(_xlfn.XLOOKUP($A65,ncr_merged[[#All],[column_name]],ncr_merged[[#All],[question]]," ",0),_xlfn.XLOOKUP($A65,ncr_merged[[#All],[column_name]],ncr_merged[[#All],[supporting_definition]]," ",0))</f>
        <v xml:space="preserve"> -</v>
      </c>
      <c r="F65" s="38" t="str">
        <f>_xlfn.CONCAT(_xlfn.XLOOKUP($A65,ncr_merged[[#All],[column_name]],ncr_merged[[#All],[required]]," ",0),"")</f>
        <v>Derived variable</v>
      </c>
      <c r="G65" s="38" t="str">
        <f>_xlfn.CONCAT(_xlfn.XLOOKUP($A65,ncr_merged[[#All],[column_name]],ncr_merged[[#All],[comments]]," ",0),
_xlfn.XLOOKUP($A65,ncr_merged[[#All],[column_name]],ncr_merged[[#All],[validation_rule]]," ",0),
_xlfn.XLOOKUP($A65,ncr_merged[[#All],[column_name]],ncr_merged[[#All],[behaviour]]," ",0),
"from the NCR tab: ",_xlfn.XLOOKUP($A65,ncr_merged[[#All],[column_name]],ncr_merged[[#All],[source_tab]]),
" ")</f>
        <v xml:space="preserve">sor = [tbd-tso] + [dbd-dso]  (expressed in minutes)from the NCR tab: procedure </v>
      </c>
      <c r="H65" s="38" t="str">
        <f>_xlfn.CONCAT(_xlfn.XLOOKUP($A65,ncr_merged[[#All],[column_name]],ncr_merged[[#All],[format]]," ",0))</f>
        <v/>
      </c>
      <c r="I65" s="38" t="str">
        <f>_xlfn.CONCAT(_xlfn.XLOOKUP($A65,ncr_merged[[#All],[column_name]],ncr_merged[[#All],[permitted_values]]," ",0))</f>
        <v/>
      </c>
      <c r="J65" s="44" t="str">
        <f>_xlfn.CONCAT(_xlfn.XLOOKUP($A65,ncr_merged[[#All],[column_name]],ncr_merged[[#All],[range_(min)]]," ",0))</f>
        <v/>
      </c>
      <c r="K65" s="44" t="str">
        <f>_xlfn.CONCAT(_xlfn.XLOOKUP($A65,ncr_merged[[#All],[column_name]],ncr_merged[[#All],[range_(max)]]," ",0))</f>
        <v/>
      </c>
      <c r="M65" s="38" t="str" cm="1">
        <f t="array" ref="M65">_xlfn.CONCAT(IFERROR(_xlfn.XLOOKUP(data_elements_bkp!A65,Table_query__5[[#All],[NCR Variable ID]],Table_query__5[[#All],[in_progress]]),""))</f>
        <v>Business rules</v>
      </c>
    </row>
    <row r="66" spans="1:13" x14ac:dyDescent="0.2">
      <c r="A66" s="38" t="str">
        <v>dbdt</v>
      </c>
      <c r="B66" s="38" t="str" cm="1">
        <f t="array" ref="B66">_xlfn.XLOOKUP($A66,ncr_merged[[#All],[column_name]],ncr_merged[[#All],[label]]," ",0)</f>
        <v>Door to balloon/device time [mins]</v>
      </c>
      <c r="E66" s="38" t="str">
        <f>_xlfn.CONCAT(_xlfn.XLOOKUP($A66,ncr_merged[[#All],[column_name]],ncr_merged[[#All],[question]]," ",0),_xlfn.XLOOKUP($A66,ncr_merged[[#All],[column_name]],ncr_merged[[#All],[supporting_definition]]," ",0))</f>
        <v xml:space="preserve"> -</v>
      </c>
      <c r="F66" s="38" t="str">
        <f>_xlfn.CONCAT(_xlfn.XLOOKUP($A66,ncr_merged[[#All],[column_name]],ncr_merged[[#All],[required]]," ",0),"")</f>
        <v>Derived variable</v>
      </c>
      <c r="G66" s="38" t="str">
        <f>_xlfn.CONCAT(_xlfn.XLOOKUP($A66,ncr_merged[[#All],[column_name]],ncr_merged[[#All],[comments]]," ",0),
_xlfn.XLOOKUP($A66,ncr_merged[[#All],[column_name]],ncr_merged[[#All],[validation_rule]]," ",0),
_xlfn.XLOOKUP($A66,ncr_merged[[#All],[column_name]],ncr_merged[[#All],[behaviour]]," ",0),
"from the NCR tab: ",_xlfn.XLOOKUP($A66,ncr_merged[[#All],[column_name]],ncr_merged[[#All],[source_tab]]),
" ")</f>
        <v xml:space="preserve">Displayed in minutesDBDT = [TBD-TOA] + [DBD-DOA]  (expressed in minutes)from the NCR tab: procedure </v>
      </c>
      <c r="H66" s="38" t="str">
        <f>_xlfn.CONCAT(_xlfn.XLOOKUP($A66,ncr_merged[[#All],[column_name]],ncr_merged[[#All],[format]]," ",0))</f>
        <v>MM (mins)</v>
      </c>
      <c r="I66" s="38" t="str">
        <f>_xlfn.CONCAT(_xlfn.XLOOKUP($A66,ncr_merged[[#All],[column_name]],ncr_merged[[#All],[permitted_values]]," ",0))</f>
        <v>Numeric</v>
      </c>
      <c r="J66" s="44" t="str">
        <f>_xlfn.CONCAT(_xlfn.XLOOKUP($A66,ncr_merged[[#All],[column_name]],ncr_merged[[#All],[range_(min)]]," ",0))</f>
        <v/>
      </c>
      <c r="K66" s="44" t="str">
        <f>_xlfn.CONCAT(_xlfn.XLOOKUP($A66,ncr_merged[[#All],[column_name]],ncr_merged[[#All],[range_(max)]]," ",0))</f>
        <v/>
      </c>
      <c r="M66" s="38" t="str" cm="1">
        <f t="array" ref="M66">_xlfn.CONCAT(IFERROR(_xlfn.XLOOKUP(data_elements_bkp!A66,Table_query__5[[#All],[NCR Variable ID]],Table_query__5[[#All],[in_progress]]),""))</f>
        <v>Business rules</v>
      </c>
    </row>
    <row r="67" spans="1:13" x14ac:dyDescent="0.2">
      <c r="A67" s="38" t="str">
        <v>spr</v>
      </c>
      <c r="B67" s="38" t="str" cm="1">
        <f t="array" ref="B67">_xlfn.XLOOKUP($A67,ncr_merged[[#All],[column_name]],ncr_merged[[#All],[label]]," ",0)</f>
        <v>Self presenter</v>
      </c>
      <c r="E67" s="38" t="str">
        <f>_xlfn.CONCAT(_xlfn.XLOOKUP($A67,ncr_merged[[#All],[column_name]],ncr_merged[[#All],[question]]," ",0),_xlfn.XLOOKUP($A67,ncr_merged[[#All],[column_name]],ncr_merged[[#All],[supporting_definition]]," ",0))</f>
        <v>Where patient 'Type of ACS' coded as ‘STEMI’, did the patient present to the hospital without an ambulance?Indicate if the patient presented to hosital by way of their own means e.g not in an ambulance or other emergency vehicle.</v>
      </c>
      <c r="F67" s="38" t="str">
        <f>_xlfn.CONCAT(_xlfn.XLOOKUP($A67,ncr_merged[[#All],[column_name]],ncr_merged[[#All],[required]]," ",0),"")</f>
        <v>If ACST=3</v>
      </c>
      <c r="G67" s="38" t="str">
        <f>_xlfn.CONCAT(_xlfn.XLOOKUP($A67,ncr_merged[[#All],[column_name]],ncr_merged[[#All],[comments]]," ",0),
_xlfn.XLOOKUP($A67,ncr_merged[[#All],[column_name]],ncr_merged[[#All],[validation_rule]]," ",0),
_xlfn.XLOOKUP($A67,ncr_merged[[#All],[column_name]],ncr_merged[[#All],[behaviour]]," ",0),
"from the NCR tab: ",_xlfn.XLOOKUP($A67,ncr_merged[[#All],[column_name]],ncr_merged[[#All],[source_tab]]),
" ")</f>
        <v xml:space="preserve">Reject file if acst=3 and spr is NULLfrom the NCR tab: procedure </v>
      </c>
      <c r="H67" s="38" t="str">
        <f>_xlfn.CONCAT(_xlfn.XLOOKUP($A67,ncr_merged[[#All],[column_name]],ncr_merged[[#All],[format]]," ",0))</f>
        <v>N</v>
      </c>
      <c r="I67" s="38" t="str">
        <f>_xlfn.CONCAT(_xlfn.XLOOKUP($A67,ncr_merged[[#All],[column_name]],ncr_merged[[#All],[permitted_values]]," ",0))</f>
        <v>0=No 
1=Yes</v>
      </c>
      <c r="J67" s="44" t="str">
        <f>_xlfn.CONCAT(_xlfn.XLOOKUP($A67,ncr_merged[[#All],[column_name]],ncr_merged[[#All],[range_(min)]]," ",0))</f>
        <v>0</v>
      </c>
      <c r="K67" s="44" t="str">
        <f>_xlfn.CONCAT(_xlfn.XLOOKUP($A67,ncr_merged[[#All],[column_name]],ncr_merged[[#All],[range_(max)]]," ",0))</f>
        <v>1</v>
      </c>
      <c r="M67" s="38" t="str" cm="1">
        <f t="array" ref="M67">_xlfn.CONCAT(IFERROR(_xlfn.XLOOKUP(data_elements_bkp!A67,Table_query__5[[#All],[NCR Variable ID]],Table_query__5[[#All],[in_progress]]),""))</f>
        <v>EDIS from triage; cardiobase</v>
      </c>
    </row>
    <row r="68" spans="1:13" x14ac:dyDescent="0.2">
      <c r="A68" s="38" t="str">
        <v>dfmc</v>
      </c>
      <c r="B68" s="38" t="str" cm="1">
        <f t="array" ref="B68">_xlfn.XLOOKUP($A68,ncr_merged[[#All],[column_name]],ncr_merged[[#All],[label]]," ",0)</f>
        <v>Date of first medical contact</v>
      </c>
      <c r="E68" s="38" t="str">
        <f>_xlfn.CONCAT(_xlfn.XLOOKUP($A68,ncr_merged[[#All],[column_name]],ncr_merged[[#All],[question]]," ",0),_xlfn.XLOOKUP($A68,ncr_merged[[#All],[column_name]],ncr_merged[[#All],[supporting_definition]]," ",0))</f>
        <v>Where patient 'Type of ACS' coded as ‘STEMI’, what was the date of First Medical Contact?Indicate the date on which the patient first received medical attention (either by ambulance arriving, attendance at hospital or from a general practitioner) for their ACS symptoms. 
Note: Seeking medical attention could include the person presenting to their GP who then refers them to hospital or the person presenting directly to hospital, or the arrival of the ambulance service. If the person is already a patient at the hospital for another reason then the date recorded would be when they advised hospital staff of their symptoms.</v>
      </c>
      <c r="F68" s="38" t="str">
        <f>_xlfn.CONCAT(_xlfn.XLOOKUP($A68,ncr_merged[[#All],[column_name]],ncr_merged[[#All],[required]]," ",0),"")</f>
        <v>If ACST=3</v>
      </c>
      <c r="G68" s="38" t="str">
        <f>_xlfn.CONCAT(_xlfn.XLOOKUP($A68,ncr_merged[[#All],[column_name]],ncr_merged[[#All],[comments]]," ",0),
_xlfn.XLOOKUP($A68,ncr_merged[[#All],[column_name]],ncr_merged[[#All],[validation_rule]]," ",0),
_xlfn.XLOOKUP($A68,ncr_merged[[#All],[column_name]],ncr_merged[[#All],[behaviour]]," ",0),
"from the NCR tab: ",_xlfn.XLOOKUP($A68,ncr_merged[[#All],[column_name]],ncr_merged[[#All],[source_tab]]),
" ")</f>
        <v xml:space="preserve">
Reject file if acst = 3 and dfmc is  NULL
Reject file if dfmc&gt;dop
Reject file if dfmc&gt;dso+7
Reject file if dfmc&lt;dso
Reject file if dfmc&gt;decgdfrom the NCR tab: procedure </v>
      </c>
      <c r="H68" s="38" t="str">
        <f>_xlfn.CONCAT(_xlfn.XLOOKUP($A68,ncr_merged[[#All],[column_name]],ncr_merged[[#All],[format]]," ",0))</f>
        <v>DD/MM/YYYY</v>
      </c>
      <c r="I68" s="38" t="str">
        <f>_xlfn.CONCAT(_xlfn.XLOOKUP($A68,ncr_merged[[#All],[column_name]],ncr_merged[[#All],[permitted_values]]," ",0))</f>
        <v/>
      </c>
      <c r="J68" s="44" t="str">
        <f>_xlfn.CONCAT(_xlfn.XLOOKUP($A68,ncr_merged[[#All],[column_name]],ncr_merged[[#All],[range_(min)]]," ",0))</f>
        <v/>
      </c>
      <c r="K68" s="44" t="str">
        <f>_xlfn.CONCAT(_xlfn.XLOOKUP($A68,ncr_merged[[#All],[column_name]],ncr_merged[[#All],[range_(max)]]," ",0))</f>
        <v/>
      </c>
      <c r="M68" s="38" t="str" cm="1">
        <f t="array" ref="M68">_xlfn.CONCAT(IFERROR(_xlfn.XLOOKUP(data_elements_bkp!A68,Table_query__5[[#All],[NCR Variable ID]],Table_query__5[[#All],[in_progress]]),""))</f>
        <v xml:space="preserve">Multiple sources: EDIS presenting complaint, NACS may indicate where (not necessarily a date).  SJA? Poteintially in future from patietn data collection tool </v>
      </c>
    </row>
    <row r="69" spans="1:13" x14ac:dyDescent="0.2">
      <c r="A69" s="38" t="str">
        <v>tfmc</v>
      </c>
      <c r="B69" s="38" t="str" cm="1">
        <f t="array" ref="B69">_xlfn.XLOOKUP($A69,ncr_merged[[#All],[column_name]],ncr_merged[[#All],[label]]," ",0)</f>
        <v>Time of first medical contact</v>
      </c>
      <c r="E69" s="38" t="str">
        <f>_xlfn.CONCAT(_xlfn.XLOOKUP($A69,ncr_merged[[#All],[column_name]],ncr_merged[[#All],[question]]," ",0),_xlfn.XLOOKUP($A69,ncr_merged[[#All],[column_name]],ncr_merged[[#All],[supporting_definition]]," ",0))</f>
        <v>Where 'Type of ACS' coded as ‘STEMI’, what was the time of First Medical Contact?Indicate the time at which the patient first received medical attention (either by ambulance arriving, attendance at hospital or from a general practitioner) for their ACS symptoms.
Note: Seeking medical attention could include the person presenting to their GP who then refers them to hospital or the person presenting directly to hospital, or the arrival of the ambulance service. If the person is already a patient at the hospital for another reason then the time recorded would be when they advised hospital staff of their symptoms.</v>
      </c>
      <c r="F69" s="38" t="str">
        <f>_xlfn.CONCAT(_xlfn.XLOOKUP($A69,ncr_merged[[#All],[column_name]],ncr_merged[[#All],[required]]," ",0),"")</f>
        <v>If ACST=3</v>
      </c>
      <c r="G69" s="38" t="str">
        <f>_xlfn.CONCAT(_xlfn.XLOOKUP($A69,ncr_merged[[#All],[column_name]],ncr_merged[[#All],[comments]]," ",0),
_xlfn.XLOOKUP($A69,ncr_merged[[#All],[column_name]],ncr_merged[[#All],[validation_rule]]," ",0),
_xlfn.XLOOKUP($A69,ncr_merged[[#All],[column_name]],ncr_merged[[#All],[behaviour]]," ",0),
"from the NCR tab: ",_xlfn.XLOOKUP($A69,ncr_merged[[#All],[column_name]],ncr_merged[[#All],[source_tab]]),
" ")</f>
        <v xml:space="preserve">Reject file if acst = 3 and tfmc is  NULL
Reject file when tfmc&gt;tbd and dfmc=dop
Reject file when tfmc&lt;tso and dfmc=dsofrom the NCR tab: procedure </v>
      </c>
      <c r="H69" s="38" t="str">
        <f>_xlfn.CONCAT(_xlfn.XLOOKUP($A69,ncr_merged[[#All],[column_name]],ncr_merged[[#All],[format]]," ",0))</f>
        <v>HH:MM</v>
      </c>
      <c r="I69" s="38" t="str">
        <f>_xlfn.CONCAT(_xlfn.XLOOKUP($A69,ncr_merged[[#All],[column_name]],ncr_merged[[#All],[permitted_values]]," ",0))</f>
        <v/>
      </c>
      <c r="J69" s="44" t="str">
        <f>_xlfn.CONCAT(_xlfn.XLOOKUP($A69,ncr_merged[[#All],[column_name]],ncr_merged[[#All],[range_(min)]]," ",0))</f>
        <v/>
      </c>
      <c r="K69" s="44" t="str">
        <f>_xlfn.CONCAT(_xlfn.XLOOKUP($A69,ncr_merged[[#All],[column_name]],ncr_merged[[#All],[range_(max)]]," ",0))</f>
        <v/>
      </c>
      <c r="M69" s="38" t="str" cm="1">
        <f t="array" ref="M69">_xlfn.CONCAT(IFERROR(_xlfn.XLOOKUP(data_elements_bkp!A69,Table_query__5[[#All],[NCR Variable ID]],Table_query__5[[#All],[in_progress]]),""))</f>
        <v xml:space="preserve">Multiple sources: EDIS presenting complaint, NACS may indicate where (not necessarily a date).  SJA? Poteintially in future from patietn data collection tool </v>
      </c>
    </row>
    <row r="70" spans="1:13" x14ac:dyDescent="0.2">
      <c r="A70" s="38" t="str">
        <v>sofmc</v>
      </c>
      <c r="B70" s="38" t="str" cm="1">
        <f t="array" ref="B70">_xlfn.XLOOKUP($A70,ncr_merged[[#All],[column_name]],ncr_merged[[#All],[label]]," ",0)</f>
        <v>Symptom Onset to FMC</v>
      </c>
      <c r="E70" s="38" t="str">
        <f>_xlfn.CONCAT(_xlfn.XLOOKUP($A70,ncr_merged[[#All],[column_name]],ncr_merged[[#All],[question]]," ",0),_xlfn.XLOOKUP($A70,ncr_merged[[#All],[column_name]],ncr_merged[[#All],[supporting_definition]]," ",0))</f>
        <v xml:space="preserve"> -</v>
      </c>
      <c r="F70" s="38" t="str">
        <f>_xlfn.CONCAT(_xlfn.XLOOKUP($A70,ncr_merged[[#All],[column_name]],ncr_merged[[#All],[required]]," ",0),"")</f>
        <v>Derived variable</v>
      </c>
      <c r="G70" s="38" t="str">
        <f>_xlfn.CONCAT(_xlfn.XLOOKUP($A70,ncr_merged[[#All],[column_name]],ncr_merged[[#All],[comments]]," ",0),
_xlfn.XLOOKUP($A70,ncr_merged[[#All],[column_name]],ncr_merged[[#All],[validation_rule]]," ",0),
_xlfn.XLOOKUP($A70,ncr_merged[[#All],[column_name]],ncr_merged[[#All],[behaviour]]," ",0),
"from the NCR tab: ",_xlfn.XLOOKUP($A70,ncr_merged[[#All],[column_name]],ncr_merged[[#All],[source_tab]]),
" ")</f>
        <v xml:space="preserve">SOFMC= [tfmc-tso] + [dfmc-dso]Derived variablefrom the NCR tab: procedure </v>
      </c>
      <c r="H70" s="38" t="str">
        <f>_xlfn.CONCAT(_xlfn.XLOOKUP($A70,ncr_merged[[#All],[column_name]],ncr_merged[[#All],[format]]," ",0))</f>
        <v/>
      </c>
      <c r="I70" s="38" t="str">
        <f>_xlfn.CONCAT(_xlfn.XLOOKUP($A70,ncr_merged[[#All],[column_name]],ncr_merged[[#All],[permitted_values]]," ",0))</f>
        <v/>
      </c>
      <c r="J70" s="44" t="str">
        <f>_xlfn.CONCAT(_xlfn.XLOOKUP($A70,ncr_merged[[#All],[column_name]],ncr_merged[[#All],[range_(min)]]," ",0))</f>
        <v/>
      </c>
      <c r="K70" s="44" t="str">
        <f>_xlfn.CONCAT(_xlfn.XLOOKUP($A70,ncr_merged[[#All],[column_name]],ncr_merged[[#All],[range_(max)]]," ",0))</f>
        <v/>
      </c>
      <c r="M70" s="38" t="str" cm="1">
        <f t="array" ref="M70">_xlfn.CONCAT(IFERROR(_xlfn.XLOOKUP(data_elements_bkp!A70,Table_query__5[[#All],[NCR Variable ID]],Table_query__5[[#All],[in_progress]]),""))</f>
        <v>Business Rule.</v>
      </c>
    </row>
    <row r="71" spans="1:13" x14ac:dyDescent="0.2">
      <c r="A71" s="38" t="str">
        <v>fmctr</v>
      </c>
      <c r="B71" s="38" t="str" cm="1">
        <f t="array" ref="B71">_xlfn.XLOOKUP($A71,ncr_merged[[#All],[column_name]],ncr_merged[[#All],[label]]," ",0)</f>
        <v>FMC to reperfusion [mins]</v>
      </c>
      <c r="E71" s="38" t="str">
        <f>_xlfn.CONCAT(_xlfn.XLOOKUP($A71,ncr_merged[[#All],[column_name]],ncr_merged[[#All],[question]]," ",0),_xlfn.XLOOKUP($A71,ncr_merged[[#All],[column_name]],ncr_merged[[#All],[supporting_definition]]," ",0))</f>
        <v xml:space="preserve"> -</v>
      </c>
      <c r="F71" s="38" t="str">
        <f>_xlfn.CONCAT(_xlfn.XLOOKUP($A71,ncr_merged[[#All],[column_name]],ncr_merged[[#All],[required]]," ",0),"")</f>
        <v>Derived variable</v>
      </c>
      <c r="G71" s="38" t="str">
        <f>_xlfn.CONCAT(_xlfn.XLOOKUP($A71,ncr_merged[[#All],[column_name]],ncr_merged[[#All],[comments]]," ",0),
_xlfn.XLOOKUP($A71,ncr_merged[[#All],[column_name]],ncr_merged[[#All],[validation_rule]]," ",0),
_xlfn.XLOOKUP($A71,ncr_merged[[#All],[column_name]],ncr_merged[[#All],[behaviour]]," ",0),
"from the NCR tab: ",_xlfn.XLOOKUP($A71,ncr_merged[[#All],[column_name]],ncr_merged[[#All],[source_tab]]),
" ")</f>
        <v xml:space="preserve">FMCTR= [tbd-tfmc] + [dbd-dfmc]Derived variablefrom the NCR tab: procedure </v>
      </c>
      <c r="H71" s="38" t="str">
        <f>_xlfn.CONCAT(_xlfn.XLOOKUP($A71,ncr_merged[[#All],[column_name]],ncr_merged[[#All],[format]]," ",0))</f>
        <v>MM (mins)</v>
      </c>
      <c r="I71" s="38" t="str">
        <f>_xlfn.CONCAT(_xlfn.XLOOKUP($A71,ncr_merged[[#All],[column_name]],ncr_merged[[#All],[permitted_values]]," ",0))</f>
        <v/>
      </c>
      <c r="J71" s="44" t="str">
        <f>_xlfn.CONCAT(_xlfn.XLOOKUP($A71,ncr_merged[[#All],[column_name]],ncr_merged[[#All],[range_(min)]]," ",0))</f>
        <v/>
      </c>
      <c r="K71" s="44" t="str">
        <f>_xlfn.CONCAT(_xlfn.XLOOKUP($A71,ncr_merged[[#All],[column_name]],ncr_merged[[#All],[range_(max)]]," ",0))</f>
        <v/>
      </c>
      <c r="M71" s="38" t="str" cm="1">
        <f t="array" ref="M71">_xlfn.CONCAT(IFERROR(_xlfn.XLOOKUP(data_elements_bkp!A71,Table_query__5[[#All],[NCR Variable ID]],Table_query__5[[#All],[in_progress]]),""))</f>
        <v>Business Rule.</v>
      </c>
    </row>
    <row r="72" spans="1:13" x14ac:dyDescent="0.2">
      <c r="A72" s="38" t="str">
        <v>fmctd</v>
      </c>
      <c r="B72" s="38" t="str" cm="1">
        <f t="array" ref="B72">_xlfn.XLOOKUP($A72,ncr_merged[[#All],[column_name]],ncr_merged[[#All],[label]]," ",0)</f>
        <v>FMC to door [mins]</v>
      </c>
      <c r="E72" s="38" t="str">
        <f>_xlfn.CONCAT(_xlfn.XLOOKUP($A72,ncr_merged[[#All],[column_name]],ncr_merged[[#All],[question]]," ",0),_xlfn.XLOOKUP($A72,ncr_merged[[#All],[column_name]],ncr_merged[[#All],[supporting_definition]]," ",0))</f>
        <v xml:space="preserve"> -</v>
      </c>
      <c r="F72" s="38" t="str">
        <f>_xlfn.CONCAT(_xlfn.XLOOKUP($A72,ncr_merged[[#All],[column_name]],ncr_merged[[#All],[required]]," ",0),"")</f>
        <v>Derived variable</v>
      </c>
      <c r="G72" s="38" t="str">
        <f>_xlfn.CONCAT(_xlfn.XLOOKUP($A72,ncr_merged[[#All],[column_name]],ncr_merged[[#All],[comments]]," ",0),
_xlfn.XLOOKUP($A72,ncr_merged[[#All],[column_name]],ncr_merged[[#All],[validation_rule]]," ",0),
_xlfn.XLOOKUP($A72,ncr_merged[[#All],[column_name]],ncr_merged[[#All],[behaviour]]," ",0),
"from the NCR tab: ",_xlfn.XLOOKUP($A72,ncr_merged[[#All],[column_name]],ncr_merged[[#All],[source_tab]]),
" ")</f>
        <v xml:space="preserve">FMCTD= [toa-tfmc] + [doa-dfmc]Derived variablefrom the NCR tab: procedure </v>
      </c>
      <c r="H72" s="38" t="str">
        <f>_xlfn.CONCAT(_xlfn.XLOOKUP($A72,ncr_merged[[#All],[column_name]],ncr_merged[[#All],[format]]," ",0))</f>
        <v/>
      </c>
      <c r="I72" s="38" t="str">
        <f>_xlfn.CONCAT(_xlfn.XLOOKUP($A72,ncr_merged[[#All],[column_name]],ncr_merged[[#All],[permitted_values]]," ",0))</f>
        <v/>
      </c>
      <c r="J72" s="44" t="str">
        <f>_xlfn.CONCAT(_xlfn.XLOOKUP($A72,ncr_merged[[#All],[column_name]],ncr_merged[[#All],[range_(min)]]," ",0))</f>
        <v/>
      </c>
      <c r="K72" s="44" t="str">
        <f>_xlfn.CONCAT(_xlfn.XLOOKUP($A72,ncr_merged[[#All],[column_name]],ncr_merged[[#All],[range_(max)]]," ",0))</f>
        <v/>
      </c>
      <c r="M72" s="38" t="str" cm="1">
        <f t="array" ref="M72">_xlfn.CONCAT(IFERROR(_xlfn.XLOOKUP(data_elements_bkp!A72,Table_query__5[[#All],[NCR Variable ID]],Table_query__5[[#All],[in_progress]]),""))</f>
        <v>Business Rule.</v>
      </c>
    </row>
    <row r="73" spans="1:13" x14ac:dyDescent="0.2">
      <c r="A73" s="38" t="str">
        <v>decgd</v>
      </c>
      <c r="B73" s="38" t="str" cm="1">
        <f t="array" ref="B73">_xlfn.XLOOKUP($A73,ncr_merged[[#All],[column_name]],ncr_merged[[#All],[label]]," ",0)</f>
        <v>Date of diagnostic ECG</v>
      </c>
      <c r="E73" s="38" t="str">
        <f>_xlfn.CONCAT(_xlfn.XLOOKUP($A73,ncr_merged[[#All],[column_name]],ncr_merged[[#All],[question]]," ",0),_xlfn.XLOOKUP($A73,ncr_merged[[#All],[column_name]],ncr_merged[[#All],[supporting_definition]]," ",0))</f>
        <v>Where 'Type of ACS' coded as ‘STEMI’, what was the date of diagnostic ECG?Indicate the date of the diagnostic electrocardiogram (ECG). The ECG recorded that shows evidence of ECG abnormalities consistent with a STEMI or suspected STEMI event.
Note: The diagnostic ECG may have been before admission to this hospital.</v>
      </c>
      <c r="F73" s="38" t="str">
        <f>_xlfn.CONCAT(_xlfn.XLOOKUP($A73,ncr_merged[[#All],[column_name]],ncr_merged[[#All],[required]]," ",0),"")</f>
        <v>If ACST=3</v>
      </c>
      <c r="G73" s="38" t="str">
        <f>_xlfn.CONCAT(_xlfn.XLOOKUP($A73,ncr_merged[[#All],[column_name]],ncr_merged[[#All],[comments]]," ",0),
_xlfn.XLOOKUP($A73,ncr_merged[[#All],[column_name]],ncr_merged[[#All],[validation_rule]]," ",0),
_xlfn.XLOOKUP($A73,ncr_merged[[#All],[column_name]],ncr_merged[[#All],[behaviour]]," ",0),
"from the NCR tab: ",_xlfn.XLOOKUP($A73,ncr_merged[[#All],[column_name]],ncr_merged[[#All],[source_tab]]),
" ")</f>
        <v xml:space="preserve">
Reject file if acst = 3 and decgd is  NULLfrom the NCR tab: procedure </v>
      </c>
      <c r="H73" s="38" t="str">
        <f>_xlfn.CONCAT(_xlfn.XLOOKUP($A73,ncr_merged[[#All],[column_name]],ncr_merged[[#All],[format]]," ",0))</f>
        <v>DD/MM/YYYY</v>
      </c>
      <c r="I73" s="38" t="str">
        <f>_xlfn.CONCAT(_xlfn.XLOOKUP($A73,ncr_merged[[#All],[column_name]],ncr_merged[[#All],[permitted_values]]," ",0))</f>
        <v/>
      </c>
      <c r="J73" s="44" t="str">
        <f>_xlfn.CONCAT(_xlfn.XLOOKUP($A73,ncr_merged[[#All],[column_name]],ncr_merged[[#All],[range_(min)]]," ",0))</f>
        <v/>
      </c>
      <c r="K73" s="44" t="str">
        <f>_xlfn.CONCAT(_xlfn.XLOOKUP($A73,ncr_merged[[#All],[column_name]],ncr_merged[[#All],[range_(max)]]," ",0))</f>
        <v/>
      </c>
      <c r="M73" s="38" t="str" cm="1">
        <f t="array" ref="M73">_xlfn.CONCAT(IFERROR(_xlfn.XLOOKUP(data_elements_bkp!A73,Table_query__5[[#All],[NCR Variable ID]],Table_query__5[[#All],[in_progress]]),""))</f>
        <v>WACOR DD needs to define which one (i.e. the one prior to PCI).   
Cardiobase (and or other systems).  HIH Discharge? Unlikely to include date.</v>
      </c>
    </row>
    <row r="74" spans="1:13" x14ac:dyDescent="0.2">
      <c r="A74" s="38" t="str">
        <v>tecgd</v>
      </c>
      <c r="B74" s="38" t="str" cm="1">
        <f t="array" ref="B74">_xlfn.XLOOKUP($A74,ncr_merged[[#All],[column_name]],ncr_merged[[#All],[label]]," ",0)</f>
        <v>Time of diagnostic ECG</v>
      </c>
      <c r="E74" s="38" t="str">
        <f>_xlfn.CONCAT(_xlfn.XLOOKUP($A74,ncr_merged[[#All],[column_name]],ncr_merged[[#All],[question]]," ",0),_xlfn.XLOOKUP($A74,ncr_merged[[#All],[column_name]],ncr_merged[[#All],[supporting_definition]]," ",0))</f>
        <v>Where 'Type of ACS' coded as ‘STEMI’, what was the time of diagnostic ECG?Indicate the time of the diagnostic electrocardiogram (ECG). The ECG recorded that shows evidence of ECG abnormalities consistent with a STEMI or suspected STEMI event.
Note: The diagnostic ECG may have been before admission to this hospital.</v>
      </c>
      <c r="F74" s="38" t="str">
        <f>_xlfn.CONCAT(_xlfn.XLOOKUP($A74,ncr_merged[[#All],[column_name]],ncr_merged[[#All],[required]]," ",0),"")</f>
        <v>If ACST=3</v>
      </c>
      <c r="G74" s="38" t="str">
        <f>_xlfn.CONCAT(_xlfn.XLOOKUP($A74,ncr_merged[[#All],[column_name]],ncr_merged[[#All],[comments]]," ",0),
_xlfn.XLOOKUP($A74,ncr_merged[[#All],[column_name]],ncr_merged[[#All],[validation_rule]]," ",0),
_xlfn.XLOOKUP($A74,ncr_merged[[#All],[column_name]],ncr_merged[[#All],[behaviour]]," ",0),
"from the NCR tab: ",_xlfn.XLOOKUP($A74,ncr_merged[[#All],[column_name]],ncr_merged[[#All],[source_tab]]),
" ")</f>
        <v xml:space="preserve">Reject file if acst = 3 and tecgd is  NULL
Reject file when tecgd&gt;tbd and decgd=dopfrom the NCR tab: procedure </v>
      </c>
      <c r="H74" s="38" t="str">
        <f>_xlfn.CONCAT(_xlfn.XLOOKUP($A74,ncr_merged[[#All],[column_name]],ncr_merged[[#All],[format]]," ",0))</f>
        <v>HH:MM</v>
      </c>
      <c r="I74" s="38" t="str">
        <f>_xlfn.CONCAT(_xlfn.XLOOKUP($A74,ncr_merged[[#All],[column_name]],ncr_merged[[#All],[permitted_values]]," ",0))</f>
        <v/>
      </c>
      <c r="J74" s="44" t="str">
        <f>_xlfn.CONCAT(_xlfn.XLOOKUP($A74,ncr_merged[[#All],[column_name]],ncr_merged[[#All],[range_(min)]]," ",0))</f>
        <v/>
      </c>
      <c r="K74" s="44" t="str">
        <f>_xlfn.CONCAT(_xlfn.XLOOKUP($A74,ncr_merged[[#All],[column_name]],ncr_merged[[#All],[range_(max)]]," ",0))</f>
        <v/>
      </c>
      <c r="M74" s="38" t="str" cm="1">
        <f t="array" ref="M74">_xlfn.CONCAT(IFERROR(_xlfn.XLOOKUP(data_elements_bkp!A74,Table_query__5[[#All],[NCR Variable ID]],Table_query__5[[#All],[in_progress]]),""))</f>
        <v>WACOR DD needs to define which one (i.e. the one prior to PCI).   
Cardiobase (and or other systems).  HIH Discharge? Unlikely to include time.</v>
      </c>
    </row>
    <row r="75" spans="1:13" x14ac:dyDescent="0.2">
      <c r="A75" s="38" t="str">
        <v>fmctecg</v>
      </c>
      <c r="B75" s="38" t="str" cm="1">
        <f t="array" ref="B75">_xlfn.XLOOKUP($A75,ncr_merged[[#All],[column_name]],ncr_merged[[#All],[label]]," ",0)</f>
        <v>FMC to Diagnostic ECG[mins]</v>
      </c>
      <c r="E75" s="38" t="str">
        <f>_xlfn.CONCAT(_xlfn.XLOOKUP($A75,ncr_merged[[#All],[column_name]],ncr_merged[[#All],[question]]," ",0),_xlfn.XLOOKUP($A75,ncr_merged[[#All],[column_name]],ncr_merged[[#All],[supporting_definition]]," ",0))</f>
        <v xml:space="preserve"> -</v>
      </c>
      <c r="F75" s="38" t="str">
        <f>_xlfn.CONCAT(_xlfn.XLOOKUP($A75,ncr_merged[[#All],[column_name]],ncr_merged[[#All],[required]]," ",0),"")</f>
        <v>Derived variable</v>
      </c>
      <c r="G75" s="38" t="str">
        <f>_xlfn.CONCAT(_xlfn.XLOOKUP($A75,ncr_merged[[#All],[column_name]],ncr_merged[[#All],[comments]]," ",0),
_xlfn.XLOOKUP($A75,ncr_merged[[#All],[column_name]],ncr_merged[[#All],[validation_rule]]," ",0),
_xlfn.XLOOKUP($A75,ncr_merged[[#All],[column_name]],ncr_merged[[#All],[behaviour]]," ",0),
"from the NCR tab: ",_xlfn.XLOOKUP($A75,ncr_merged[[#All],[column_name]],ncr_merged[[#All],[source_tab]]),
" ")</f>
        <v xml:space="preserve">FMCTECG= [tecgd-tfmc] + [decgd-dfmc]  (expressed in minutes)Derived variablefrom the NCR tab: procedure </v>
      </c>
      <c r="H75" s="38" t="str">
        <f>_xlfn.CONCAT(_xlfn.XLOOKUP($A75,ncr_merged[[#All],[column_name]],ncr_merged[[#All],[format]]," ",0))</f>
        <v>MM (mins)</v>
      </c>
      <c r="I75" s="38" t="str">
        <f>_xlfn.CONCAT(_xlfn.XLOOKUP($A75,ncr_merged[[#All],[column_name]],ncr_merged[[#All],[permitted_values]]," ",0))</f>
        <v/>
      </c>
      <c r="J75" s="44" t="str">
        <f>_xlfn.CONCAT(_xlfn.XLOOKUP($A75,ncr_merged[[#All],[column_name]],ncr_merged[[#All],[range_(min)]]," ",0))</f>
        <v/>
      </c>
      <c r="K75" s="44" t="str">
        <f>_xlfn.CONCAT(_xlfn.XLOOKUP($A75,ncr_merged[[#All],[column_name]],ncr_merged[[#All],[range_(max)]]," ",0))</f>
        <v/>
      </c>
      <c r="M75" s="38" t="str" cm="1">
        <f t="array" ref="M75">_xlfn.CONCAT(IFERROR(_xlfn.XLOOKUP(data_elements_bkp!A75,Table_query__5[[#All],[NCR Variable ID]],Table_query__5[[#All],[in_progress]]),""))</f>
        <v>Business Rules</v>
      </c>
    </row>
    <row r="76" spans="1:13" x14ac:dyDescent="0.2">
      <c r="A76" s="38" t="str">
        <v>ecgdb</v>
      </c>
      <c r="B76" s="38" t="str" cm="1">
        <f t="array" ref="B76">_xlfn.XLOOKUP($A76,ncr_merged[[#All],[column_name]],ncr_merged[[#All],[label]]," ",0)</f>
        <v>Diagnostic ECG to balloon [mins]</v>
      </c>
      <c r="E76" s="38" t="str">
        <f>_xlfn.CONCAT(_xlfn.XLOOKUP($A76,ncr_merged[[#All],[column_name]],ncr_merged[[#All],[question]]," ",0),_xlfn.XLOOKUP($A76,ncr_merged[[#All],[column_name]],ncr_merged[[#All],[supporting_definition]]," ",0))</f>
        <v xml:space="preserve"> -</v>
      </c>
      <c r="F76" s="38" t="str">
        <f>_xlfn.CONCAT(_xlfn.XLOOKUP($A76,ncr_merged[[#All],[column_name]],ncr_merged[[#All],[required]]," ",0),"")</f>
        <v>Derived variable</v>
      </c>
      <c r="G76" s="38" t="str">
        <f>_xlfn.CONCAT(_xlfn.XLOOKUP($A76,ncr_merged[[#All],[column_name]],ncr_merged[[#All],[comments]]," ",0),
_xlfn.XLOOKUP($A76,ncr_merged[[#All],[column_name]],ncr_merged[[#All],[validation_rule]]," ",0),
_xlfn.XLOOKUP($A76,ncr_merged[[#All],[column_name]],ncr_merged[[#All],[behaviour]]," ",0),
"from the NCR tab: ",_xlfn.XLOOKUP($A76,ncr_merged[[#All],[column_name]],ncr_merged[[#All],[source_tab]]),
" ")</f>
        <v xml:space="preserve">ecgdb = [tecgd-TBD] + [decgd-DBD]  (expressed in minutes)Derived variablefrom the NCR tab: procedure </v>
      </c>
      <c r="H76" s="38" t="str">
        <f>_xlfn.CONCAT(_xlfn.XLOOKUP($A76,ncr_merged[[#All],[column_name]],ncr_merged[[#All],[format]]," ",0))</f>
        <v>MM (mins)</v>
      </c>
      <c r="I76" s="38" t="str">
        <f>_xlfn.CONCAT(_xlfn.XLOOKUP($A76,ncr_merged[[#All],[column_name]],ncr_merged[[#All],[permitted_values]]," ",0))</f>
        <v>Numeric</v>
      </c>
      <c r="J76" s="44" t="str">
        <f>_xlfn.CONCAT(_xlfn.XLOOKUP($A76,ncr_merged[[#All],[column_name]],ncr_merged[[#All],[range_(min)]]," ",0))</f>
        <v/>
      </c>
      <c r="K76" s="44" t="str">
        <f>_xlfn.CONCAT(_xlfn.XLOOKUP($A76,ncr_merged[[#All],[column_name]],ncr_merged[[#All],[range_(max)]]," ",0))</f>
        <v/>
      </c>
      <c r="M76" s="38" t="str" cm="1">
        <f t="array" ref="M76">_xlfn.CONCAT(IFERROR(_xlfn.XLOOKUP(data_elements_bkp!A76,Table_query__5[[#All],[NCR Variable ID]],Table_query__5[[#All],[in_progress]]),""))</f>
        <v>Business Rules</v>
      </c>
    </row>
    <row r="77" spans="1:13" x14ac:dyDescent="0.2">
      <c r="A77" s="38" t="str">
        <v>inp</v>
      </c>
      <c r="B77" s="38" t="str" cm="1">
        <f t="array" ref="B77">_xlfn.XLOOKUP($A77,ncr_merged[[#All],[column_name]],ncr_merged[[#All],[label]]," ",0)</f>
        <v>Inpatient at Time of ACS</v>
      </c>
      <c r="E77" s="38" t="str">
        <f>_xlfn.CONCAT(_xlfn.XLOOKUP($A77,ncr_merged[[#All],[column_name]],ncr_merged[[#All],[question]]," ",0),_xlfn.XLOOKUP($A77,ncr_merged[[#All],[column_name]],ncr_merged[[#All],[supporting_definition]]," ",0))</f>
        <v xml:space="preserve"> -</v>
      </c>
      <c r="F77" s="38" t="str">
        <f>_xlfn.CONCAT(_xlfn.XLOOKUP($A77,ncr_merged[[#All],[column_name]],ncr_merged[[#All],[required]]," ",0),"")</f>
        <v>Derived variable</v>
      </c>
      <c r="G77" s="38" t="str">
        <f>_xlfn.CONCAT(_xlfn.XLOOKUP($A77,ncr_merged[[#All],[column_name]],ncr_merged[[#All],[comments]]," ",0),
_xlfn.XLOOKUP($A77,ncr_merged[[#All],[column_name]],ncr_merged[[#All],[validation_rule]]," ",0),
_xlfn.XLOOKUP($A77,ncr_merged[[#All],[column_name]],ncr_merged[[#All],[behaviour]]," ",0),
"from the NCR tab: ",_xlfn.XLOOKUP($A77,ncr_merged[[#All],[column_name]],ncr_merged[[#All],[source_tab]]),
" ")</f>
        <v xml:space="preserve">INP=0 if [ACS=1] &amp; [DSO &amp; TSO] &lt; [DOA &amp; TOA] 
INP=1 if [ACS=1] &amp; [DSO &amp; TSO] ≥ [DOA &amp; TOA] 
INP is null if ACS=0Derived variablefrom the NCR tab: procedure </v>
      </c>
      <c r="H77" s="38" t="str">
        <f>_xlfn.CONCAT(_xlfn.XLOOKUP($A77,ncr_merged[[#All],[column_name]],ncr_merged[[#All],[format]]," ",0))</f>
        <v>N</v>
      </c>
      <c r="I77" s="38" t="str">
        <f>_xlfn.CONCAT(_xlfn.XLOOKUP($A77,ncr_merged[[#All],[column_name]],ncr_merged[[#All],[permitted_values]]," ",0))</f>
        <v>0=No 
1=Yes</v>
      </c>
      <c r="J77" s="44" t="str">
        <f>_xlfn.CONCAT(_xlfn.XLOOKUP($A77,ncr_merged[[#All],[column_name]],ncr_merged[[#All],[range_(min)]]," ",0))</f>
        <v>0</v>
      </c>
      <c r="K77" s="44" t="str">
        <f>_xlfn.CONCAT(_xlfn.XLOOKUP($A77,ncr_merged[[#All],[column_name]],ncr_merged[[#All],[range_(max)]]," ",0))</f>
        <v>1</v>
      </c>
      <c r="M77" s="38" t="str" cm="1">
        <f t="array" ref="M77">_xlfn.CONCAT(IFERROR(_xlfn.XLOOKUP(data_elements_bkp!A77,Table_query__5[[#All],[NCR Variable ID]],Table_query__5[[#All],[in_progress]]),""))</f>
        <v xml:space="preserve">? Does this mean onset of symptoms that the patinet was an inpatient?  If so, will need a time span from date of admission to date of hospital separation?  </v>
      </c>
    </row>
    <row r="78" spans="1:13" x14ac:dyDescent="0.2">
      <c r="A78" s="38" t="str">
        <v>pci</v>
      </c>
      <c r="B78" s="38" t="str" cm="1">
        <f t="array" ref="B78">_xlfn.XLOOKUP($A78,ncr_merged[[#All],[column_name]],ncr_merged[[#All],[label]]," ",0)</f>
        <v>PCI indication</v>
      </c>
      <c r="E78" s="38" t="str">
        <f>_xlfn.CONCAT(_xlfn.XLOOKUP($A78,ncr_merged[[#All],[column_name]],ncr_merged[[#All],[question]]," ",0),_xlfn.XLOOKUP($A78,ncr_merged[[#All],[column_name]],ncr_merged[[#All],[supporting_definition]]," ",0))</f>
        <v>What was the reason for the current PCI?1= Primary PCI for STEMI &lt;12hours -  Primary PCI for patient with STEMI (or STEMI equivalent) within 12 hours of symptom onset.
2 = PCI for STEMI (12-24 hours) - PCI for patient with STEMI (or STEMI equivalent) between 12-24 hours of symptom onset.
3= Rescue PCI for STEMI (&lt;24 hours - unstable following lysis) -  Rescue PCI for STEMI (or STEMI equivalent) after a failed full-dose lysis.
4= PCI for STEMI &lt;24 hours - stable following lysis) - PCI for STEMI (or STEMI equivalent) where the patient is stable after receiving full-dose lysis.
5= PCI for STEMI (1-7 days no prior lysis)
6= PCI for STEMI (1-7 days - following lysis)
7= PCI for cardiac arrest/cardiogenic shock (Not a STEMI) - PCI performed post cardiac arrest or cardiogenic shock but without ECG or biomarker evidence of acute myocardial infarction. Note: This does not include any PCI cases for Myocardial Infarction (MI).
8= PCI for NSTEMI (&lt;7 days) - Includes patients with NSTEMI who have high risk features for short-term risk of death or nonfatal MI. High risk features includes at least one of the following:
  1. History - accelerating tempo of ischaemic symptoms in preceding 48 hours 
  2. Character of pain - prolonged ongoing (greater than 20 minutes) rest pain 
  3. Clinical findings: Pulmonary oedema, most likely due to ischemia 
  4. New or worsening mitral regurgitation murmur 
  5. S3 or new worsening crackles/crepitations 
  6. Hypotension, bradycardia, tachycardia 
  7. Age greater than 75 years 
  8. ECG: Angina at rest with transient ST-segment changes greater than 0.5 mm 
  9. Bundle-branch block, new or presumed new 
  10. Sustained ventricular tachycardia.
  11.Cardiac markers - NSTEMI patients with elevated cardiac Tn-T, Tn-l, or CK-MB.
9= PCI for unstable angina (&lt;7 days) -  Includes patients with unstable angina who have high risk features for short-term risk of death or nonfatal MI. High risk features includes at least one of the following:
  1. History - accelerating tempo of ischaemic symptoms in preceding 48 hours 
  2. Character of pain - prolonged ongoing (greater than 20 minutes) rest pain 
  3. Clinical findings: Pulmonary oedema, most likely due to ischemia 
  4. New or worsening mitral regurgitation murmur 
  5. S3 or new worsening crackles/crepitations 
  6. Hypotension, bradycardia, tachycardia 
  7. Age greater than 75 years 
  8. ECG: Angina at rest with transient ST-segment changes greater than 0.5 mm 
  9. Bundle-branch block, new or presumed new 
  10. Sustained ventricular tachycardia.
10= PCI for recent ACS (7-30 days) - Patient diagnosed with ACS symptoms more than 7 days ago (e.g. STEMI, NSTEMI or Unstable Angina) but symptoms have stabilised without repeated or recurrent events. Patient is no longer considered ‘acute’ at the time of the current PCI if symptom onset was &gt;7 days ago.
11= Staged PCI -  Any subsequent, PLANNED PCI procedure undertaken as part of a multi-vessel intervention strategy. Earlier PCIs could have been in a prior admission or during the current admission and must be within 3 months from the current PCI
12 = PCI for Angina/angina equivalent symptoms
13= PCI for No angina/angina equivalent symptoms</v>
      </c>
      <c r="F78" s="38" t="str">
        <f>_xlfn.CONCAT(_xlfn.XLOOKUP($A78,ncr_merged[[#All],[column_name]],ncr_merged[[#All],[required]]," ",0),"")</f>
        <v>Always</v>
      </c>
      <c r="G78" s="38" t="str">
        <f>_xlfn.CONCAT(_xlfn.XLOOKUP($A78,ncr_merged[[#All],[column_name]],ncr_merged[[#All],[comments]]," ",0),
_xlfn.XLOOKUP($A78,ncr_merged[[#All],[column_name]],ncr_merged[[#All],[validation_rule]]," ",0),
_xlfn.XLOOKUP($A78,ncr_merged[[#All],[column_name]],ncr_merged[[#All],[behaviour]]," ",0),
"from the NCR tab: ",_xlfn.XLOOKUP($A78,ncr_merged[[#All],[column_name]],ncr_merged[[#All],[source_tab]]),
" ")</f>
        <v xml:space="preserve">Reject file if ACS = 0 AND PCI = 1, 2, 3, 4, 5 or 6.
Reject file if ACST=3 AND PCI = 7, 8, 9, 10, 11, 12 or 13.
Reject file if ACST = 2 AND PCI does not =8
Reject file is ACST=1 AND PCI does not =9
Reject file if NULLfrom the NCR tab: procedure </v>
      </c>
      <c r="H78" s="38" t="str">
        <f>_xlfn.CONCAT(_xlfn.XLOOKUP($A78,ncr_merged[[#All],[column_name]],ncr_merged[[#All],[format]]," ",0))</f>
        <v>N</v>
      </c>
      <c r="I78" s="38" t="str">
        <f>_xlfn.CONCAT(_xlfn.XLOOKUP($A78,ncr_merged[[#All],[column_name]],ncr_merged[[#All],[permitted_values]]," ",0))</f>
        <v>1= Primary PCI for STEMI &lt;12hours
2 = PCI for STEMI (12-24 hours)
3= Rescue PCI for STEMI (&lt;24 hours - unstable following lysis)
4= PCI for STEMI &lt;24 hours - stable following lysis)
5= PCI for STEMI (1-7 days no prior lysis)
6= PCI for STEMI (1-7 days -  following lysis)
7= PCI for cardiac arrest/cardiogenic shock (Without evidence of STEMI) 
8= PCI for NSTEMI (&lt;7 days)
9= PCI for unstable angina (&lt;7 days)
10= PCI for recent ACS (7-30 days)
11= Staged PCI
12 = Angina/angina equivalent symptoms
13= No angina/angina equivalent symptoms</v>
      </c>
      <c r="J78" s="44" t="str">
        <f>_xlfn.CONCAT(_xlfn.XLOOKUP($A78,ncr_merged[[#All],[column_name]],ncr_merged[[#All],[range_(min)]]," ",0))</f>
        <v>1</v>
      </c>
      <c r="K78" s="44" t="str">
        <f>_xlfn.CONCAT(_xlfn.XLOOKUP($A78,ncr_merged[[#All],[column_name]],ncr_merged[[#All],[range_(max)]]," ",0))</f>
        <v>13</v>
      </c>
      <c r="M78" s="38" t="str" cm="1">
        <f t="array" ref="M78">_xlfn.CONCAT(IFERROR(_xlfn.XLOOKUP(data_elements_bkp!A78,Table_query__5[[#All],[NCR Variable ID]],Table_query__5[[#All],[in_progress]]),""))</f>
        <v>Needs WACOR DD defined terms for :
STEMI equivalent
lysis
failed lysis
full dose lysis
biomarker evidence
1 is derivable
8 requires 11 subfields for high risk features
8 requires 11 subfields
9 requires 10 subfields</v>
      </c>
    </row>
    <row r="79" spans="1:13" x14ac:dyDescent="0.2">
      <c r="A79" s="38" t="str">
        <v>pel</v>
      </c>
      <c r="B79" s="38" t="str" cm="1">
        <f t="array" ref="B79">_xlfn.XLOOKUP($A79,ncr_merged[[#All],[column_name]],ncr_merged[[#All],[label]]," ",0)</f>
        <v>Percutaneous entry location</v>
      </c>
      <c r="E79" s="38" t="str">
        <f>_xlfn.CONCAT(_xlfn.XLOOKUP($A79,ncr_merged[[#All],[column_name]],ncr_merged[[#All],[question]]," ",0),_xlfn.XLOOKUP($A79,ncr_merged[[#All],[column_name]],ncr_merged[[#All],[supporting_definition]]," ",0))</f>
        <v>Which entry location was used to provide access for the procedure?Indicate the percutaneous entry location used to provide arterial vascular access for the procedure. 
Note: If crossover occurred, select the percutaneous entry location that successfully facilitated the index PCI procedure.</v>
      </c>
      <c r="F79" s="38" t="str">
        <f>_xlfn.CONCAT(_xlfn.XLOOKUP($A79,ncr_merged[[#All],[column_name]],ncr_merged[[#All],[required]]," ",0),"")</f>
        <v>Always</v>
      </c>
      <c r="G79" s="38" t="str">
        <f>_xlfn.CONCAT(_xlfn.XLOOKUP($A79,ncr_merged[[#All],[column_name]],ncr_merged[[#All],[comments]]," ",0),
_xlfn.XLOOKUP($A79,ncr_merged[[#All],[column_name]],ncr_merged[[#All],[validation_rule]]," ",0),
_xlfn.XLOOKUP($A79,ncr_merged[[#All],[column_name]],ncr_merged[[#All],[behaviour]]," ",0),
"from the NCR tab: ",_xlfn.XLOOKUP($A79,ncr_merged[[#All],[column_name]],ncr_merged[[#All],[source_tab]]),
" ")</f>
        <v xml:space="preserve">Reject file if NULLfrom the NCR tab: procedure </v>
      </c>
      <c r="H79" s="38" t="str">
        <f>_xlfn.CONCAT(_xlfn.XLOOKUP($A79,ncr_merged[[#All],[column_name]],ncr_merged[[#All],[format]]," ",0))</f>
        <v>N</v>
      </c>
      <c r="I79" s="38" t="str">
        <f>_xlfn.CONCAT(_xlfn.XLOOKUP($A79,ncr_merged[[#All],[column_name]],ncr_merged[[#All],[permitted_values]]," ",0))</f>
        <v>1=Brachial
2=Radial
3=Femoral</v>
      </c>
      <c r="J79" s="44" t="str">
        <f>_xlfn.CONCAT(_xlfn.XLOOKUP($A79,ncr_merged[[#All],[column_name]],ncr_merged[[#All],[range_(min)]]," ",0))</f>
        <v>1</v>
      </c>
      <c r="K79" s="44" t="str">
        <f>_xlfn.CONCAT(_xlfn.XLOOKUP($A79,ncr_merged[[#All],[column_name]],ncr_merged[[#All],[range_(max)]]," ",0))</f>
        <v>3</v>
      </c>
      <c r="M79" s="38" t="str" cm="1">
        <f t="array" ref="M79">_xlfn.CONCAT(IFERROR(_xlfn.XLOOKUP(data_elements_bkp!A79,Table_query__5[[#All],[NCR Variable ID]],Table_query__5[[#All],[in_progress]]),""))</f>
        <v>Cardiobase - needs to be mapped (? Done already)
Dictionary to define first attempt?</v>
      </c>
    </row>
    <row r="80" spans="1:13" x14ac:dyDescent="0.2">
      <c r="A80" s="38" t="str">
        <v>pintr</v>
      </c>
      <c r="B80" s="38" t="str" cm="1">
        <f t="array" ref="B80">_xlfn.XLOOKUP($A80,ncr_merged[[#All],[column_name]],ncr_merged[[#All],[label]]," ",0)</f>
        <v>Procedural intubation required</v>
      </c>
      <c r="E80" s="38" t="str">
        <f>_xlfn.CONCAT(_xlfn.XLOOKUP($A80,ncr_merged[[#All],[column_name]],ncr_merged[[#All],[question]]," ",0),_xlfn.XLOOKUP($A80,ncr_merged[[#All],[column_name]],ncr_merged[[#All],[supporting_definition]]," ",0))</f>
        <v>Was the patient intubated during the procedure?Indicate whether the patient was intubated during the index PCI procedure.</v>
      </c>
      <c r="F80" s="38" t="str">
        <f>_xlfn.CONCAT(_xlfn.XLOOKUP($A80,ncr_merged[[#All],[column_name]],ncr_merged[[#All],[required]]," ",0),"")</f>
        <v>Always</v>
      </c>
      <c r="G80" s="38" t="str">
        <f>_xlfn.CONCAT(_xlfn.XLOOKUP($A80,ncr_merged[[#All],[column_name]],ncr_merged[[#All],[comments]]," ",0),
_xlfn.XLOOKUP($A80,ncr_merged[[#All],[column_name]],ncr_merged[[#All],[validation_rule]]," ",0),
_xlfn.XLOOKUP($A80,ncr_merged[[#All],[column_name]],ncr_merged[[#All],[behaviour]]," ",0),
"from the NCR tab: ",_xlfn.XLOOKUP($A80,ncr_merged[[#All],[column_name]],ncr_merged[[#All],[source_tab]]),
" ")</f>
        <v xml:space="preserve">Reject file if NULLfrom the NCR tab: procedure </v>
      </c>
      <c r="H80" s="38" t="str">
        <f>_xlfn.CONCAT(_xlfn.XLOOKUP($A80,ncr_merged[[#All],[column_name]],ncr_merged[[#All],[format]]," ",0))</f>
        <v>N</v>
      </c>
      <c r="I80" s="38" t="str">
        <f>_xlfn.CONCAT(_xlfn.XLOOKUP($A80,ncr_merged[[#All],[column_name]],ncr_merged[[#All],[permitted_values]]," ",0))</f>
        <v>0=No 
1=Yes</v>
      </c>
      <c r="J80" s="44" t="str">
        <f>_xlfn.CONCAT(_xlfn.XLOOKUP($A80,ncr_merged[[#All],[column_name]],ncr_merged[[#All],[range_(min)]]," ",0))</f>
        <v>0</v>
      </c>
      <c r="K80" s="44" t="str">
        <f>_xlfn.CONCAT(_xlfn.XLOOKUP($A80,ncr_merged[[#All],[column_name]],ncr_merged[[#All],[range_(max)]]," ",0))</f>
        <v>1</v>
      </c>
      <c r="M80" s="38" t="str" cm="1">
        <f t="array" ref="M80">_xlfn.CONCAT(IFERROR(_xlfn.XLOOKUP(data_elements_bkp!A80,Table_query__5[[#All],[NCR Variable ID]],Table_query__5[[#All],[in_progress]]),""))</f>
        <v>Multiple potential sources: Review HMDS for clinical coding.  Source 2 : cardiobase.</v>
      </c>
    </row>
    <row r="81" spans="1:13" x14ac:dyDescent="0.2">
      <c r="A81" s="38" t="str">
        <v>vsr</v>
      </c>
      <c r="B81" s="38" t="str" cm="1">
        <f t="array" ref="B81">_xlfn.XLOOKUP($A81,ncr_merged[[#All],[column_name]],ncr_merged[[#All],[label]]," ",0)</f>
        <v>Mechanical circulatory support</v>
      </c>
      <c r="E81" s="38" t="str">
        <f>_xlfn.CONCAT(_xlfn.XLOOKUP($A81,ncr_merged[[#All],[column_name]],ncr_merged[[#All],[question]]," ",0),_xlfn.XLOOKUP($A81,ncr_merged[[#All],[column_name]],ncr_merged[[#All],[supporting_definition]]," ",0))</f>
        <v>Was ventricular support required during the procedure?Indicate if the patient required mechanical ventricular support prior to or during the index PCI procedure. 
Note: Mechanical ventricular support includes: intra-aortic balloon pump (IABP), cardiopulmonary bypass, left ventricular assist device (LVAD), extracorporeal membrane oxygenation (ECMO), mechanical chest compression device (e.g. Lund University Cardiac Arrest System - LUCAS) and/or catheter based cardiac assist device (e.g.IMPELLA heart pump).</v>
      </c>
      <c r="F81" s="38" t="str">
        <f>_xlfn.CONCAT(_xlfn.XLOOKUP($A81,ncr_merged[[#All],[column_name]],ncr_merged[[#All],[required]]," ",0),"")</f>
        <v>Always</v>
      </c>
      <c r="G81" s="38" t="str">
        <f>_xlfn.CONCAT(_xlfn.XLOOKUP($A81,ncr_merged[[#All],[column_name]],ncr_merged[[#All],[comments]]," ",0),
_xlfn.XLOOKUP($A81,ncr_merged[[#All],[column_name]],ncr_merged[[#All],[validation_rule]]," ",0),
_xlfn.XLOOKUP($A81,ncr_merged[[#All],[column_name]],ncr_merged[[#All],[behaviour]]," ",0),
"from the NCR tab: ",_xlfn.XLOOKUP($A81,ncr_merged[[#All],[column_name]],ncr_merged[[#All],[source_tab]]),
" ")</f>
        <v xml:space="preserve">Reject file if NULLfrom the NCR tab: procedure </v>
      </c>
      <c r="H81" s="38" t="str">
        <f>_xlfn.CONCAT(_xlfn.XLOOKUP($A81,ncr_merged[[#All],[column_name]],ncr_merged[[#All],[format]]," ",0))</f>
        <v>N</v>
      </c>
      <c r="I81" s="38" t="str">
        <f>_xlfn.CONCAT(_xlfn.XLOOKUP($A81,ncr_merged[[#All],[column_name]],ncr_merged[[#All],[permitted_values]]," ",0))</f>
        <v>0=No
1=Yes</v>
      </c>
      <c r="J81" s="44" t="str">
        <f>_xlfn.CONCAT(_xlfn.XLOOKUP($A81,ncr_merged[[#All],[column_name]],ncr_merged[[#All],[range_(min)]]," ",0))</f>
        <v>0</v>
      </c>
      <c r="K81" s="44" t="str">
        <f>_xlfn.CONCAT(_xlfn.XLOOKUP($A81,ncr_merged[[#All],[column_name]],ncr_merged[[#All],[range_(max)]]," ",0))</f>
        <v>1</v>
      </c>
      <c r="M81" s="38" t="str" cm="1">
        <f t="array" ref="M81">_xlfn.CONCAT(IFERROR(_xlfn.XLOOKUP(data_elements_bkp!A81,Table_query__5[[#All],[NCR Variable ID]],Table_query__5[[#All],[in_progress]]),""))</f>
        <v>Requires 4 additional columns:
Mechanical ventilation hours in HMDS. Cardiobase.</v>
      </c>
    </row>
    <row r="82" spans="1:13" x14ac:dyDescent="0.2">
      <c r="A82" s="38" t="str">
        <v>lr1_lesion</v>
      </c>
      <c r="B82" s="38" t="str" cm="1">
        <f t="array" ref="B82">_xlfn.XLOOKUP($A82,ncr_merged[[#All],[column_name]],ncr_merged[[#All],[label]]," ",0)</f>
        <v>Lesion location</v>
      </c>
      <c r="E82" s="38" t="str">
        <f>_xlfn.CONCAT(_xlfn.XLOOKUP($A82,ncr_merged[[#All],[column_name]],ncr_merged[[#All],[question]]," ",0),_xlfn.XLOOKUP($A82,ncr_merged[[#All],[column_name]],ncr_merged[[#All],[supporting_definition]]," ",0))</f>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
1 = Left anterior descending artery (LAD) 
2 = Diaganol artery 
3 = Left circumflex (LCx) 
4 = Left main coronary artery
5 = Posterior descending artery
6 = Right coronary artery 
7 = Internal mammary graft 
8 = Radial artery graft 
9 = Saphenous vein graft 
10 = Not stated/inadequately described</v>
      </c>
      <c r="F82" s="38" t="str">
        <f>_xlfn.CONCAT(_xlfn.XLOOKUP($A82,ncr_merged[[#All],[column_name]],ncr_merged[[#All],[required]]," ",0),"")</f>
        <v>Always</v>
      </c>
      <c r="G82" s="38" t="str">
        <f>_xlfn.CONCAT(_xlfn.XLOOKUP($A82,ncr_merged[[#All],[column_name]],ncr_merged[[#All],[comments]]," ",0),
_xlfn.XLOOKUP($A82,ncr_merged[[#All],[column_name]],ncr_merged[[#All],[validation_rule]]," ",0),
_xlfn.XLOOKUP($A82,ncr_merged[[#All],[column_name]],ncr_merged[[#All],[behaviour]]," ",0),
"from the NCR tab: ",_xlfn.XLOOKUP($A82,ncr_merged[[#All],[column_name]],ncr_merged[[#All],[source_tab]]),
" ")</f>
        <v xml:space="preserve">Up to 5 lesions can be entered. Fields are coded in data extract as LR1_LESION, LR2_LESION …  LR5_LESION.Reject file if NULLfrom the NCR tab: procedure </v>
      </c>
      <c r="H82" s="38" t="str">
        <f>_xlfn.CONCAT(_xlfn.XLOOKUP($A82,ncr_merged[[#All],[column_name]],ncr_merged[[#All],[format]]," ",0))</f>
        <v>N</v>
      </c>
      <c r="I82" s="38" t="str">
        <f>_xlfn.CONCAT(_xlfn.XLOOKUP($A82,ncr_merged[[#All],[column_name]],ncr_merged[[#All],[permitted_values]]," ",0))</f>
        <v>1 = Left anterior descending artery (LAD)
2 = Diaganol artery
3 = Left circumflex (LCx)
4 = Left main coronary artery
5 = Posterior descending artery
6 = Right coronary artery 
7 = Internal mammary graft
8 = Radial artery graft
9 = Saphenous vein graft
10 = Not stated/inadequately described</v>
      </c>
      <c r="J82" s="44" t="str">
        <f>_xlfn.CONCAT(_xlfn.XLOOKUP($A82,ncr_merged[[#All],[column_name]],ncr_merged[[#All],[range_(min)]]," ",0))</f>
        <v>1</v>
      </c>
      <c r="K82" s="44" t="str">
        <f>_xlfn.CONCAT(_xlfn.XLOOKUP($A82,ncr_merged[[#All],[column_name]],ncr_merged[[#All],[range_(max)]]," ",0))</f>
        <v>10</v>
      </c>
      <c r="M82" s="38" t="str" cm="1">
        <f t="array" ref="M82">_xlfn.CONCAT(IFERROR(_xlfn.XLOOKUP(data_elements_bkp!A82,Table_query__5[[#All],[NCR Variable ID]],Table_query__5[[#All],[in_progress]]),""))</f>
        <v/>
      </c>
    </row>
    <row r="83" spans="1:13" x14ac:dyDescent="0.2">
      <c r="A83" s="38" t="str">
        <v>lr1_isr</v>
      </c>
      <c r="B83" s="38" t="str" cm="1">
        <f t="array" ref="B83">_xlfn.XLOOKUP($A83,ncr_merged[[#All],[column_name]],ncr_merged[[#All],[label]]," ",0)</f>
        <v>In-stent restenosis (ISR)</v>
      </c>
      <c r="E83" s="38" t="str">
        <f>_xlfn.CONCAT(_xlfn.XLOOKUP($A83,ncr_merged[[#All],[column_name]],ncr_merged[[#All],[question]]," ",0),_xlfn.XLOOKUP($A83,ncr_merged[[#All],[column_name]],ncr_merged[[#All],[supporting_definition]]," ",0))</f>
        <v>Does the current lesion location have a pre-existing stent implanted from a prior PCI to the same site?Indicate whether the current lesion location has had a pre-existing stent implanted from a prior PCI to the same site OR is within 5mm of the proximal or distal stent edges of a pre-existing stent from a previous PCI.</v>
      </c>
      <c r="F83" s="38" t="str">
        <f>_xlfn.CONCAT(_xlfn.XLOOKUP($A83,ncr_merged[[#All],[column_name]],ncr_merged[[#All],[required]]," ",0),"")</f>
        <v>Always</v>
      </c>
      <c r="G83" s="38" t="str">
        <f>_xlfn.CONCAT(_xlfn.XLOOKUP($A83,ncr_merged[[#All],[column_name]],ncr_merged[[#All],[comments]]," ",0),
_xlfn.XLOOKUP($A83,ncr_merged[[#All],[column_name]],ncr_merged[[#All],[validation_rule]]," ",0),
_xlfn.XLOOKUP($A83,ncr_merged[[#All],[column_name]],ncr_merged[[#All],[behaviour]]," ",0),
"from the NCR tab: ",_xlfn.XLOOKUP($A83,ncr_merged[[#All],[column_name]],ncr_merged[[#All],[source_tab]]),
" ")</f>
        <v xml:space="preserve">Up to 5 lesions can be entered. Fields coded in data extract as LR1_LESION, LR2_LESION …  LR5_LESION.Reject file if NULL
Reject file if PPCI =0 AND lr1_isr=1from the NCR tab: procedure </v>
      </c>
      <c r="H83" s="38" t="str">
        <f>_xlfn.CONCAT(_xlfn.XLOOKUP($A83,ncr_merged[[#All],[column_name]],ncr_merged[[#All],[format]]," ",0))</f>
        <v>N</v>
      </c>
      <c r="I83" s="38" t="str">
        <f>_xlfn.CONCAT(_xlfn.XLOOKUP($A83,ncr_merged[[#All],[column_name]],ncr_merged[[#All],[permitted_values]]," ",0))</f>
        <v>0=No 
1=Yes</v>
      </c>
      <c r="J83" s="44" t="str">
        <f>_xlfn.CONCAT(_xlfn.XLOOKUP($A83,ncr_merged[[#All],[column_name]],ncr_merged[[#All],[range_(min)]]," ",0))</f>
        <v>0</v>
      </c>
      <c r="K83" s="44" t="str">
        <f>_xlfn.CONCAT(_xlfn.XLOOKUP($A83,ncr_merged[[#All],[column_name]],ncr_merged[[#All],[range_(max)]]," ",0))</f>
        <v>1</v>
      </c>
      <c r="M83" s="38" t="str" cm="1">
        <f t="array" ref="M83">_xlfn.CONCAT(IFERROR(_xlfn.XLOOKUP(data_elements_bkp!A83,Table_query__5[[#All],[NCR Variable ID]],Table_query__5[[#All],[in_progress]]),""))</f>
        <v/>
      </c>
    </row>
    <row r="84" spans="1:13" x14ac:dyDescent="0.2">
      <c r="A84" s="38" t="str">
        <v>lr1_isrst</v>
      </c>
      <c r="B84" s="38" t="str" cm="1">
        <f t="array" ref="B84">_xlfn.XLOOKUP($A84,ncr_merged[[#All],[column_name]],ncr_merged[[#All],[label]]," ",0)</f>
        <v>Stent thrombosis</v>
      </c>
      <c r="E84" s="38" t="str">
        <f>_xlfn.CONCAT(_xlfn.XLOOKUP($A84,ncr_merged[[#All],[column_name]],ncr_merged[[#All],[question]]," ",0),_xlfn.XLOOKUP($A84,ncr_merged[[#All],[column_name]],ncr_merged[[#All],[supporting_definition]]," ",0))</f>
        <v>Was the current lesion treated due to the presence of a thrombus in a pre-existing stent?Indicate whether the current lesion was treated due to the presence of a thrombus in the pre-existing stent OR within 5mm of stent edges.</v>
      </c>
      <c r="F84" s="38" t="str">
        <f>_xlfn.CONCAT(_xlfn.XLOOKUP($A84,ncr_merged[[#All],[column_name]],ncr_merged[[#All],[required]]," ",0),"")</f>
        <v>Always</v>
      </c>
      <c r="G84" s="38" t="str">
        <f>_xlfn.CONCAT(_xlfn.XLOOKUP($A84,ncr_merged[[#All],[column_name]],ncr_merged[[#All],[comments]]," ",0),
_xlfn.XLOOKUP($A84,ncr_merged[[#All],[column_name]],ncr_merged[[#All],[validation_rule]]," ",0),
_xlfn.XLOOKUP($A84,ncr_merged[[#All],[column_name]],ncr_merged[[#All],[behaviour]]," ",0),
"from the NCR tab: ",_xlfn.XLOOKUP($A84,ncr_merged[[#All],[column_name]],ncr_merged[[#All],[source_tab]]),
" ")</f>
        <v xml:space="preserve">Up to 5 lesions can be entered. Fields coded in data extract as LR1_LESION, LR2_LESION …  LR5_LESION.Reject file if NULL
Reject file if PPCI=0 AND lr1_isrst=1from the NCR tab: procedure </v>
      </c>
      <c r="H84" s="38" t="str">
        <f>_xlfn.CONCAT(_xlfn.XLOOKUP($A84,ncr_merged[[#All],[column_name]],ncr_merged[[#All],[format]]," ",0))</f>
        <v>N</v>
      </c>
      <c r="I84" s="38" t="str">
        <f>_xlfn.CONCAT(_xlfn.XLOOKUP($A84,ncr_merged[[#All],[column_name]],ncr_merged[[#All],[permitted_values]]," ",0))</f>
        <v>0=No 
1=Yes</v>
      </c>
      <c r="J84" s="44" t="str">
        <f>_xlfn.CONCAT(_xlfn.XLOOKUP($A84,ncr_merged[[#All],[column_name]],ncr_merged[[#All],[range_(min)]]," ",0))</f>
        <v>0</v>
      </c>
      <c r="K84" s="44" t="str">
        <f>_xlfn.CONCAT(_xlfn.XLOOKUP($A84,ncr_merged[[#All],[column_name]],ncr_merged[[#All],[range_(max)]]," ",0))</f>
        <v>1</v>
      </c>
      <c r="M84" s="38" t="str" cm="1">
        <f t="array" ref="M84">_xlfn.CONCAT(IFERROR(_xlfn.XLOOKUP(data_elements_bkp!A84,Table_query__5[[#All],[NCR Variable ID]],Table_query__5[[#All],[in_progress]]),""))</f>
        <v/>
      </c>
    </row>
    <row r="85" spans="1:13" x14ac:dyDescent="0.2">
      <c r="A85" s="38" t="str">
        <v>lr1_lst</v>
      </c>
      <c r="B85" s="38" t="str" cm="1">
        <f t="array" ref="B85">_xlfn.XLOOKUP($A85,ncr_merged[[#All],[column_name]],ncr_merged[[#All],[label]]," ",0)</f>
        <v>Lesion successfully treated</v>
      </c>
      <c r="E85" s="38" t="str">
        <f>_xlfn.CONCAT(_xlfn.XLOOKUP($A85,ncr_merged[[#All],[column_name]],ncr_merged[[#All],[question]]," ",0),_xlfn.XLOOKUP($A85,ncr_merged[[#All],[column_name]],ncr_merged[[#All],[supporting_definition]]," ",0))</f>
        <v>Was the lesion successfully treated?Indicate whether the lesion was successfully treated. 
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v>
      </c>
      <c r="F85" s="38" t="str">
        <f>_xlfn.CONCAT(_xlfn.XLOOKUP($A85,ncr_merged[[#All],[column_name]],ncr_merged[[#All],[required]]," ",0),"")</f>
        <v>Always</v>
      </c>
      <c r="G85" s="38" t="str">
        <f>_xlfn.CONCAT(_xlfn.XLOOKUP($A85,ncr_merged[[#All],[column_name]],ncr_merged[[#All],[comments]]," ",0),
_xlfn.XLOOKUP($A85,ncr_merged[[#All],[column_name]],ncr_merged[[#All],[validation_rule]]," ",0),
_xlfn.XLOOKUP($A85,ncr_merged[[#All],[column_name]],ncr_merged[[#All],[behaviour]]," ",0),
"from the NCR tab: ",_xlfn.XLOOKUP($A85,ncr_merged[[#All],[column_name]],ncr_merged[[#All],[source_tab]]),
" ")</f>
        <v xml:space="preserve">Up to 5 lesions can be entered. Fields coded in data extract as LR1_LESION, LR2_LESION …  LR5_LESION.Reject file if NULLfrom the NCR tab: procedure </v>
      </c>
      <c r="H85" s="38" t="str">
        <f>_xlfn.CONCAT(_xlfn.XLOOKUP($A85,ncr_merged[[#All],[column_name]],ncr_merged[[#All],[format]]," ",0))</f>
        <v>N</v>
      </c>
      <c r="I85" s="38" t="str">
        <f>_xlfn.CONCAT(_xlfn.XLOOKUP($A85,ncr_merged[[#All],[column_name]],ncr_merged[[#All],[permitted_values]]," ",0))</f>
        <v>0=No 
1=Yes</v>
      </c>
      <c r="J85" s="44" t="str">
        <f>_xlfn.CONCAT(_xlfn.XLOOKUP($A85,ncr_merged[[#All],[column_name]],ncr_merged[[#All],[range_(min)]]," ",0))</f>
        <v>0</v>
      </c>
      <c r="K85" s="44" t="str">
        <f>_xlfn.CONCAT(_xlfn.XLOOKUP($A85,ncr_merged[[#All],[column_name]],ncr_merged[[#All],[range_(max)]]," ",0))</f>
        <v>1</v>
      </c>
      <c r="M85" s="38" t="str" cm="1">
        <f t="array" ref="M85">_xlfn.CONCAT(IFERROR(_xlfn.XLOOKUP(data_elements_bkp!A85,Table_query__5[[#All],[NCR Variable ID]],Table_query__5[[#All],[in_progress]]),""))</f>
        <v/>
      </c>
    </row>
    <row r="86" spans="1:13" x14ac:dyDescent="0.2">
      <c r="A86" s="38" t="str">
        <v>lr1_sit</v>
      </c>
      <c r="B86" s="38" t="str" cm="1">
        <f t="array" ref="B86">_xlfn.XLOOKUP($A86,ncr_merged[[#All],[column_name]],ncr_merged[[#All],[label]]," ",0)</f>
        <v>Type of stent(s) implanted</v>
      </c>
      <c r="E86" s="38" t="str">
        <f>_xlfn.CONCAT(_xlfn.XLOOKUP($A86,ncr_merged[[#All],[column_name]],ncr_merged[[#All],[question]]," ",0),_xlfn.XLOOKUP($A86,ncr_merged[[#All],[column_name]],ncr_merged[[#All],[supporting_definition]]," ",0))</f>
        <v>What type of stent/balloon was used?Select ONE of the following options:
- Bare metal stents (BMS): Where one or more bare metal coronary stent(s) were implanted in the current lesion (and no other type of stent/scaffold was implanted).
- Drug eluting stents (DES): Where one or more drug eluting coronary stent(s) were implanted in the current lesion (and no other type of stent was implanted).
- Mixed stents (combined BMS &amp; DES): Where at least one BMS and at least one DES were implanted in the current lesion. 
- Bioresorbable stent(s) (BRS):Where one or more bioresorbable coronary stent(s) were implanted in the current lesion (and no other type of stent/scaffold was implanted).
-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
- POBA (Plain Balloon Angioplasty): Where the only treatment for this lesion was balloon inflation to recanalise coronary arteries; this includes both balloons/catheters  coated in a drug (e.g. paclitaxel, etc.) or NOT coated with any drug. 
- No Stent/No Balloon</v>
      </c>
      <c r="F86" s="38" t="str">
        <f>_xlfn.CONCAT(_xlfn.XLOOKUP($A86,ncr_merged[[#All],[column_name]],ncr_merged[[#All],[required]]," ",0),"")</f>
        <v>Always</v>
      </c>
      <c r="G86" s="38" t="str">
        <f>_xlfn.CONCAT(_xlfn.XLOOKUP($A86,ncr_merged[[#All],[column_name]],ncr_merged[[#All],[comments]]," ",0),
_xlfn.XLOOKUP($A86,ncr_merged[[#All],[column_name]],ncr_merged[[#All],[validation_rule]]," ",0),
_xlfn.XLOOKUP($A86,ncr_merged[[#All],[column_name]],ncr_merged[[#All],[behaviour]]," ",0),
"from the NCR tab: ",_xlfn.XLOOKUP($A86,ncr_merged[[#All],[column_name]],ncr_merged[[#All],[source_tab]]),
" ")</f>
        <v xml:space="preserve">Up to 5 lesions can be entered. Fields coded in data extract as LR1_LESION, LR2_LESION …  LR5_LESION.Reject file if NULLfrom the NCR tab: procedure </v>
      </c>
      <c r="H86" s="38" t="str">
        <f>_xlfn.CONCAT(_xlfn.XLOOKUP($A86,ncr_merged[[#All],[column_name]],ncr_merged[[#All],[format]]," ",0))</f>
        <v>N</v>
      </c>
      <c r="I86" s="38" t="str">
        <f>_xlfn.CONCAT(_xlfn.XLOOKUP($A86,ncr_merged[[#All],[column_name]],ncr_merged[[#All],[permitted_values]]," ",0))</f>
        <v>1=Bare metal stent(s) only (BMS)
2=Drug-eluting stent(s) (DES)
3=Mixed stent(s) (combined BMS &amp; DES)
4=Bioresorbable stent(s) (BRS)
5=Other stents/scaffolds 
6 = POBA (Plain Balloon Angioplasty)
7= No Stent / No Balloon</v>
      </c>
      <c r="J86" s="44" t="str">
        <f>_xlfn.CONCAT(_xlfn.XLOOKUP($A86,ncr_merged[[#All],[column_name]],ncr_merged[[#All],[range_(min)]]," ",0))</f>
        <v>1</v>
      </c>
      <c r="K86" s="44" t="str">
        <f>_xlfn.CONCAT(_xlfn.XLOOKUP($A86,ncr_merged[[#All],[column_name]],ncr_merged[[#All],[range_(max)]]," ",0))</f>
        <v>7</v>
      </c>
      <c r="M86" s="38" t="str" cm="1">
        <f t="array" ref="M86">_xlfn.CONCAT(IFERROR(_xlfn.XLOOKUP(data_elements_bkp!A86,Table_query__5[[#All],[NCR Variable ID]],Table_query__5[[#All],[in_progress]]),""))</f>
        <v/>
      </c>
    </row>
    <row r="87" spans="1:13" x14ac:dyDescent="0.2">
      <c r="A87" s="38" t="str">
        <v>lr2_lesion</v>
      </c>
      <c r="B87" s="38" t="str" cm="1">
        <f t="array" ref="B87">_xlfn.XLOOKUP($A87,ncr_merged[[#All],[column_name]],ncr_merged[[#All],[label]]," ",0)</f>
        <v>Lesion location</v>
      </c>
      <c r="E87" s="38" t="str">
        <f>_xlfn.CONCAT(_xlfn.XLOOKUP($A87,ncr_merged[[#All],[column_name]],ncr_merged[[#All],[question]]," ",0),_xlfn.XLOOKUP($A87,ncr_merged[[#All],[column_name]],ncr_merged[[#All],[supporting_definition]]," ",0))</f>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
1 = Left anterior descending artery (LAD) 
2 = Diaganol artery 
3 = Left circumflex (LCx) 
4 = Left main coronary artery
5 = Posterior descending artery
6 = Right coronary artery 
7 = Internal mammary graft 
8 = Radial artery graft 
9 = Saphenous vein graft 
10 = Not stated/inadequately described</v>
      </c>
      <c r="F87" s="38" t="str">
        <f>_xlfn.CONCAT(_xlfn.XLOOKUP($A87,ncr_merged[[#All],[column_name]],ncr_merged[[#All],[required]]," ",0),"")</f>
        <v>Always</v>
      </c>
      <c r="G87" s="38" t="str">
        <f>_xlfn.CONCAT(_xlfn.XLOOKUP($A87,ncr_merged[[#All],[column_name]],ncr_merged[[#All],[comments]]," ",0),
_xlfn.XLOOKUP($A87,ncr_merged[[#All],[column_name]],ncr_merged[[#All],[validation_rule]]," ",0),
_xlfn.XLOOKUP($A87,ncr_merged[[#All],[column_name]],ncr_merged[[#All],[behaviour]]," ",0),
"from the NCR tab: ",_xlfn.XLOOKUP($A87,ncr_merged[[#All],[column_name]],ncr_merged[[#All],[source_tab]]),
" ")</f>
        <v xml:space="preserve">Up to 5 lesions can be entered. Fields are coded in data extract as LR1_LESION, LR2_LESION …  LR5_LESION.from the NCR tab: procedure </v>
      </c>
      <c r="H87" s="38" t="str">
        <f>_xlfn.CONCAT(_xlfn.XLOOKUP($A87,ncr_merged[[#All],[column_name]],ncr_merged[[#All],[format]]," ",0))</f>
        <v>N</v>
      </c>
      <c r="I87" s="38" t="str">
        <f>_xlfn.CONCAT(_xlfn.XLOOKUP($A87,ncr_merged[[#All],[column_name]],ncr_merged[[#All],[permitted_values]]," ",0))</f>
        <v>1 = Left anterior descending artery (LAD)
2 = Diaganol artery
3 = Left circumflex (LCx)
4 = Left main coronary artery
5 = Posterior descending artery
6 = Right coronary artery 
7 = Internal mammary graft
8 = Radial artery graft
9 = Saphenous vein graft
10 = Not stated/inadequately described
NULL</v>
      </c>
      <c r="J87" s="44" t="str">
        <f>_xlfn.CONCAT(_xlfn.XLOOKUP($A87,ncr_merged[[#All],[column_name]],ncr_merged[[#All],[range_(min)]]," ",0))</f>
        <v>1</v>
      </c>
      <c r="K87" s="44" t="str">
        <f>_xlfn.CONCAT(_xlfn.XLOOKUP($A87,ncr_merged[[#All],[column_name]],ncr_merged[[#All],[range_(max)]]," ",0))</f>
        <v>10</v>
      </c>
      <c r="M87" s="38" t="str" cm="1">
        <f t="array" ref="M87">_xlfn.CONCAT(IFERROR(_xlfn.XLOOKUP(data_elements_bkp!A87,Table_query__5[[#All],[NCR Variable ID]],Table_query__5[[#All],[in_progress]]),""))</f>
        <v/>
      </c>
    </row>
    <row r="88" spans="1:13" x14ac:dyDescent="0.2">
      <c r="A88" s="38" t="str">
        <v>lr2_isr</v>
      </c>
      <c r="B88" s="38" t="str" cm="1">
        <f t="array" ref="B88">_xlfn.XLOOKUP($A88,ncr_merged[[#All],[column_name]],ncr_merged[[#All],[label]]," ",0)</f>
        <v>In-stent restenosis (ISR)</v>
      </c>
      <c r="E88" s="38" t="str">
        <f>_xlfn.CONCAT(_xlfn.XLOOKUP($A88,ncr_merged[[#All],[column_name]],ncr_merged[[#All],[question]]," ",0),_xlfn.XLOOKUP($A88,ncr_merged[[#All],[column_name]],ncr_merged[[#All],[supporting_definition]]," ",0))</f>
        <v>Does the current lesion location have a pre-existing stent implanted from a prior PCI to the same site?Indicate whether the current lesion location has had a pre-existing stent implanted from a prior PCI to the same site OR is within 5mm of the proximal or distal stent edges of a pre-existing stent from a previous PCI.</v>
      </c>
      <c r="F88" s="38" t="str">
        <f>_xlfn.CONCAT(_xlfn.XLOOKUP($A88,ncr_merged[[#All],[column_name]],ncr_merged[[#All],[required]]," ",0),"")</f>
        <v>Always</v>
      </c>
      <c r="G88" s="38" t="str">
        <f>_xlfn.CONCAT(_xlfn.XLOOKUP($A88,ncr_merged[[#All],[column_name]],ncr_merged[[#All],[comments]]," ",0),
_xlfn.XLOOKUP($A88,ncr_merged[[#All],[column_name]],ncr_merged[[#All],[validation_rule]]," ",0),
_xlfn.XLOOKUP($A88,ncr_merged[[#All],[column_name]],ncr_merged[[#All],[behaviour]]," ",0),
"from the NCR tab: ",_xlfn.XLOOKUP($A88,ncr_merged[[#All],[column_name]],ncr_merged[[#All],[source_tab]]),
" ")</f>
        <v xml:space="preserve">Up to 5 lesions can be entered. Fields coded in data extract as LR1_LESION, LR2_LESION …  LR5_LESION.Reject file if NULL and lr2_lesion has data
Reject file if PPCI =0 AND lr2_isr=1
Reject file if lr2_isr has data and lr2_lesion=Nullfrom the NCR tab: procedure </v>
      </c>
      <c r="H88" s="38" t="str">
        <f>_xlfn.CONCAT(_xlfn.XLOOKUP($A88,ncr_merged[[#All],[column_name]],ncr_merged[[#All],[format]]," ",0))</f>
        <v>N</v>
      </c>
      <c r="I88" s="38" t="str">
        <f>_xlfn.CONCAT(_xlfn.XLOOKUP($A88,ncr_merged[[#All],[column_name]],ncr_merged[[#All],[permitted_values]]," ",0))</f>
        <v>0=No 
1=Yes</v>
      </c>
      <c r="J88" s="44" t="str">
        <f>_xlfn.CONCAT(_xlfn.XLOOKUP($A88,ncr_merged[[#All],[column_name]],ncr_merged[[#All],[range_(min)]]," ",0))</f>
        <v>0</v>
      </c>
      <c r="K88" s="44" t="str">
        <f>_xlfn.CONCAT(_xlfn.XLOOKUP($A88,ncr_merged[[#All],[column_name]],ncr_merged[[#All],[range_(max)]]," ",0))</f>
        <v>1</v>
      </c>
      <c r="M88" s="38" t="str" cm="1">
        <f t="array" ref="M88">_xlfn.CONCAT(IFERROR(_xlfn.XLOOKUP(data_elements_bkp!A88,Table_query__5[[#All],[NCR Variable ID]],Table_query__5[[#All],[in_progress]]),""))</f>
        <v/>
      </c>
    </row>
    <row r="89" spans="1:13" x14ac:dyDescent="0.2">
      <c r="A89" s="38" t="str">
        <v>lr2_isrst</v>
      </c>
      <c r="B89" s="38" t="str" cm="1">
        <f t="array" ref="B89">_xlfn.XLOOKUP($A89,ncr_merged[[#All],[column_name]],ncr_merged[[#All],[label]]," ",0)</f>
        <v>Stent thrombosis</v>
      </c>
      <c r="E89" s="38" t="str">
        <f>_xlfn.CONCAT(_xlfn.XLOOKUP($A89,ncr_merged[[#All],[column_name]],ncr_merged[[#All],[question]]," ",0),_xlfn.XLOOKUP($A89,ncr_merged[[#All],[column_name]],ncr_merged[[#All],[supporting_definition]]," ",0))</f>
        <v>Was the current lesion treated due to the presence of a thrombus in a pre-existing stent?Indicate whether the current lesion was treated due to the presence of a thrombus in the pre-existing stent OR within 5mm of stent edges.</v>
      </c>
      <c r="F89" s="38" t="str">
        <f>_xlfn.CONCAT(_xlfn.XLOOKUP($A89,ncr_merged[[#All],[column_name]],ncr_merged[[#All],[required]]," ",0),"")</f>
        <v>Always</v>
      </c>
      <c r="G89" s="38" t="str">
        <f>_xlfn.CONCAT(_xlfn.XLOOKUP($A89,ncr_merged[[#All],[column_name]],ncr_merged[[#All],[comments]]," ",0),
_xlfn.XLOOKUP($A89,ncr_merged[[#All],[column_name]],ncr_merged[[#All],[validation_rule]]," ",0),
_xlfn.XLOOKUP($A89,ncr_merged[[#All],[column_name]],ncr_merged[[#All],[behaviour]]," ",0),
"from the NCR tab: ",_xlfn.XLOOKUP($A89,ncr_merged[[#All],[column_name]],ncr_merged[[#All],[source_tab]]),
" ")</f>
        <v xml:space="preserve">Up to 5 lesions can be entered. Fields coded in data extract as LR1_LESION, LR2_LESION …  LR5_LESION.Reject file if NULL and lr2_lesion has data
Reject file if PPCI=0 AND lr2_isrst=1from the NCR tab: procedure </v>
      </c>
      <c r="H89" s="38" t="str">
        <f>_xlfn.CONCAT(_xlfn.XLOOKUP($A89,ncr_merged[[#All],[column_name]],ncr_merged[[#All],[format]]," ",0))</f>
        <v>N</v>
      </c>
      <c r="I89" s="38" t="str">
        <f>_xlfn.CONCAT(_xlfn.XLOOKUP($A89,ncr_merged[[#All],[column_name]],ncr_merged[[#All],[permitted_values]]," ",0))</f>
        <v>0=No 
1=Yes</v>
      </c>
      <c r="J89" s="44" t="str">
        <f>_xlfn.CONCAT(_xlfn.XLOOKUP($A89,ncr_merged[[#All],[column_name]],ncr_merged[[#All],[range_(min)]]," ",0))</f>
        <v>0</v>
      </c>
      <c r="K89" s="44" t="str">
        <f>_xlfn.CONCAT(_xlfn.XLOOKUP($A89,ncr_merged[[#All],[column_name]],ncr_merged[[#All],[range_(max)]]," ",0))</f>
        <v>1</v>
      </c>
      <c r="M89" s="38" t="str" cm="1">
        <f t="array" ref="M89">_xlfn.CONCAT(IFERROR(_xlfn.XLOOKUP(data_elements_bkp!A89,Table_query__5[[#All],[NCR Variable ID]],Table_query__5[[#All],[in_progress]]),""))</f>
        <v/>
      </c>
    </row>
    <row r="90" spans="1:13" x14ac:dyDescent="0.2">
      <c r="A90" s="38" t="str">
        <v>lr2_lst</v>
      </c>
      <c r="B90" s="38" t="str" cm="1">
        <f t="array" ref="B90">_xlfn.XLOOKUP($A90,ncr_merged[[#All],[column_name]],ncr_merged[[#All],[label]]," ",0)</f>
        <v>Lesion successfully treated</v>
      </c>
      <c r="E90" s="38" t="str">
        <f>_xlfn.CONCAT(_xlfn.XLOOKUP($A90,ncr_merged[[#All],[column_name]],ncr_merged[[#All],[question]]," ",0),_xlfn.XLOOKUP($A90,ncr_merged[[#All],[column_name]],ncr_merged[[#All],[supporting_definition]]," ",0))</f>
        <v>Was the lesion successfully treated?Indicate whether the lesion was successfully treated. 
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v>
      </c>
      <c r="F90" s="38" t="str">
        <f>_xlfn.CONCAT(_xlfn.XLOOKUP($A90,ncr_merged[[#All],[column_name]],ncr_merged[[#All],[required]]," ",0),"")</f>
        <v>Always</v>
      </c>
      <c r="G90" s="38" t="str">
        <f>_xlfn.CONCAT(_xlfn.XLOOKUP($A90,ncr_merged[[#All],[column_name]],ncr_merged[[#All],[comments]]," ",0),
_xlfn.XLOOKUP($A90,ncr_merged[[#All],[column_name]],ncr_merged[[#All],[validation_rule]]," ",0),
_xlfn.XLOOKUP($A90,ncr_merged[[#All],[column_name]],ncr_merged[[#All],[behaviour]]," ",0),
"from the NCR tab: ",_xlfn.XLOOKUP($A90,ncr_merged[[#All],[column_name]],ncr_merged[[#All],[source_tab]]),
" ")</f>
        <v xml:space="preserve">Up to 5 lesions can be entered. Fields coded in data extract as LR1_LESION, LR2_LESION …  LR5_LESION.Reject file if NULL and lr2_lesion has datafrom the NCR tab: procedure </v>
      </c>
      <c r="H90" s="38" t="str">
        <f>_xlfn.CONCAT(_xlfn.XLOOKUP($A90,ncr_merged[[#All],[column_name]],ncr_merged[[#All],[format]]," ",0))</f>
        <v>N</v>
      </c>
      <c r="I90" s="38" t="str">
        <f>_xlfn.CONCAT(_xlfn.XLOOKUP($A90,ncr_merged[[#All],[column_name]],ncr_merged[[#All],[permitted_values]]," ",0))</f>
        <v>0=No 
1=Yes</v>
      </c>
      <c r="J90" s="44" t="str">
        <f>_xlfn.CONCAT(_xlfn.XLOOKUP($A90,ncr_merged[[#All],[column_name]],ncr_merged[[#All],[range_(min)]]," ",0))</f>
        <v>0</v>
      </c>
      <c r="K90" s="44" t="str">
        <f>_xlfn.CONCAT(_xlfn.XLOOKUP($A90,ncr_merged[[#All],[column_name]],ncr_merged[[#All],[range_(max)]]," ",0))</f>
        <v>1</v>
      </c>
      <c r="M90" s="38" t="str" cm="1">
        <f t="array" ref="M90">_xlfn.CONCAT(IFERROR(_xlfn.XLOOKUP(data_elements_bkp!A90,Table_query__5[[#All],[NCR Variable ID]],Table_query__5[[#All],[in_progress]]),""))</f>
        <v/>
      </c>
    </row>
    <row r="91" spans="1:13" x14ac:dyDescent="0.2">
      <c r="A91" s="38" t="str">
        <v>lr2_sit</v>
      </c>
      <c r="B91" s="38" t="str" cm="1">
        <f t="array" ref="B91">_xlfn.XLOOKUP($A91,ncr_merged[[#All],[column_name]],ncr_merged[[#All],[label]]," ",0)</f>
        <v>Type of stent(s) implanted</v>
      </c>
      <c r="E91" s="38" t="str">
        <f>_xlfn.CONCAT(_xlfn.XLOOKUP($A91,ncr_merged[[#All],[column_name]],ncr_merged[[#All],[question]]," ",0),_xlfn.XLOOKUP($A91,ncr_merged[[#All],[column_name]],ncr_merged[[#All],[supporting_definition]]," ",0))</f>
        <v>What type of stent/balloon was used?Select ONE of the following options:
- Bare metal stents (BMS): Where one or more bare metal coronary stent(s) were implanted in the current lesion (and no other type of stent/scaffold was implanted).
- Drug eluting stents (DES): Where one or more drug eluting coronary stent(s) were implanted in the current lesion (and no other type of stent was implanted).
- Mixed stents (combined BMS &amp; DES): Where at least one BMS and at least one DES were implanted in the current lesion. 
- Bioresorbable stent(s) (BRS):Where one or more bioresorbable coronary stent(s) were implanted in the current lesion (and no other type of stent/scaffold was implanted).
-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
- POBA (Plain Balloon Angioplasty): Where the only treatment for this lesion was balloon inflation to recanalise coronary arteries; this includes both balloons/catheters  coated in a drug (e.g. paclitaxel, etc.) or NOT coated with any drug. 
- No Stent/No Balloon</v>
      </c>
      <c r="F91" s="38" t="str">
        <f>_xlfn.CONCAT(_xlfn.XLOOKUP($A91,ncr_merged[[#All],[column_name]],ncr_merged[[#All],[required]]," ",0),"")</f>
        <v>Always</v>
      </c>
      <c r="G91" s="38" t="str">
        <f>_xlfn.CONCAT(_xlfn.XLOOKUP($A91,ncr_merged[[#All],[column_name]],ncr_merged[[#All],[comments]]," ",0),
_xlfn.XLOOKUP($A91,ncr_merged[[#All],[column_name]],ncr_merged[[#All],[validation_rule]]," ",0),
_xlfn.XLOOKUP($A91,ncr_merged[[#All],[column_name]],ncr_merged[[#All],[behaviour]]," ",0),
"from the NCR tab: ",_xlfn.XLOOKUP($A91,ncr_merged[[#All],[column_name]],ncr_merged[[#All],[source_tab]]),
" ")</f>
        <v xml:space="preserve">Up to 5 lesions can be entered. Fields coded in data extract as LR1_LESION, LR2_LESION …  LR5_LESION.Reject file if NULL and lr2_lesion has datafrom the NCR tab: procedure </v>
      </c>
      <c r="H91" s="38" t="str">
        <f>_xlfn.CONCAT(_xlfn.XLOOKUP($A91,ncr_merged[[#All],[column_name]],ncr_merged[[#All],[format]]," ",0))</f>
        <v>N</v>
      </c>
      <c r="I91" s="38" t="str">
        <f>_xlfn.CONCAT(_xlfn.XLOOKUP($A91,ncr_merged[[#All],[column_name]],ncr_merged[[#All],[permitted_values]]," ",0))</f>
        <v>1=Bare metal stent(s) only (BMS)
2=Drug-eluting stent(s) (DES)
3=Mixed stent(s) (combined BMS &amp; DES)
4=Bioresorbable stent(s) (BRS)
5=Other stents/scaffolds 
6 = POBA (Plain Balloon Angioplasty)
7= No Stent / No Balloon</v>
      </c>
      <c r="J91" s="44" t="str">
        <f>_xlfn.CONCAT(_xlfn.XLOOKUP($A91,ncr_merged[[#All],[column_name]],ncr_merged[[#All],[range_(min)]]," ",0))</f>
        <v>1</v>
      </c>
      <c r="K91" s="44" t="str">
        <f>_xlfn.CONCAT(_xlfn.XLOOKUP($A91,ncr_merged[[#All],[column_name]],ncr_merged[[#All],[range_(max)]]," ",0))</f>
        <v>7</v>
      </c>
      <c r="M91" s="38" t="str" cm="1">
        <f t="array" ref="M91">_xlfn.CONCAT(IFERROR(_xlfn.XLOOKUP(data_elements_bkp!A91,Table_query__5[[#All],[NCR Variable ID]],Table_query__5[[#All],[in_progress]]),""))</f>
        <v/>
      </c>
    </row>
    <row r="92" spans="1:13" x14ac:dyDescent="0.2">
      <c r="A92" s="38" t="str">
        <v>lr3_lesion</v>
      </c>
      <c r="B92" s="38" t="str" cm="1">
        <f t="array" ref="B92">_xlfn.XLOOKUP($A92,ncr_merged[[#All],[column_name]],ncr_merged[[#All],[label]]," ",0)</f>
        <v>Lesion location</v>
      </c>
      <c r="E92" s="38" t="str">
        <f>_xlfn.CONCAT(_xlfn.XLOOKUP($A92,ncr_merged[[#All],[column_name]],ncr_merged[[#All],[question]]," ",0),_xlfn.XLOOKUP($A92,ncr_merged[[#All],[column_name]],ncr_merged[[#All],[supporting_definition]]," ",0))</f>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
1 = Left anterior descending artery (LAD) 
2 = Diaganol artery 
3 = Left circumflex (LCx) 
4 = Left main coronary artery
5 = Posterior descending artery
6 = Right coronary artery 
7 = Internal mammary graft 
8 = Radial artery graft 
9 = Saphenous vein graft 
10 = Not stated/inadequately described</v>
      </c>
      <c r="F92" s="38" t="str">
        <f>_xlfn.CONCAT(_xlfn.XLOOKUP($A92,ncr_merged[[#All],[column_name]],ncr_merged[[#All],[required]]," ",0),"")</f>
        <v>Always</v>
      </c>
      <c r="G92" s="38" t="str">
        <f>_xlfn.CONCAT(_xlfn.XLOOKUP($A92,ncr_merged[[#All],[column_name]],ncr_merged[[#All],[comments]]," ",0),
_xlfn.XLOOKUP($A92,ncr_merged[[#All],[column_name]],ncr_merged[[#All],[validation_rule]]," ",0),
_xlfn.XLOOKUP($A92,ncr_merged[[#All],[column_name]],ncr_merged[[#All],[behaviour]]," ",0),
"from the NCR tab: ",_xlfn.XLOOKUP($A92,ncr_merged[[#All],[column_name]],ncr_merged[[#All],[source_tab]]),
" ")</f>
        <v xml:space="preserve">Up to 5 lesions can be entered. Fields are coded in data extract as LR1_LESION, LR2_LESION …  LR5_LESION.from the NCR tab: procedure </v>
      </c>
      <c r="H92" s="38" t="str">
        <f>_xlfn.CONCAT(_xlfn.XLOOKUP($A92,ncr_merged[[#All],[column_name]],ncr_merged[[#All],[format]]," ",0))</f>
        <v>N</v>
      </c>
      <c r="I92" s="38" t="str">
        <f>_xlfn.CONCAT(_xlfn.XLOOKUP($A92,ncr_merged[[#All],[column_name]],ncr_merged[[#All],[permitted_values]]," ",0))</f>
        <v>1 = Left anterior descending artery (LAD)
2 = Diaganol artery
3 = Left circumflex (LCx)
4 = Left main coronary artery
5 = Posterior descending artery
6 = Right coronary artery 
7 = Internal mammary graft
8 = Radial artery graft
9 = Saphenous vein graft
10 = Not stated/inadequately described
NULL</v>
      </c>
      <c r="J92" s="44" t="str">
        <f>_xlfn.CONCAT(_xlfn.XLOOKUP($A92,ncr_merged[[#All],[column_name]],ncr_merged[[#All],[range_(min)]]," ",0))</f>
        <v>1</v>
      </c>
      <c r="K92" s="44" t="str">
        <f>_xlfn.CONCAT(_xlfn.XLOOKUP($A92,ncr_merged[[#All],[column_name]],ncr_merged[[#All],[range_(max)]]," ",0))</f>
        <v>10</v>
      </c>
      <c r="M92" s="38" t="str" cm="1">
        <f t="array" ref="M92">_xlfn.CONCAT(IFERROR(_xlfn.XLOOKUP(data_elements_bkp!A92,Table_query__5[[#All],[NCR Variable ID]],Table_query__5[[#All],[in_progress]]),""))</f>
        <v/>
      </c>
    </row>
    <row r="93" spans="1:13" x14ac:dyDescent="0.2">
      <c r="A93" s="38" t="str">
        <v>lr3_isr</v>
      </c>
      <c r="B93" s="38" t="str" cm="1">
        <f t="array" ref="B93">_xlfn.XLOOKUP($A93,ncr_merged[[#All],[column_name]],ncr_merged[[#All],[label]]," ",0)</f>
        <v>In-stent restenosis (ISR)</v>
      </c>
      <c r="E93" s="38" t="str">
        <f>_xlfn.CONCAT(_xlfn.XLOOKUP($A93,ncr_merged[[#All],[column_name]],ncr_merged[[#All],[question]]," ",0),_xlfn.XLOOKUP($A93,ncr_merged[[#All],[column_name]],ncr_merged[[#All],[supporting_definition]]," ",0))</f>
        <v>Does the current lesion location have a pre-existing stent implanted from a prior PCI to the same site?Indicate whether the current lesion location has had a pre-existing stent implanted from a prior PCI to the same site OR is within 5mm of the proximal or distal stent edges of a pre-existing stent from a previous PCI.</v>
      </c>
      <c r="F93" s="38" t="str">
        <f>_xlfn.CONCAT(_xlfn.XLOOKUP($A93,ncr_merged[[#All],[column_name]],ncr_merged[[#All],[required]]," ",0),"")</f>
        <v>Always</v>
      </c>
      <c r="G93" s="38" t="str">
        <f>_xlfn.CONCAT(_xlfn.XLOOKUP($A93,ncr_merged[[#All],[column_name]],ncr_merged[[#All],[comments]]," ",0),
_xlfn.XLOOKUP($A93,ncr_merged[[#All],[column_name]],ncr_merged[[#All],[validation_rule]]," ",0),
_xlfn.XLOOKUP($A93,ncr_merged[[#All],[column_name]],ncr_merged[[#All],[behaviour]]," ",0),
"from the NCR tab: ",_xlfn.XLOOKUP($A93,ncr_merged[[#All],[column_name]],ncr_merged[[#All],[source_tab]]),
" ")</f>
        <v xml:space="preserve">Up to 5 lesions can be entered. Fields coded in data extract as LR1_LESION, LR2_LESION …  LR5_LESION.Reject file if NULL and lr3_lesion has data
Reject file if PPCI =0 AND lr3_isr=1
Reject file if lr3_isr has data and lr3_lesion=Nullfrom the NCR tab: procedure </v>
      </c>
      <c r="H93" s="38" t="str">
        <f>_xlfn.CONCAT(_xlfn.XLOOKUP($A93,ncr_merged[[#All],[column_name]],ncr_merged[[#All],[format]]," ",0))</f>
        <v>N</v>
      </c>
      <c r="I93" s="38" t="str">
        <f>_xlfn.CONCAT(_xlfn.XLOOKUP($A93,ncr_merged[[#All],[column_name]],ncr_merged[[#All],[permitted_values]]," ",0))</f>
        <v>0=No 
1=Yes</v>
      </c>
      <c r="J93" s="44" t="str">
        <f>_xlfn.CONCAT(_xlfn.XLOOKUP($A93,ncr_merged[[#All],[column_name]],ncr_merged[[#All],[range_(min)]]," ",0))</f>
        <v>0</v>
      </c>
      <c r="K93" s="44" t="str">
        <f>_xlfn.CONCAT(_xlfn.XLOOKUP($A93,ncr_merged[[#All],[column_name]],ncr_merged[[#All],[range_(max)]]," ",0))</f>
        <v>1</v>
      </c>
      <c r="M93" s="38" t="str" cm="1">
        <f t="array" ref="M93">_xlfn.CONCAT(IFERROR(_xlfn.XLOOKUP(data_elements_bkp!A93,Table_query__5[[#All],[NCR Variable ID]],Table_query__5[[#All],[in_progress]]),""))</f>
        <v/>
      </c>
    </row>
    <row r="94" spans="1:13" x14ac:dyDescent="0.2">
      <c r="A94" s="38" t="str">
        <v>lr3_isrst</v>
      </c>
      <c r="B94" s="38" t="str" cm="1">
        <f t="array" ref="B94">_xlfn.XLOOKUP($A94,ncr_merged[[#All],[column_name]],ncr_merged[[#All],[label]]," ",0)</f>
        <v>Stent thrombosis</v>
      </c>
      <c r="E94" s="38" t="str">
        <f>_xlfn.CONCAT(_xlfn.XLOOKUP($A94,ncr_merged[[#All],[column_name]],ncr_merged[[#All],[question]]," ",0),_xlfn.XLOOKUP($A94,ncr_merged[[#All],[column_name]],ncr_merged[[#All],[supporting_definition]]," ",0))</f>
        <v>Was the current lesion treated due to the presence of a thrombus in a pre-existing stent?Indicate whether the current lesion was treated due to the presence of a thrombus in the pre-existing stent OR within 5mm of stent edges.</v>
      </c>
      <c r="F94" s="38" t="str">
        <f>_xlfn.CONCAT(_xlfn.XLOOKUP($A94,ncr_merged[[#All],[column_name]],ncr_merged[[#All],[required]]," ",0),"")</f>
        <v>Always</v>
      </c>
      <c r="G94" s="38" t="str">
        <f>_xlfn.CONCAT(_xlfn.XLOOKUP($A94,ncr_merged[[#All],[column_name]],ncr_merged[[#All],[comments]]," ",0),
_xlfn.XLOOKUP($A94,ncr_merged[[#All],[column_name]],ncr_merged[[#All],[validation_rule]]," ",0),
_xlfn.XLOOKUP($A94,ncr_merged[[#All],[column_name]],ncr_merged[[#All],[behaviour]]," ",0),
"from the NCR tab: ",_xlfn.XLOOKUP($A94,ncr_merged[[#All],[column_name]],ncr_merged[[#All],[source_tab]]),
" ")</f>
        <v xml:space="preserve">Up to 5 lesions can be entered. Fields coded in data extract as LR1_LESION, LR2_LESION …  LR5_LESION.Reject file if NULL and lr3_lesion has data
Reject file if PPCI=0 AND lr3_isrst=1from the NCR tab: procedure </v>
      </c>
      <c r="H94" s="38" t="str">
        <f>_xlfn.CONCAT(_xlfn.XLOOKUP($A94,ncr_merged[[#All],[column_name]],ncr_merged[[#All],[format]]," ",0))</f>
        <v>N</v>
      </c>
      <c r="I94" s="38" t="str">
        <f>_xlfn.CONCAT(_xlfn.XLOOKUP($A94,ncr_merged[[#All],[column_name]],ncr_merged[[#All],[permitted_values]]," ",0))</f>
        <v>0=No 
1=Yes</v>
      </c>
      <c r="J94" s="44" t="str">
        <f>_xlfn.CONCAT(_xlfn.XLOOKUP($A94,ncr_merged[[#All],[column_name]],ncr_merged[[#All],[range_(min)]]," ",0))</f>
        <v>0</v>
      </c>
      <c r="K94" s="44" t="str">
        <f>_xlfn.CONCAT(_xlfn.XLOOKUP($A94,ncr_merged[[#All],[column_name]],ncr_merged[[#All],[range_(max)]]," ",0))</f>
        <v>1</v>
      </c>
      <c r="M94" s="38" t="str" cm="1">
        <f t="array" ref="M94">_xlfn.CONCAT(IFERROR(_xlfn.XLOOKUP(data_elements_bkp!A94,Table_query__5[[#All],[NCR Variable ID]],Table_query__5[[#All],[in_progress]]),""))</f>
        <v/>
      </c>
    </row>
    <row r="95" spans="1:13" x14ac:dyDescent="0.2">
      <c r="A95" s="38" t="str">
        <v>lr3_lst</v>
      </c>
      <c r="B95" s="38" t="str" cm="1">
        <f t="array" ref="B95">_xlfn.XLOOKUP($A95,ncr_merged[[#All],[column_name]],ncr_merged[[#All],[label]]," ",0)</f>
        <v>Lesion successfully treated</v>
      </c>
      <c r="E95" s="38" t="str">
        <f>_xlfn.CONCAT(_xlfn.XLOOKUP($A95,ncr_merged[[#All],[column_name]],ncr_merged[[#All],[question]]," ",0),_xlfn.XLOOKUP($A95,ncr_merged[[#All],[column_name]],ncr_merged[[#All],[supporting_definition]]," ",0))</f>
        <v>Was the lesion successfully treated?Indicate whether the lesion was successfully treated. 
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v>
      </c>
      <c r="F95" s="38" t="str">
        <f>_xlfn.CONCAT(_xlfn.XLOOKUP($A95,ncr_merged[[#All],[column_name]],ncr_merged[[#All],[required]]," ",0),"")</f>
        <v>Always</v>
      </c>
      <c r="G95" s="38" t="str">
        <f>_xlfn.CONCAT(_xlfn.XLOOKUP($A95,ncr_merged[[#All],[column_name]],ncr_merged[[#All],[comments]]," ",0),
_xlfn.XLOOKUP($A95,ncr_merged[[#All],[column_name]],ncr_merged[[#All],[validation_rule]]," ",0),
_xlfn.XLOOKUP($A95,ncr_merged[[#All],[column_name]],ncr_merged[[#All],[behaviour]]," ",0),
"from the NCR tab: ",_xlfn.XLOOKUP($A95,ncr_merged[[#All],[column_name]],ncr_merged[[#All],[source_tab]]),
" ")</f>
        <v xml:space="preserve">Up to 5 lesions can be entered. Fields coded in data extract as LR1_LESION, LR2_LESION …  LR5_LESION.Reject file if NULL and lr3_lesion has datafrom the NCR tab: procedure </v>
      </c>
      <c r="H95" s="38" t="str">
        <f>_xlfn.CONCAT(_xlfn.XLOOKUP($A95,ncr_merged[[#All],[column_name]],ncr_merged[[#All],[format]]," ",0))</f>
        <v>N</v>
      </c>
      <c r="I95" s="38" t="str">
        <f>_xlfn.CONCAT(_xlfn.XLOOKUP($A95,ncr_merged[[#All],[column_name]],ncr_merged[[#All],[permitted_values]]," ",0))</f>
        <v>0=No 
1=Yes</v>
      </c>
      <c r="J95" s="44" t="str">
        <f>_xlfn.CONCAT(_xlfn.XLOOKUP($A95,ncr_merged[[#All],[column_name]],ncr_merged[[#All],[range_(min)]]," ",0))</f>
        <v>0</v>
      </c>
      <c r="K95" s="44" t="str">
        <f>_xlfn.CONCAT(_xlfn.XLOOKUP($A95,ncr_merged[[#All],[column_name]],ncr_merged[[#All],[range_(max)]]," ",0))</f>
        <v>1</v>
      </c>
      <c r="M95" s="38" t="str" cm="1">
        <f t="array" ref="M95">_xlfn.CONCAT(IFERROR(_xlfn.XLOOKUP(data_elements_bkp!A95,Table_query__5[[#All],[NCR Variable ID]],Table_query__5[[#All],[in_progress]]),""))</f>
        <v/>
      </c>
    </row>
    <row r="96" spans="1:13" x14ac:dyDescent="0.2">
      <c r="A96" s="38" t="str">
        <v>lr3_sit</v>
      </c>
      <c r="B96" s="38" t="str" cm="1">
        <f t="array" ref="B96">_xlfn.XLOOKUP($A96,ncr_merged[[#All],[column_name]],ncr_merged[[#All],[label]]," ",0)</f>
        <v>Type of stent(s) implanted</v>
      </c>
      <c r="E96" s="38" t="str">
        <f>_xlfn.CONCAT(_xlfn.XLOOKUP($A96,ncr_merged[[#All],[column_name]],ncr_merged[[#All],[question]]," ",0),_xlfn.XLOOKUP($A96,ncr_merged[[#All],[column_name]],ncr_merged[[#All],[supporting_definition]]," ",0))</f>
        <v>What type of stent/balloon was used?Select ONE of the following options:
- Bare metal stents (BMS): Where one or more bare metal coronary stent(s) were implanted in the current lesion (and no other type of stent/scaffold was implanted).
- Drug eluting stents (DES): Where one or more drug eluting coronary stent(s) were implanted in the current lesion (and no other type of stent was implanted).
- Mixed stents (combined BMS &amp; DES): Where at least one BMS and at least one DES were implanted in the current lesion. 
- Bioresorbable stent(s) (BRS):Where one or more bioresorbable coronary stent(s) were implanted in the current lesion (and no other type of stent/scaffold was implanted).
-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
- POBA (Plain Balloon Angioplasty): Where the only treatment for this lesion was balloon inflation to recanalise coronary arteries; this includes both balloons/catheters  coated in a drug (e.g. paclitaxel, etc.) or NOT coated with any drug. 
- No Stent/No Balloon</v>
      </c>
      <c r="F96" s="38" t="str">
        <f>_xlfn.CONCAT(_xlfn.XLOOKUP($A96,ncr_merged[[#All],[column_name]],ncr_merged[[#All],[required]]," ",0),"")</f>
        <v>Always</v>
      </c>
      <c r="G96" s="38" t="str">
        <f>_xlfn.CONCAT(_xlfn.XLOOKUP($A96,ncr_merged[[#All],[column_name]],ncr_merged[[#All],[comments]]," ",0),
_xlfn.XLOOKUP($A96,ncr_merged[[#All],[column_name]],ncr_merged[[#All],[validation_rule]]," ",0),
_xlfn.XLOOKUP($A96,ncr_merged[[#All],[column_name]],ncr_merged[[#All],[behaviour]]," ",0),
"from the NCR tab: ",_xlfn.XLOOKUP($A96,ncr_merged[[#All],[column_name]],ncr_merged[[#All],[source_tab]]),
" ")</f>
        <v xml:space="preserve">Up to 5 lesions can be entered. Fields coded in data extract as LR1_LESION, LR2_LESION …  LR5_LESION.Reject file if NULL and lr3_lesion has datafrom the NCR tab: procedure </v>
      </c>
      <c r="H96" s="38" t="str">
        <f>_xlfn.CONCAT(_xlfn.XLOOKUP($A96,ncr_merged[[#All],[column_name]],ncr_merged[[#All],[format]]," ",0))</f>
        <v>N</v>
      </c>
      <c r="I96" s="38" t="str">
        <f>_xlfn.CONCAT(_xlfn.XLOOKUP($A96,ncr_merged[[#All],[column_name]],ncr_merged[[#All],[permitted_values]]," ",0))</f>
        <v>1=Bare metal stent(s) only (BMS)
2=Drug-eluting stent(s) (DES)
3=Mixed stent(s) (combined BMS &amp; DES)
4=Bioresorbable stent(s) (BRS)
5=Other stents/scaffolds 
6 = POBA (Plain Balloon Angioplasty)
7= No Stent / No Balloon</v>
      </c>
      <c r="J96" s="44" t="str">
        <f>_xlfn.CONCAT(_xlfn.XLOOKUP($A96,ncr_merged[[#All],[column_name]],ncr_merged[[#All],[range_(min)]]," ",0))</f>
        <v>1</v>
      </c>
      <c r="K96" s="44" t="str">
        <f>_xlfn.CONCAT(_xlfn.XLOOKUP($A96,ncr_merged[[#All],[column_name]],ncr_merged[[#All],[range_(max)]]," ",0))</f>
        <v>7</v>
      </c>
      <c r="M96" s="38" t="str" cm="1">
        <f t="array" ref="M96">_xlfn.CONCAT(IFERROR(_xlfn.XLOOKUP(data_elements_bkp!A96,Table_query__5[[#All],[NCR Variable ID]],Table_query__5[[#All],[in_progress]]),""))</f>
        <v/>
      </c>
    </row>
    <row r="97" spans="1:13" x14ac:dyDescent="0.2">
      <c r="A97" s="38" t="str">
        <v>lr4_lesion</v>
      </c>
      <c r="B97" s="38" t="str" cm="1">
        <f t="array" ref="B97">_xlfn.XLOOKUP($A97,ncr_merged[[#All],[column_name]],ncr_merged[[#All],[label]]," ",0)</f>
        <v>Lesion location</v>
      </c>
      <c r="E97" s="38" t="str">
        <f>_xlfn.CONCAT(_xlfn.XLOOKUP($A97,ncr_merged[[#All],[column_name]],ncr_merged[[#All],[question]]," ",0),_xlfn.XLOOKUP($A97,ncr_merged[[#All],[column_name]],ncr_merged[[#All],[supporting_definition]]," ",0))</f>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
1 = Left anterior descending artery (LAD) 
2 = Diaganol artery 
3 = Left circumflex (LCx) 
4 = Left main coronary artery
5 = Posterior descending artery
6 = Right coronary artery 
7 = Internal mammary graft 
8 = Radial artery graft 
9 = Saphenous vein graft 
10 = Not stated/inadequately described</v>
      </c>
      <c r="F97" s="38" t="str">
        <f>_xlfn.CONCAT(_xlfn.XLOOKUP($A97,ncr_merged[[#All],[column_name]],ncr_merged[[#All],[required]]," ",0),"")</f>
        <v>Always</v>
      </c>
      <c r="G97" s="38" t="str">
        <f>_xlfn.CONCAT(_xlfn.XLOOKUP($A97,ncr_merged[[#All],[column_name]],ncr_merged[[#All],[comments]]," ",0),
_xlfn.XLOOKUP($A97,ncr_merged[[#All],[column_name]],ncr_merged[[#All],[validation_rule]]," ",0),
_xlfn.XLOOKUP($A97,ncr_merged[[#All],[column_name]],ncr_merged[[#All],[behaviour]]," ",0),
"from the NCR tab: ",_xlfn.XLOOKUP($A97,ncr_merged[[#All],[column_name]],ncr_merged[[#All],[source_tab]]),
" ")</f>
        <v xml:space="preserve">Up to 5 lesions can be entered. Fields are coded in data extract as LR1_LESION, LR2_LESION …  LR5_LESION.from the NCR tab: procedure </v>
      </c>
      <c r="H97" s="38" t="str">
        <f>_xlfn.CONCAT(_xlfn.XLOOKUP($A97,ncr_merged[[#All],[column_name]],ncr_merged[[#All],[format]]," ",0))</f>
        <v>N</v>
      </c>
      <c r="I97" s="38" t="str">
        <f>_xlfn.CONCAT(_xlfn.XLOOKUP($A97,ncr_merged[[#All],[column_name]],ncr_merged[[#All],[permitted_values]]," ",0))</f>
        <v>1 = Left anterior descending artery (LAD)
2 = Diaganol artery
3 = Left circumflex (LCx)
4 = Left main coronary artery
5 = Posterior descending artery
6 = Right coronary artery 
7 = Internal mammary graft
8 = Radial artery graft
9 = Saphenous vein graft
10 = Not stated/inadequately described
NULL</v>
      </c>
      <c r="J97" s="44" t="str">
        <f>_xlfn.CONCAT(_xlfn.XLOOKUP($A97,ncr_merged[[#All],[column_name]],ncr_merged[[#All],[range_(min)]]," ",0))</f>
        <v>1</v>
      </c>
      <c r="K97" s="44" t="str">
        <f>_xlfn.CONCAT(_xlfn.XLOOKUP($A97,ncr_merged[[#All],[column_name]],ncr_merged[[#All],[range_(max)]]," ",0))</f>
        <v>10</v>
      </c>
      <c r="M97" s="38" t="str" cm="1">
        <f t="array" ref="M97">_xlfn.CONCAT(IFERROR(_xlfn.XLOOKUP(data_elements_bkp!A97,Table_query__5[[#All],[NCR Variable ID]],Table_query__5[[#All],[in_progress]]),""))</f>
        <v/>
      </c>
    </row>
    <row r="98" spans="1:13" x14ac:dyDescent="0.2">
      <c r="A98" s="38" t="str">
        <v>lr4_isr</v>
      </c>
      <c r="B98" s="38" t="str" cm="1">
        <f t="array" ref="B98">_xlfn.XLOOKUP($A98,ncr_merged[[#All],[column_name]],ncr_merged[[#All],[label]]," ",0)</f>
        <v>In-stent restenosis (ISR)</v>
      </c>
      <c r="E98" s="38" t="str">
        <f>_xlfn.CONCAT(_xlfn.XLOOKUP($A98,ncr_merged[[#All],[column_name]],ncr_merged[[#All],[question]]," ",0),_xlfn.XLOOKUP($A98,ncr_merged[[#All],[column_name]],ncr_merged[[#All],[supporting_definition]]," ",0))</f>
        <v>Does the current lesion location have a pre-existing stent implanted from a prior PCI to the same site?Indicate whether the current lesion location has had a pre-existing stent implanted from a prior PCI to the same site OR is within 5mm of the proximal or distal stent edges of a pre-existing stent from a previous PCI.</v>
      </c>
      <c r="F98" s="38" t="str">
        <f>_xlfn.CONCAT(_xlfn.XLOOKUP($A98,ncr_merged[[#All],[column_name]],ncr_merged[[#All],[required]]," ",0),"")</f>
        <v>Always</v>
      </c>
      <c r="G98" s="38" t="str">
        <f>_xlfn.CONCAT(_xlfn.XLOOKUP($A98,ncr_merged[[#All],[column_name]],ncr_merged[[#All],[comments]]," ",0),
_xlfn.XLOOKUP($A98,ncr_merged[[#All],[column_name]],ncr_merged[[#All],[validation_rule]]," ",0),
_xlfn.XLOOKUP($A98,ncr_merged[[#All],[column_name]],ncr_merged[[#All],[behaviour]]," ",0),
"from the NCR tab: ",_xlfn.XLOOKUP($A98,ncr_merged[[#All],[column_name]],ncr_merged[[#All],[source_tab]]),
" ")</f>
        <v xml:space="preserve">Up to 5 lesions can be entered. Fields coded in data extract as LR1_LESION, LR2_LESION …  LR5_LESION.Reject file if NULL and lr4_lesion has data
Reject file if PPCI =0 AND lr4_isr=1
Reject file if lr4_isr has data and lr4_lesion=Nullfrom the NCR tab: procedure </v>
      </c>
      <c r="H98" s="38" t="str">
        <f>_xlfn.CONCAT(_xlfn.XLOOKUP($A98,ncr_merged[[#All],[column_name]],ncr_merged[[#All],[format]]," ",0))</f>
        <v>N</v>
      </c>
      <c r="I98" s="38" t="str">
        <f>_xlfn.CONCAT(_xlfn.XLOOKUP($A98,ncr_merged[[#All],[column_name]],ncr_merged[[#All],[permitted_values]]," ",0))</f>
        <v>0=No 
1=Yes</v>
      </c>
      <c r="J98" s="44" t="str">
        <f>_xlfn.CONCAT(_xlfn.XLOOKUP($A98,ncr_merged[[#All],[column_name]],ncr_merged[[#All],[range_(min)]]," ",0))</f>
        <v>0</v>
      </c>
      <c r="K98" s="44" t="str">
        <f>_xlfn.CONCAT(_xlfn.XLOOKUP($A98,ncr_merged[[#All],[column_name]],ncr_merged[[#All],[range_(max)]]," ",0))</f>
        <v>1</v>
      </c>
      <c r="M98" s="38" t="str" cm="1">
        <f t="array" ref="M98">_xlfn.CONCAT(IFERROR(_xlfn.XLOOKUP(data_elements_bkp!A98,Table_query__5[[#All],[NCR Variable ID]],Table_query__5[[#All],[in_progress]]),""))</f>
        <v/>
      </c>
    </row>
    <row r="99" spans="1:13" x14ac:dyDescent="0.2">
      <c r="A99" s="38" t="str">
        <v>lr4_isrst</v>
      </c>
      <c r="B99" s="38" t="str" cm="1">
        <f t="array" ref="B99">_xlfn.XLOOKUP($A99,ncr_merged[[#All],[column_name]],ncr_merged[[#All],[label]]," ",0)</f>
        <v>Stent thrombosis</v>
      </c>
      <c r="E99" s="38" t="str">
        <f>_xlfn.CONCAT(_xlfn.XLOOKUP($A99,ncr_merged[[#All],[column_name]],ncr_merged[[#All],[question]]," ",0),_xlfn.XLOOKUP($A99,ncr_merged[[#All],[column_name]],ncr_merged[[#All],[supporting_definition]]," ",0))</f>
        <v>Was the current lesion treated due to the presence of a thrombus in a pre-existing stent?Indicate whether the current lesion was treated due to the presence of a thrombus in the pre-existing stent OR within 5mm of stent edges.</v>
      </c>
      <c r="F99" s="38" t="str">
        <f>_xlfn.CONCAT(_xlfn.XLOOKUP($A99,ncr_merged[[#All],[column_name]],ncr_merged[[#All],[required]]," ",0),"")</f>
        <v>Always</v>
      </c>
      <c r="G99" s="38" t="str">
        <f>_xlfn.CONCAT(_xlfn.XLOOKUP($A99,ncr_merged[[#All],[column_name]],ncr_merged[[#All],[comments]]," ",0),
_xlfn.XLOOKUP($A99,ncr_merged[[#All],[column_name]],ncr_merged[[#All],[validation_rule]]," ",0),
_xlfn.XLOOKUP($A99,ncr_merged[[#All],[column_name]],ncr_merged[[#All],[behaviour]]," ",0),
"from the NCR tab: ",_xlfn.XLOOKUP($A99,ncr_merged[[#All],[column_name]],ncr_merged[[#All],[source_tab]]),
" ")</f>
        <v xml:space="preserve">Up to 5 lesions can be entered. Fields coded in data extract as LR1_LESION, LR2_LESION …  LR5_LESION.Reject file if NULL and lr4_lesion has data
Reject file if PPCI=0 AND lr4_isrst=1from the NCR tab: procedure </v>
      </c>
      <c r="H99" s="38" t="str">
        <f>_xlfn.CONCAT(_xlfn.XLOOKUP($A99,ncr_merged[[#All],[column_name]],ncr_merged[[#All],[format]]," ",0))</f>
        <v>N</v>
      </c>
      <c r="I99" s="38" t="str">
        <f>_xlfn.CONCAT(_xlfn.XLOOKUP($A99,ncr_merged[[#All],[column_name]],ncr_merged[[#All],[permitted_values]]," ",0))</f>
        <v>0=No 
1=Yes</v>
      </c>
      <c r="J99" s="44" t="str">
        <f>_xlfn.CONCAT(_xlfn.XLOOKUP($A99,ncr_merged[[#All],[column_name]],ncr_merged[[#All],[range_(min)]]," ",0))</f>
        <v>0</v>
      </c>
      <c r="K99" s="44" t="str">
        <f>_xlfn.CONCAT(_xlfn.XLOOKUP($A99,ncr_merged[[#All],[column_name]],ncr_merged[[#All],[range_(max)]]," ",0))</f>
        <v>1</v>
      </c>
      <c r="M99" s="38" t="str" cm="1">
        <f t="array" ref="M99">_xlfn.CONCAT(IFERROR(_xlfn.XLOOKUP(data_elements_bkp!A99,Table_query__5[[#All],[NCR Variable ID]],Table_query__5[[#All],[in_progress]]),""))</f>
        <v/>
      </c>
    </row>
    <row r="100" spans="1:13" x14ac:dyDescent="0.2">
      <c r="A100" s="38" t="str">
        <v>lr4_lst</v>
      </c>
      <c r="B100" s="38" t="str" cm="1">
        <f t="array" ref="B100">_xlfn.XLOOKUP($A100,ncr_merged[[#All],[column_name]],ncr_merged[[#All],[label]]," ",0)</f>
        <v>Lesion successfully treated</v>
      </c>
      <c r="E100" s="38" t="str">
        <f>_xlfn.CONCAT(_xlfn.XLOOKUP($A100,ncr_merged[[#All],[column_name]],ncr_merged[[#All],[question]]," ",0),_xlfn.XLOOKUP($A100,ncr_merged[[#All],[column_name]],ncr_merged[[#All],[supporting_definition]]," ",0))</f>
        <v>Was the lesion successfully treated?Indicate whether the lesion was successfully treated. 
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v>
      </c>
      <c r="F100" s="38" t="str">
        <f>_xlfn.CONCAT(_xlfn.XLOOKUP($A100,ncr_merged[[#All],[column_name]],ncr_merged[[#All],[required]]," ",0),"")</f>
        <v>Always</v>
      </c>
      <c r="G100" s="38" t="str">
        <f>_xlfn.CONCAT(_xlfn.XLOOKUP($A100,ncr_merged[[#All],[column_name]],ncr_merged[[#All],[comments]]," ",0),
_xlfn.XLOOKUP($A100,ncr_merged[[#All],[column_name]],ncr_merged[[#All],[validation_rule]]," ",0),
_xlfn.XLOOKUP($A100,ncr_merged[[#All],[column_name]],ncr_merged[[#All],[behaviour]]," ",0),
"from the NCR tab: ",_xlfn.XLOOKUP($A100,ncr_merged[[#All],[column_name]],ncr_merged[[#All],[source_tab]]),
" ")</f>
        <v xml:space="preserve">Up to 5 lesions can be entered. Fields coded in data extract as LR1_LESION, LR2_LESION …  LR5_LESION.Reject file if NULL and lr4_lesion has datafrom the NCR tab: procedure </v>
      </c>
      <c r="H100" s="38" t="str">
        <f>_xlfn.CONCAT(_xlfn.XLOOKUP($A100,ncr_merged[[#All],[column_name]],ncr_merged[[#All],[format]]," ",0))</f>
        <v>N</v>
      </c>
      <c r="I100" s="38" t="str">
        <f>_xlfn.CONCAT(_xlfn.XLOOKUP($A100,ncr_merged[[#All],[column_name]],ncr_merged[[#All],[permitted_values]]," ",0))</f>
        <v>0=No 
1=Yes</v>
      </c>
      <c r="J100" s="44" t="str">
        <f>_xlfn.CONCAT(_xlfn.XLOOKUP($A100,ncr_merged[[#All],[column_name]],ncr_merged[[#All],[range_(min)]]," ",0))</f>
        <v>0</v>
      </c>
      <c r="K100" s="44" t="str">
        <f>_xlfn.CONCAT(_xlfn.XLOOKUP($A100,ncr_merged[[#All],[column_name]],ncr_merged[[#All],[range_(max)]]," ",0))</f>
        <v>1</v>
      </c>
      <c r="M100" s="38" t="str" cm="1">
        <f t="array" ref="M100">_xlfn.CONCAT(IFERROR(_xlfn.XLOOKUP(data_elements_bkp!A100,Table_query__5[[#All],[NCR Variable ID]],Table_query__5[[#All],[in_progress]]),""))</f>
        <v/>
      </c>
    </row>
    <row r="101" spans="1:13" x14ac:dyDescent="0.2">
      <c r="A101" s="38" t="str">
        <v>lr4_sit</v>
      </c>
      <c r="B101" s="38" t="str" cm="1">
        <f t="array" ref="B101">_xlfn.XLOOKUP($A101,ncr_merged[[#All],[column_name]],ncr_merged[[#All],[label]]," ",0)</f>
        <v>Type of stent(s) implanted</v>
      </c>
      <c r="E101" s="38" t="str">
        <f>_xlfn.CONCAT(_xlfn.XLOOKUP($A101,ncr_merged[[#All],[column_name]],ncr_merged[[#All],[question]]," ",0),_xlfn.XLOOKUP($A101,ncr_merged[[#All],[column_name]],ncr_merged[[#All],[supporting_definition]]," ",0))</f>
        <v>What type of stent/balloon was used?Select ONE of the following options:
- Bare metal stents (BMS): Where one or more bare metal coronary stent(s) were implanted in the current lesion (and no other type of stent/scaffold was implanted).
- Drug eluting stents (DES): Where one or more drug eluting coronary stent(s) were implanted in the current lesion (and no other type of stent was implanted).
- Mixed stents (combined BMS &amp; DES): Where at least one BMS and at least one DES were implanted in the current lesion. 
- Bioresorbable stent(s) (BRS):Where one or more bioresorbable coronary stent(s) were implanted in the current lesion (and no other type of stent/scaffold was implanted).
-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
- POBA (Plain Balloon Angioplasty): Where the only treatment for this lesion was balloon inflation to recanalise coronary arteries; this includes both balloons/catheters  coated in a drug (e.g. paclitaxel, etc.) or NOT coated with any drug. 
- No Stent/No Balloon</v>
      </c>
      <c r="F101" s="38" t="str">
        <f>_xlfn.CONCAT(_xlfn.XLOOKUP($A101,ncr_merged[[#All],[column_name]],ncr_merged[[#All],[required]]," ",0),"")</f>
        <v>Always</v>
      </c>
      <c r="G101" s="38" t="str">
        <f>_xlfn.CONCAT(_xlfn.XLOOKUP($A101,ncr_merged[[#All],[column_name]],ncr_merged[[#All],[comments]]," ",0),
_xlfn.XLOOKUP($A101,ncr_merged[[#All],[column_name]],ncr_merged[[#All],[validation_rule]]," ",0),
_xlfn.XLOOKUP($A101,ncr_merged[[#All],[column_name]],ncr_merged[[#All],[behaviour]]," ",0),
"from the NCR tab: ",_xlfn.XLOOKUP($A101,ncr_merged[[#All],[column_name]],ncr_merged[[#All],[source_tab]]),
" ")</f>
        <v xml:space="preserve">Up to 5 lesions can be entered. Fields coded in data extract as LR1_LESION, LR2_LESION …  LR5_LESION.Reject file if NULL and lr4_lesion has datafrom the NCR tab: procedure </v>
      </c>
      <c r="H101" s="38" t="str">
        <f>_xlfn.CONCAT(_xlfn.XLOOKUP($A101,ncr_merged[[#All],[column_name]],ncr_merged[[#All],[format]]," ",0))</f>
        <v>N</v>
      </c>
      <c r="I101" s="38" t="str">
        <f>_xlfn.CONCAT(_xlfn.XLOOKUP($A101,ncr_merged[[#All],[column_name]],ncr_merged[[#All],[permitted_values]]," ",0))</f>
        <v>1=Bare metal stent(s) only (BMS)
2=Drug-eluting stent(s) (DES)
3=Mixed stent(s) (combined BMS &amp; DES)
4=Bioresorbable stent(s) (BRS)
5=Other stents/scaffolds 
6 = POBA (Plain Balloon Angioplasty)
7= No Stent / No Balloon</v>
      </c>
      <c r="J101" s="44" t="str">
        <f>_xlfn.CONCAT(_xlfn.XLOOKUP($A101,ncr_merged[[#All],[column_name]],ncr_merged[[#All],[range_(min)]]," ",0))</f>
        <v>1</v>
      </c>
      <c r="K101" s="44" t="str">
        <f>_xlfn.CONCAT(_xlfn.XLOOKUP($A101,ncr_merged[[#All],[column_name]],ncr_merged[[#All],[range_(max)]]," ",0))</f>
        <v>7</v>
      </c>
      <c r="M101" s="38" t="str" cm="1">
        <f t="array" ref="M101">_xlfn.CONCAT(IFERROR(_xlfn.XLOOKUP(data_elements_bkp!A101,Table_query__5[[#All],[NCR Variable ID]],Table_query__5[[#All],[in_progress]]),""))</f>
        <v/>
      </c>
    </row>
    <row r="102" spans="1:13" x14ac:dyDescent="0.2">
      <c r="A102" s="38" t="str">
        <v>lr5_lesion</v>
      </c>
      <c r="B102" s="38" t="str" cm="1">
        <f t="array" ref="B102">_xlfn.XLOOKUP($A102,ncr_merged[[#All],[column_name]],ncr_merged[[#All],[label]]," ",0)</f>
        <v>Lesion location</v>
      </c>
      <c r="E102" s="38" t="str">
        <f>_xlfn.CONCAT(_xlfn.XLOOKUP($A102,ncr_merged[[#All],[column_name]],ncr_merged[[#All],[question]]," ",0),_xlfn.XLOOKUP($A102,ncr_merged[[#All],[column_name]],ncr_merged[[#All],[supporting_definition]]," ",0))</f>
        <v>Indicate the coronary segment that applies for EACH coronary lesion attempted during the current PCI. Every coronary lesion attempted during the current PCI must be recorded separately (add new lesion). Up to 5 lesions per PCI can be recorded. Coronary artery segments are coded as follows (select ONE segment for each lesion treated):
1 = Left anterior descending artery (LAD) 
2 = Diaganol artery 
3 = Left circumflex (LCx) 
4 = Left main coronary artery
5 = Posterior descending artery
6 = Right coronary artery 
7 = Internal mammary graft 
8 = Radial artery graft 
9 = Saphenous vein graft 
10 = Not stated/inadequately described</v>
      </c>
      <c r="F102" s="38" t="str">
        <f>_xlfn.CONCAT(_xlfn.XLOOKUP($A102,ncr_merged[[#All],[column_name]],ncr_merged[[#All],[required]]," ",0),"")</f>
        <v>Always</v>
      </c>
      <c r="G102" s="38" t="str">
        <f>_xlfn.CONCAT(_xlfn.XLOOKUP($A102,ncr_merged[[#All],[column_name]],ncr_merged[[#All],[comments]]," ",0),
_xlfn.XLOOKUP($A102,ncr_merged[[#All],[column_name]],ncr_merged[[#All],[validation_rule]]," ",0),
_xlfn.XLOOKUP($A102,ncr_merged[[#All],[column_name]],ncr_merged[[#All],[behaviour]]," ",0),
"from the NCR tab: ",_xlfn.XLOOKUP($A102,ncr_merged[[#All],[column_name]],ncr_merged[[#All],[source_tab]]),
" ")</f>
        <v xml:space="preserve">Up to 5 lesions can be entered. Fields are coded in data extract as LR1_LESION, LR2_LESION …  LR5_LESION.from the NCR tab: procedure </v>
      </c>
      <c r="H102" s="38" t="str">
        <f>_xlfn.CONCAT(_xlfn.XLOOKUP($A102,ncr_merged[[#All],[column_name]],ncr_merged[[#All],[format]]," ",0))</f>
        <v>N</v>
      </c>
      <c r="I102" s="38" t="str">
        <f>_xlfn.CONCAT(_xlfn.XLOOKUP($A102,ncr_merged[[#All],[column_name]],ncr_merged[[#All],[permitted_values]]," ",0))</f>
        <v>1 = Left anterior descending artery (LAD)
2 = Diaganol artery
3 = Left circumflex (LCx)
4 = Left main coronary artery
5 = Posterior descending artery
6 = Right coronary artery 
7 = Internal mammary graft
8 = Radial artery graft
9 = Saphenous vein graft
10 = Not stated/inadequately described
NULL</v>
      </c>
      <c r="J102" s="44" t="str">
        <f>_xlfn.CONCAT(_xlfn.XLOOKUP($A102,ncr_merged[[#All],[column_name]],ncr_merged[[#All],[range_(min)]]," ",0))</f>
        <v>1</v>
      </c>
      <c r="K102" s="44" t="str">
        <f>_xlfn.CONCAT(_xlfn.XLOOKUP($A102,ncr_merged[[#All],[column_name]],ncr_merged[[#All],[range_(max)]]," ",0))</f>
        <v>10</v>
      </c>
      <c r="M102" s="38" t="str" cm="1">
        <f t="array" ref="M102">_xlfn.CONCAT(IFERROR(_xlfn.XLOOKUP(data_elements_bkp!A102,Table_query__5[[#All],[NCR Variable ID]],Table_query__5[[#All],[in_progress]]),""))</f>
        <v/>
      </c>
    </row>
    <row r="103" spans="1:13" x14ac:dyDescent="0.2">
      <c r="A103" s="38" t="str">
        <v>lr5_isr</v>
      </c>
      <c r="B103" s="38" t="str" cm="1">
        <f t="array" ref="B103">_xlfn.XLOOKUP($A103,ncr_merged[[#All],[column_name]],ncr_merged[[#All],[label]]," ",0)</f>
        <v>In-stent restenosis (ISR)</v>
      </c>
      <c r="E103" s="38" t="str">
        <f>_xlfn.CONCAT(_xlfn.XLOOKUP($A103,ncr_merged[[#All],[column_name]],ncr_merged[[#All],[question]]," ",0),_xlfn.XLOOKUP($A103,ncr_merged[[#All],[column_name]],ncr_merged[[#All],[supporting_definition]]," ",0))</f>
        <v>Does the current lesion location have a pre-existing stent implanted from a prior PCI to the same site?Indicate whether the current lesion location has had a pre-existing stent implanted from a prior PCI to the same site OR is within 5mm of the proximal or distal stent edges of a pre-existing stent from a previous PCI.</v>
      </c>
      <c r="F103" s="38" t="str">
        <f>_xlfn.CONCAT(_xlfn.XLOOKUP($A103,ncr_merged[[#All],[column_name]],ncr_merged[[#All],[required]]," ",0),"")</f>
        <v>Always</v>
      </c>
      <c r="G103" s="38" t="str">
        <f>_xlfn.CONCAT(_xlfn.XLOOKUP($A103,ncr_merged[[#All],[column_name]],ncr_merged[[#All],[comments]]," ",0),
_xlfn.XLOOKUP($A103,ncr_merged[[#All],[column_name]],ncr_merged[[#All],[validation_rule]]," ",0),
_xlfn.XLOOKUP($A103,ncr_merged[[#All],[column_name]],ncr_merged[[#All],[behaviour]]," ",0),
"from the NCR tab: ",_xlfn.XLOOKUP($A103,ncr_merged[[#All],[column_name]],ncr_merged[[#All],[source_tab]]),
" ")</f>
        <v xml:space="preserve">Up to 5 lesions can be entered. Fields coded in data extract as LR1_LESION, LR2_LESION …  LR5_LESION.Reject file if NULL and lr5_lesion has data
Reject file if PPCI =0 AND lr5_isr=1
Reject file if lr5_isr has data and lr5_lesion=Nullfrom the NCR tab: procedure </v>
      </c>
      <c r="H103" s="38" t="str">
        <f>_xlfn.CONCAT(_xlfn.XLOOKUP($A103,ncr_merged[[#All],[column_name]],ncr_merged[[#All],[format]]," ",0))</f>
        <v>N</v>
      </c>
      <c r="I103" s="38" t="str">
        <f>_xlfn.CONCAT(_xlfn.XLOOKUP($A103,ncr_merged[[#All],[column_name]],ncr_merged[[#All],[permitted_values]]," ",0))</f>
        <v>0=No 
1=Yes</v>
      </c>
      <c r="J103" s="44" t="str">
        <f>_xlfn.CONCAT(_xlfn.XLOOKUP($A103,ncr_merged[[#All],[column_name]],ncr_merged[[#All],[range_(min)]]," ",0))</f>
        <v>0</v>
      </c>
      <c r="K103" s="44" t="str">
        <f>_xlfn.CONCAT(_xlfn.XLOOKUP($A103,ncr_merged[[#All],[column_name]],ncr_merged[[#All],[range_(max)]]," ",0))</f>
        <v>1</v>
      </c>
      <c r="M103" s="38" t="str" cm="1">
        <f t="array" ref="M103">_xlfn.CONCAT(IFERROR(_xlfn.XLOOKUP(data_elements_bkp!A103,Table_query__5[[#All],[NCR Variable ID]],Table_query__5[[#All],[in_progress]]),""))</f>
        <v/>
      </c>
    </row>
    <row r="104" spans="1:13" x14ac:dyDescent="0.2">
      <c r="A104" s="38" t="str">
        <v>lr5_isrst</v>
      </c>
      <c r="B104" s="38" t="str" cm="1">
        <f t="array" ref="B104">_xlfn.XLOOKUP($A104,ncr_merged[[#All],[column_name]],ncr_merged[[#All],[label]]," ",0)</f>
        <v>Stent thrombosis</v>
      </c>
      <c r="E104" s="38" t="str">
        <f>_xlfn.CONCAT(_xlfn.XLOOKUP($A104,ncr_merged[[#All],[column_name]],ncr_merged[[#All],[question]]," ",0),_xlfn.XLOOKUP($A104,ncr_merged[[#All],[column_name]],ncr_merged[[#All],[supporting_definition]]," ",0))</f>
        <v>Was the current lesion treated due to the presence of a thrombus in a pre-existing stent?Indicate whether the current lesion was treated due to the presence of a thrombus in the pre-existing stent OR within 5mm of stent edges.</v>
      </c>
      <c r="F104" s="38" t="str">
        <f>_xlfn.CONCAT(_xlfn.XLOOKUP($A104,ncr_merged[[#All],[column_name]],ncr_merged[[#All],[required]]," ",0),"")</f>
        <v>Always</v>
      </c>
      <c r="G104" s="38" t="str">
        <f>_xlfn.CONCAT(_xlfn.XLOOKUP($A104,ncr_merged[[#All],[column_name]],ncr_merged[[#All],[comments]]," ",0),
_xlfn.XLOOKUP($A104,ncr_merged[[#All],[column_name]],ncr_merged[[#All],[validation_rule]]," ",0),
_xlfn.XLOOKUP($A104,ncr_merged[[#All],[column_name]],ncr_merged[[#All],[behaviour]]," ",0),
"from the NCR tab: ",_xlfn.XLOOKUP($A104,ncr_merged[[#All],[column_name]],ncr_merged[[#All],[source_tab]]),
" ")</f>
        <v xml:space="preserve">Up to 5 lesions can be entered. Fields coded in data extract as LR1_LESION, LR2_LESION …  LR5_LESION.Reject file if NULL and lr5_lesion has data
Reject file if PPCI=0 AND lr4_isrst=1from the NCR tab: procedure </v>
      </c>
      <c r="H104" s="38" t="str">
        <f>_xlfn.CONCAT(_xlfn.XLOOKUP($A104,ncr_merged[[#All],[column_name]],ncr_merged[[#All],[format]]," ",0))</f>
        <v>N</v>
      </c>
      <c r="I104" s="38" t="str">
        <f>_xlfn.CONCAT(_xlfn.XLOOKUP($A104,ncr_merged[[#All],[column_name]],ncr_merged[[#All],[permitted_values]]," ",0))</f>
        <v>0=No 
1=Yes</v>
      </c>
      <c r="J104" s="44" t="str">
        <f>_xlfn.CONCAT(_xlfn.XLOOKUP($A104,ncr_merged[[#All],[column_name]],ncr_merged[[#All],[range_(min)]]," ",0))</f>
        <v>0</v>
      </c>
      <c r="K104" s="44" t="str">
        <f>_xlfn.CONCAT(_xlfn.XLOOKUP($A104,ncr_merged[[#All],[column_name]],ncr_merged[[#All],[range_(max)]]," ",0))</f>
        <v>1</v>
      </c>
      <c r="M104" s="38" t="str" cm="1">
        <f t="array" ref="M104">_xlfn.CONCAT(IFERROR(_xlfn.XLOOKUP(data_elements_bkp!A104,Table_query__5[[#All],[NCR Variable ID]],Table_query__5[[#All],[in_progress]]),""))</f>
        <v/>
      </c>
    </row>
    <row r="105" spans="1:13" x14ac:dyDescent="0.2">
      <c r="A105" s="38" t="str">
        <v>lr5_lst</v>
      </c>
      <c r="B105" s="38" t="str" cm="1">
        <f t="array" ref="B105">_xlfn.XLOOKUP($A105,ncr_merged[[#All],[column_name]],ncr_merged[[#All],[label]]," ",0)</f>
        <v>Lesion successfully treated</v>
      </c>
      <c r="E105" s="38" t="str">
        <f>_xlfn.CONCAT(_xlfn.XLOOKUP($A105,ncr_merged[[#All],[column_name]],ncr_merged[[#All],[question]]," ",0),_xlfn.XLOOKUP($A105,ncr_merged[[#All],[column_name]],ncr_merged[[#All],[supporting_definition]]," ",0))</f>
        <v>Was the lesion successfully treated?Indicate whether the lesion was successfully treated. 
Successful dilation of a lesion is considered where: 
- Residual stenosis is less than 10% following coronary stenting; OR 
- Residual stenosis is less than 50% after POBA (balloon angioplasty/atherectomy) alone
AND 
- Coronary blood perfusion rates have reached TIMI 2 or TIMI 3 flow. 
Note: Thrombolysis in Myocardial Infarction (TIMI) 2 flow (partial reperfusion) is evidenced by delayed or sluggish antegrade flow with complete filling of the distal territory. TIMI 3 flow (complete perfusion) is normal flow which fills the distal coronary bed completely.</v>
      </c>
      <c r="F105" s="38" t="str">
        <f>_xlfn.CONCAT(_xlfn.XLOOKUP($A105,ncr_merged[[#All],[column_name]],ncr_merged[[#All],[required]]," ",0),"")</f>
        <v>Always</v>
      </c>
      <c r="G105" s="38" t="str">
        <f>_xlfn.CONCAT(_xlfn.XLOOKUP($A105,ncr_merged[[#All],[column_name]],ncr_merged[[#All],[comments]]," ",0),
_xlfn.XLOOKUP($A105,ncr_merged[[#All],[column_name]],ncr_merged[[#All],[validation_rule]]," ",0),
_xlfn.XLOOKUP($A105,ncr_merged[[#All],[column_name]],ncr_merged[[#All],[behaviour]]," ",0),
"from the NCR tab: ",_xlfn.XLOOKUP($A105,ncr_merged[[#All],[column_name]],ncr_merged[[#All],[source_tab]]),
" ")</f>
        <v xml:space="preserve">Up to 5 lesions can be entered. Fields coded in data extract as LR1_LESION, LR2_LESION …  LR5_LESION.Reject file if NULL and lr5_lesion has datafrom the NCR tab: procedure </v>
      </c>
      <c r="H105" s="38" t="str">
        <f>_xlfn.CONCAT(_xlfn.XLOOKUP($A105,ncr_merged[[#All],[column_name]],ncr_merged[[#All],[format]]," ",0))</f>
        <v>N</v>
      </c>
      <c r="I105" s="38" t="str">
        <f>_xlfn.CONCAT(_xlfn.XLOOKUP($A105,ncr_merged[[#All],[column_name]],ncr_merged[[#All],[permitted_values]]," ",0))</f>
        <v>0=No 
1=Yes</v>
      </c>
      <c r="J105" s="44" t="str">
        <f>_xlfn.CONCAT(_xlfn.XLOOKUP($A105,ncr_merged[[#All],[column_name]],ncr_merged[[#All],[range_(min)]]," ",0))</f>
        <v>0</v>
      </c>
      <c r="K105" s="44" t="str">
        <f>_xlfn.CONCAT(_xlfn.XLOOKUP($A105,ncr_merged[[#All],[column_name]],ncr_merged[[#All],[range_(max)]]," ",0))</f>
        <v>1</v>
      </c>
      <c r="M105" s="38" t="str" cm="1">
        <f t="array" ref="M105">_xlfn.CONCAT(IFERROR(_xlfn.XLOOKUP(data_elements_bkp!A105,Table_query__5[[#All],[NCR Variable ID]],Table_query__5[[#All],[in_progress]]),""))</f>
        <v/>
      </c>
    </row>
    <row r="106" spans="1:13" x14ac:dyDescent="0.2">
      <c r="A106" s="38" t="str">
        <v>lr5_sit</v>
      </c>
      <c r="B106" s="38" t="str" cm="1">
        <f t="array" ref="B106">_xlfn.XLOOKUP($A106,ncr_merged[[#All],[column_name]],ncr_merged[[#All],[label]]," ",0)</f>
        <v>Type of stent(s) implanted</v>
      </c>
      <c r="E106" s="38" t="str">
        <f>_xlfn.CONCAT(_xlfn.XLOOKUP($A106,ncr_merged[[#All],[column_name]],ncr_merged[[#All],[question]]," ",0),_xlfn.XLOOKUP($A106,ncr_merged[[#All],[column_name]],ncr_merged[[#All],[supporting_definition]]," ",0))</f>
        <v>What type of stent/balloon was used?Select ONE of the following options:
- Bare metal stents (BMS): Where one or more bare metal coronary stent(s) were implanted in the current lesion (and no other type of stent/scaffold was implanted).
- Drug eluting stents (DES): Where one or more drug eluting coronary stent(s) were implanted in the current lesion (and no other type of stent was implanted).
- Mixed stents (combined BMS &amp; DES): Where at least one BMS and at least one DES were implanted in the current lesion. 
- Bioresorbable stent(s) (BRS):Where one or more bioresorbable coronary stent(s) were implanted in the current lesion (and no other type of stent/scaffold was implanted).
- Other: Where stent(s) or scaffold(s) were implanted into the current lesion, but the available options listed above do not apply. This would include combinations of metal stents and BVS(s) whether they were drug eluting and/or non-drug eluting devices. Enter the details of the stent/scaffold in the free text provided.
- POBA (Plain Balloon Angioplasty): Where the only treatment for this lesion was balloon inflation to recanalise coronary arteries; this includes both balloons/catheters  coated in a drug (e.g. paclitaxel, etc.) or NOT coated with any drug. 
- No Stent/No Balloon</v>
      </c>
      <c r="F106" s="38" t="str">
        <f>_xlfn.CONCAT(_xlfn.XLOOKUP($A106,ncr_merged[[#All],[column_name]],ncr_merged[[#All],[required]]," ",0),"")</f>
        <v>Always</v>
      </c>
      <c r="G106" s="38" t="str">
        <f>_xlfn.CONCAT(_xlfn.XLOOKUP($A106,ncr_merged[[#All],[column_name]],ncr_merged[[#All],[comments]]," ",0),
_xlfn.XLOOKUP($A106,ncr_merged[[#All],[column_name]],ncr_merged[[#All],[validation_rule]]," ",0),
_xlfn.XLOOKUP($A106,ncr_merged[[#All],[column_name]],ncr_merged[[#All],[behaviour]]," ",0),
"from the NCR tab: ",_xlfn.XLOOKUP($A106,ncr_merged[[#All],[column_name]],ncr_merged[[#All],[source_tab]]),
" ")</f>
        <v xml:space="preserve">Up to 5 lesions can be entered. Fields coded in data extract as LR1_LESION, LR2_LESION …  LR5_LESION.Reject file if NULL and lr5_lesion has datafrom the NCR tab: procedure </v>
      </c>
      <c r="H106" s="38" t="str">
        <f>_xlfn.CONCAT(_xlfn.XLOOKUP($A106,ncr_merged[[#All],[column_name]],ncr_merged[[#All],[format]]," ",0))</f>
        <v>N</v>
      </c>
      <c r="I106" s="38" t="str">
        <f>_xlfn.CONCAT(_xlfn.XLOOKUP($A106,ncr_merged[[#All],[column_name]],ncr_merged[[#All],[permitted_values]]," ",0))</f>
        <v>1=Bare metal stent(s) only (BMS)
2=Drug-eluting stent(s) (DES)
3=Mixed stent(s) (combined BMS &amp; DES)
4=Bioresorbable stent(s) (BRS)
5=Other stents/scaffolds 
6 = POBA (Plain Balloon Angioplasty)
7= No Stent / No Balloon</v>
      </c>
      <c r="J106" s="44" t="str">
        <f>_xlfn.CONCAT(_xlfn.XLOOKUP($A106,ncr_merged[[#All],[column_name]],ncr_merged[[#All],[range_(min)]]," ",0))</f>
        <v>1</v>
      </c>
      <c r="K106" s="44" t="str">
        <f>_xlfn.CONCAT(_xlfn.XLOOKUP($A106,ncr_merged[[#All],[column_name]],ncr_merged[[#All],[range_(max)]]," ",0))</f>
        <v>7</v>
      </c>
      <c r="M106" s="38" t="str" cm="1">
        <f t="array" ref="M106">_xlfn.CONCAT(IFERROR(_xlfn.XLOOKUP(data_elements_bkp!A106,Table_query__5[[#All],[NCR Variable ID]],Table_query__5[[#All],[in_progress]]),""))</f>
        <v/>
      </c>
    </row>
    <row r="107" spans="1:13" x14ac:dyDescent="0.2">
      <c r="A107" s="38" t="str">
        <v>tak</v>
      </c>
      <c r="B107" s="38" t="str" cm="1">
        <f t="array" ref="B107">_xlfn.XLOOKUP($A107,ncr_merged[[#All],[column_name]],ncr_merged[[#All],[label]]," ",0)</f>
        <v>Total entrance radiation dose (Air Kerma)</v>
      </c>
      <c r="E107" s="38" t="str">
        <f>_xlfn.CONCAT(_xlfn.XLOOKUP($A107,ncr_merged[[#All],[column_name]],ncr_merged[[#All],[question]]," ",0),_xlfn.XLOOKUP($A107,ncr_merged[[#All],[column_name]],ncr_merged[[#All],[supporting_definition]]," ",0))</f>
        <v>What was the total radiation dose?Indicate the total radiation dose (Cumulative Air Kerma, or Reference Air Kerma) recorded to the nearest milligray (mGy). The value recorded should include the total dose for the lab visit. Cumulative air kerma is the total air kerma accrued from the
beginning of an examination or procedure and includes all contributions from fluoroscopic and radiographic irradiation.</v>
      </c>
      <c r="F107" s="38" t="str">
        <f>_xlfn.CONCAT(_xlfn.XLOOKUP($A107,ncr_merged[[#All],[column_name]],ncr_merged[[#All],[required]]," ",0),"")</f>
        <v/>
      </c>
      <c r="G107" s="38" t="str">
        <f>_xlfn.CONCAT(_xlfn.XLOOKUP($A107,ncr_merged[[#All],[column_name]],ncr_merged[[#All],[comments]]," ",0),
_xlfn.XLOOKUP($A107,ncr_merged[[#All],[column_name]],ncr_merged[[#All],[validation_rule]]," ",0),
_xlfn.XLOOKUP($A107,ncr_merged[[#All],[column_name]],ncr_merged[[#All],[behaviour]]," ",0),
"from the NCR tab: ",_xlfn.XLOOKUP($A107,ncr_merged[[#All],[column_name]],ncr_merged[[#All],[source_tab]]),
" ")</f>
        <v xml:space="preserve">Reject file if value entered is &gt;999from the NCR tab: procedure </v>
      </c>
      <c r="H107" s="38" t="str">
        <f>_xlfn.CONCAT(_xlfn.XLOOKUP($A107,ncr_merged[[#All],[column_name]],ncr_merged[[#All],[format]]," ",0))</f>
        <v>NNNNN</v>
      </c>
      <c r="I107" s="38" t="str">
        <f>_xlfn.CONCAT(_xlfn.XLOOKUP($A107,ncr_merged[[#All],[column_name]],ncr_merged[[#All],[permitted_values]]," ",0))</f>
        <v/>
      </c>
      <c r="J107" s="44" t="str">
        <f>_xlfn.CONCAT(_xlfn.XLOOKUP($A107,ncr_merged[[#All],[column_name]],ncr_merged[[#All],[range_(min)]]," ",0))</f>
        <v>0</v>
      </c>
      <c r="K107" s="44" t="str">
        <f>_xlfn.CONCAT(_xlfn.XLOOKUP($A107,ncr_merged[[#All],[column_name]],ncr_merged[[#All],[range_(max)]]," ",0))</f>
        <v>99999</v>
      </c>
      <c r="M107" s="38" t="str" cm="1">
        <f t="array" ref="M107">_xlfn.CONCAT(IFERROR(_xlfn.XLOOKUP(data_elements_bkp!A107,Table_query__5[[#All],[NCR Variable ID]],Table_query__5[[#All],[in_progress]]),""))</f>
        <v/>
      </c>
    </row>
    <row r="108" spans="1:13" x14ac:dyDescent="0.2">
      <c r="A108" s="38" t="str">
        <v>dap</v>
      </c>
      <c r="B108" s="38" t="str" cm="1">
        <f t="array" ref="B108">_xlfn.XLOOKUP($A108,ncr_merged[[#All],[column_name]],ncr_merged[[#All],[label]]," ",0)</f>
        <v>Total exam Dose Area Product in mGy/m2</v>
      </c>
      <c r="E108" s="38" t="str">
        <f>_xlfn.CONCAT(_xlfn.XLOOKUP($A108,ncr_merged[[#All],[column_name]],ncr_merged[[#All],[question]]," ",0),_xlfn.XLOOKUP($A108,ncr_merged[[#All],[column_name]],ncr_merged[[#All],[supporting_definition]]," ",0))</f>
        <v>What was the Dose Area Product?Indicate the total fluoroscopy dose to the nearest integer. The value recorded should include the total dose for the lab visit.</v>
      </c>
      <c r="F108" s="38" t="str">
        <f>_xlfn.CONCAT(_xlfn.XLOOKUP($A108,ncr_merged[[#All],[column_name]],ncr_merged[[#All],[required]]," ",0),"")</f>
        <v/>
      </c>
      <c r="G108" s="38" t="str">
        <f>_xlfn.CONCAT(_xlfn.XLOOKUP($A108,ncr_merged[[#All],[column_name]],ncr_merged[[#All],[comments]]," ",0),
_xlfn.XLOOKUP($A108,ncr_merged[[#All],[column_name]],ncr_merged[[#All],[validation_rule]]," ",0),
_xlfn.XLOOKUP($A108,ncr_merged[[#All],[column_name]],ncr_merged[[#All],[behaviour]]," ",0),
"from the NCR tab: ",_xlfn.XLOOKUP($A108,ncr_merged[[#All],[column_name]],ncr_merged[[#All],[source_tab]]),
" ")</f>
        <v xml:space="preserve">Reject file if value entered is &gt;999from the NCR tab: procedure </v>
      </c>
      <c r="H108" s="38" t="str">
        <f>_xlfn.CONCAT(_xlfn.XLOOKUP($A108,ncr_merged[[#All],[column_name]],ncr_merged[[#All],[format]]," ",0))</f>
        <v/>
      </c>
      <c r="I108" s="38" t="str">
        <f>_xlfn.CONCAT(_xlfn.XLOOKUP($A108,ncr_merged[[#All],[column_name]],ncr_merged[[#All],[permitted_values]]," ",0))</f>
        <v/>
      </c>
      <c r="J108" s="44" t="str">
        <f>_xlfn.CONCAT(_xlfn.XLOOKUP($A108,ncr_merged[[#All],[column_name]],ncr_merged[[#All],[range_(min)]]," ",0))</f>
        <v>0</v>
      </c>
      <c r="K108" s="44" t="str">
        <f>_xlfn.CONCAT(_xlfn.XLOOKUP($A108,ncr_merged[[#All],[column_name]],ncr_merged[[#All],[range_(max)]]," ",0))</f>
        <v>999</v>
      </c>
      <c r="M108" s="38" t="str" cm="1">
        <f t="array" ref="M108">_xlfn.CONCAT(IFERROR(_xlfn.XLOOKUP(data_elements_bkp!A108,Table_query__5[[#All],[NCR Variable ID]],Table_query__5[[#All],[in_progress]]),""))</f>
        <v/>
      </c>
    </row>
    <row r="109" spans="1:13" x14ac:dyDescent="0.2">
      <c r="A109" s="38" t="str">
        <v>tft</v>
      </c>
      <c r="B109" s="38" t="str" cm="1">
        <f t="array" ref="B109">_xlfn.XLOOKUP($A109,ncr_merged[[#All],[column_name]],ncr_merged[[#All],[label]]," ",0)</f>
        <v>Total fluoroscopy time in mins</v>
      </c>
      <c r="E109" s="38" t="str">
        <f>_xlfn.CONCAT(_xlfn.XLOOKUP($A109,ncr_merged[[#All],[column_name]],ncr_merged[[#All],[question]]," ",0),_xlfn.XLOOKUP($A109,ncr_merged[[#All],[column_name]],ncr_merged[[#All],[supporting_definition]]," ",0))</f>
        <v>What was the total fluoroscopy time?Indicate the total fluoroscopy time in mins. Report to the nearest 0.1 min</v>
      </c>
      <c r="F109" s="38" t="str">
        <f>_xlfn.CONCAT(_xlfn.XLOOKUP($A109,ncr_merged[[#All],[column_name]],ncr_merged[[#All],[required]]," ",0),"")</f>
        <v/>
      </c>
      <c r="G109" s="38" t="str">
        <f>_xlfn.CONCAT(_xlfn.XLOOKUP($A109,ncr_merged[[#All],[column_name]],ncr_merged[[#All],[comments]]," ",0),
_xlfn.XLOOKUP($A109,ncr_merged[[#All],[column_name]],ncr_merged[[#All],[validation_rule]]," ",0),
_xlfn.XLOOKUP($A109,ncr_merged[[#All],[column_name]],ncr_merged[[#All],[behaviour]]," ",0),
"from the NCR tab: ",_xlfn.XLOOKUP($A109,ncr_merged[[#All],[column_name]],ncr_merged[[#All],[source_tab]]),
" ")</f>
        <v xml:space="preserve">Reject file if value entered if &gt;300from the NCR tab: procedure </v>
      </c>
      <c r="H109" s="38" t="str">
        <f>_xlfn.CONCAT(_xlfn.XLOOKUP($A109,ncr_merged[[#All],[column_name]],ncr_merged[[#All],[format]]," ",0))</f>
        <v>N.NN</v>
      </c>
      <c r="I109" s="38" t="str">
        <f>_xlfn.CONCAT(_xlfn.XLOOKUP($A109,ncr_merged[[#All],[column_name]],ncr_merged[[#All],[permitted_values]]," ",0))</f>
        <v/>
      </c>
      <c r="J109" s="44" t="str">
        <f>_xlfn.CONCAT(_xlfn.XLOOKUP($A109,ncr_merged[[#All],[column_name]],ncr_merged[[#All],[range_(min)]]," ",0))</f>
        <v>0.1</v>
      </c>
      <c r="K109" s="44" t="str">
        <f>_xlfn.CONCAT(_xlfn.XLOOKUP($A109,ncr_merged[[#All],[column_name]],ncr_merged[[#All],[range_(max)]]," ",0))</f>
        <v>300.0</v>
      </c>
      <c r="M109" s="38" t="str" cm="1">
        <f t="array" ref="M109">_xlfn.CONCAT(IFERROR(_xlfn.XLOOKUP(data_elements_bkp!A109,Table_query__5[[#All],[NCR Variable ID]],Table_query__5[[#All],[in_progress]]),""))</f>
        <v/>
      </c>
    </row>
    <row r="110" spans="1:13" x14ac:dyDescent="0.2">
      <c r="A110" s="38" t="str">
        <v>ihmi</v>
      </c>
      <c r="B110" s="38" t="str" cm="1">
        <f t="array" ref="B110">_xlfn.XLOOKUP($A110,ncr_merged[[#All],[column_name]],ncr_merged[[#All],[label]]," ",0)</f>
        <v>In-hospital MI</v>
      </c>
      <c r="E110" s="38" t="str">
        <f>_xlfn.CONCAT(_xlfn.XLOOKUP($A110,ncr_merged[[#All],[column_name]],ncr_merged[[#All],[question]]," ",0),_xlfn.XLOOKUP($A110,ncr_merged[[#All],[column_name]],ncr_merged[[#All],[supporting_definition]]," ",0))</f>
        <v>Did the patient experience a myocardial infarction while an in-patient?Indicate whether the patient experienced the NEW presence of myocardial infarction (MI) either during the index cardiac catheter lab visit, after the lab visit or any subsequent lab visits, but prior to discharge. 
There may be some minor variation in the way participating registries define this item.
Supporting definition:
The in-hospital, PCI-related MI MUST be a distinct clinical event that can be identified as a separate event to the index PCI. As such, the in-hospital NEW or recurrent MI will differ among patients presenting with normal cardiac biomarker levels and those patients whose pre-procedure baseline biomarker levels are elevated.
1. Patients with NORMAL baseline biomarker levels, the NEW or recurrent MI MUST include:
- Elevated biomarkers* &gt;5 the upper limit of normal (ULN) ≤48 hours of index PCI
AND AT LEAST ONE of the following: 
- Evolutionary ST segment elevation (≥0.1mV) distinct from the index event
- Development of new Q-waves (≥40ms duration) in 2 or more contiguous ECG leads 
- Ischaemic symptoms (with or without chest discomfort) lasting ≥20mins
- Angiographic evidence flow limiting complications (embolism, persistent slow-flow or no re-flow, etc.)
- Imaging evidence of new loss of myocardium or new regional wall flow abnormality
Note: CABG-related peri-procedural MI (within 48 hours of CABG) requires CK-MB  ≥10x ULN.
2.Patients with ELEVATED baseline cardiac biomarker levels.
If cardiac biomarker levels are still rising (have not peaked) at the time of the index PCI procedure, an in-hospital NEW or recurrent MI CANNOT be diagnosed. For patients whose elevated cardiac biomarker level HAVE PEAKED (no longer rising) by the current PCI procedure time, the in-hospital MI MUST  include: 
- A NEW elevation of biomarkers ≥20% from the pre-procedural cardiac biomarker levels 
AND AT LEAST ONE of the following: 
- Evolutionary ST segment elevation (≥0.1mV) distinct from the index event; 
- Development of new Q-waves (≥40ms duration) in 2 or more contiguous ECG leads;
- Ischaemic symptoms (with or without chest discomfort) lasting &gt;20mins; 
- Angiographic evidence flow limiting complications (embolism, persistent slow-flow or no re-flow, etc.).
- Imaging evidence of new loss of myocardium or new regional wall flow abnormality. 
Note: CABG-related peri-procedural MI (within 48 hours of CABG) requires CK-MB  ≥10x ULN.
* Troponin (T or I) is the preferred cardiac biomarker for defining the presence of MI. In the absence of Troponin, CK-MB is the best alternative (but total CK can be used, where CK-MB and Troponin are both unavailable).</v>
      </c>
      <c r="F110" s="38" t="str">
        <f>_xlfn.CONCAT(_xlfn.XLOOKUP($A110,ncr_merged[[#All],[column_name]],ncr_merged[[#All],[required]]," ",0),"")</f>
        <v>Always</v>
      </c>
      <c r="G110" s="38" t="str">
        <f>_xlfn.CONCAT(_xlfn.XLOOKUP($A110,ncr_merged[[#All],[column_name]],ncr_merged[[#All],[comments]]," ",0),
_xlfn.XLOOKUP($A110,ncr_merged[[#All],[column_name]],ncr_merged[[#All],[validation_rule]]," ",0),
_xlfn.XLOOKUP($A110,ncr_merged[[#All],[column_name]],ncr_merged[[#All],[behaviour]]," ",0),
"from the NCR tab: ",_xlfn.XLOOKUP($A110,ncr_merged[[#All],[column_name]],ncr_merged[[#All],[source_tab]]),
" ")</f>
        <v xml:space="preserve">Reject file if NULLfrom the NCR tab: post_procedural </v>
      </c>
      <c r="H110" s="38" t="str">
        <f>_xlfn.CONCAT(_xlfn.XLOOKUP($A110,ncr_merged[[#All],[column_name]],ncr_merged[[#All],[format]]," ",0))</f>
        <v/>
      </c>
      <c r="I110" s="38" t="str">
        <f>_xlfn.CONCAT(_xlfn.XLOOKUP($A110,ncr_merged[[#All],[column_name]],ncr_merged[[#All],[permitted_values]]," ",0))</f>
        <v>0=No
1=Yes</v>
      </c>
      <c r="J110" s="44" t="str">
        <f>_xlfn.CONCAT(_xlfn.XLOOKUP($A110,ncr_merged[[#All],[column_name]],ncr_merged[[#All],[range_(min)]]," ",0))</f>
        <v>0</v>
      </c>
      <c r="K110" s="44" t="str">
        <f>_xlfn.CONCAT(_xlfn.XLOOKUP($A110,ncr_merged[[#All],[column_name]],ncr_merged[[#All],[range_(max)]]," ",0))</f>
        <v>1</v>
      </c>
      <c r="M110" s="38" t="str" cm="1">
        <f t="array" ref="M110">_xlfn.CONCAT(IFERROR(_xlfn.XLOOKUP(data_elements_bkp!A110,Table_query__5[[#All],[NCR Variable ID]],Table_query__5[[#All],[in_progress]]),""))</f>
        <v/>
      </c>
    </row>
    <row r="111" spans="1:13" x14ac:dyDescent="0.2">
      <c r="A111" s="38" t="str">
        <v>ihpci</v>
      </c>
      <c r="B111" s="38" t="str" cm="1">
        <f t="array" ref="B111">_xlfn.XLOOKUP($A111,ncr_merged[[#All],[column_name]],ncr_merged[[#All],[label]]," ",0)</f>
        <v>Subsequent PCI (in this admission)</v>
      </c>
      <c r="E111" s="38" t="str">
        <f>_xlfn.CONCAT(_xlfn.XLOOKUP($A111,ncr_merged[[#All],[column_name]],ncr_merged[[#All],[question]]," ",0),_xlfn.XLOOKUP($A111,ncr_merged[[#All],[column_name]],ncr_merged[[#All],[supporting_definition]]," ",0))</f>
        <v>Did the patient undergo a subsequent PCI during the same admission?Indicate if the patient underwent a subsequent PCI (distinct from the index PCI) after the cardiac catheter lab visit, but prior to discharge. 
Note: This includes emergent PCI revascularisations and/or planned, staged PCI visits to the cardiac catheter lab during the index admission, but prior to discharge.</v>
      </c>
      <c r="F111" s="38" t="str">
        <f>_xlfn.CONCAT(_xlfn.XLOOKUP($A111,ncr_merged[[#All],[column_name]],ncr_merged[[#All],[required]]," ",0),"")</f>
        <v>Always</v>
      </c>
      <c r="G111" s="38" t="str">
        <f>_xlfn.CONCAT(_xlfn.XLOOKUP($A111,ncr_merged[[#All],[column_name]],ncr_merged[[#All],[comments]]," ",0),
_xlfn.XLOOKUP($A111,ncr_merged[[#All],[column_name]],ncr_merged[[#All],[validation_rule]]," ",0),
_xlfn.XLOOKUP($A111,ncr_merged[[#All],[column_name]],ncr_merged[[#All],[behaviour]]," ",0),
"from the NCR tab: ",_xlfn.XLOOKUP($A111,ncr_merged[[#All],[column_name]],ncr_merged[[#All],[source_tab]]),
" ")</f>
        <v xml:space="preserve">Reject file if NULLfrom the NCR tab: post_procedural </v>
      </c>
      <c r="H111" s="38" t="str">
        <f>_xlfn.CONCAT(_xlfn.XLOOKUP($A111,ncr_merged[[#All],[column_name]],ncr_merged[[#All],[format]]," ",0))</f>
        <v>N</v>
      </c>
      <c r="I111" s="38" t="str">
        <f>_xlfn.CONCAT(_xlfn.XLOOKUP($A111,ncr_merged[[#All],[column_name]],ncr_merged[[#All],[permitted_values]]," ",0))</f>
        <v>0=No
1=Yes</v>
      </c>
      <c r="J111" s="44" t="str">
        <f>_xlfn.CONCAT(_xlfn.XLOOKUP($A111,ncr_merged[[#All],[column_name]],ncr_merged[[#All],[range_(min)]]," ",0))</f>
        <v>0</v>
      </c>
      <c r="K111" s="44" t="str">
        <f>_xlfn.CONCAT(_xlfn.XLOOKUP($A111,ncr_merged[[#All],[column_name]],ncr_merged[[#All],[range_(max)]]," ",0))</f>
        <v>1</v>
      </c>
      <c r="M111" s="38" t="str" cm="1">
        <f t="array" ref="M111">_xlfn.CONCAT(IFERROR(_xlfn.XLOOKUP(data_elements_bkp!A111,Table_query__5[[#All],[NCR Variable ID]],Table_query__5[[#All],[in_progress]]),""))</f>
        <v/>
      </c>
    </row>
    <row r="112" spans="1:13" x14ac:dyDescent="0.2">
      <c r="A112" s="38" t="str">
        <v>ihpcip</v>
      </c>
      <c r="B112" s="38" t="str" cm="1">
        <f t="array" ref="B112">_xlfn.XLOOKUP($A112,ncr_merged[[#All],[column_name]],ncr_merged[[#All],[label]]," ",0)</f>
        <v>Planned subsequent PCI</v>
      </c>
      <c r="E112" s="38" t="str">
        <f>_xlfn.CONCAT(_xlfn.XLOOKUP($A112,ncr_merged[[#All],[column_name]],ncr_merged[[#All],[question]]," ",0),_xlfn.XLOOKUP($A112,ncr_merged[[#All],[column_name]],ncr_merged[[#All],[supporting_definition]]," ",0))</f>
        <v>Where item Subsequent PCI was coded ‘yes’, was the subsequent PCI planned?Indicate whether the subsequent PCI was planned. 
Note: A ‘planned in-hospital PCI’ is defined as a STAGED or scheduled elective PCI only.   For emergent PCI interventions that were not previously scheduled, code as ‘no’.
Note: Any target vessel revascularisation of a successfully treated lesion should be coded as ‘unplanned’.  Subsequent revascularisations of a previous unsuccessfully treated lesion is situation dependant .</v>
      </c>
      <c r="F112" s="38" t="str">
        <f>_xlfn.CONCAT(_xlfn.XLOOKUP($A112,ncr_merged[[#All],[column_name]],ncr_merged[[#All],[required]]," ",0),"")</f>
        <v>If IHPCI=1</v>
      </c>
      <c r="G112" s="38" t="str">
        <f>_xlfn.CONCAT(_xlfn.XLOOKUP($A112,ncr_merged[[#All],[column_name]],ncr_merged[[#All],[comments]]," ",0),
_xlfn.XLOOKUP($A112,ncr_merged[[#All],[column_name]],ncr_merged[[#All],[validation_rule]]," ",0),
_xlfn.XLOOKUP($A112,ncr_merged[[#All],[column_name]],ncr_merged[[#All],[behaviour]]," ",0),
"from the NCR tab: ",_xlfn.XLOOKUP($A112,ncr_merged[[#All],[column_name]],ncr_merged[[#All],[source_tab]]),
" ")</f>
        <v xml:space="preserve">Reject file if ihpci=0 and ihpcip has data
Reject file if ihpci=1 and ihpcip is NULLfrom the NCR tab: post_procedural </v>
      </c>
      <c r="H112" s="38" t="str">
        <f>_xlfn.CONCAT(_xlfn.XLOOKUP($A112,ncr_merged[[#All],[column_name]],ncr_merged[[#All],[format]]," ",0))</f>
        <v>N</v>
      </c>
      <c r="I112" s="38" t="str">
        <f>_xlfn.CONCAT(_xlfn.XLOOKUP($A112,ncr_merged[[#All],[column_name]],ncr_merged[[#All],[permitted_values]]," ",0))</f>
        <v>0=No
1=Yes</v>
      </c>
      <c r="J112" s="44" t="str">
        <f>_xlfn.CONCAT(_xlfn.XLOOKUP($A112,ncr_merged[[#All],[column_name]],ncr_merged[[#All],[range_(min)]]," ",0))</f>
        <v>0</v>
      </c>
      <c r="K112" s="44" t="str">
        <f>_xlfn.CONCAT(_xlfn.XLOOKUP($A112,ncr_merged[[#All],[column_name]],ncr_merged[[#All],[range_(max)]]," ",0))</f>
        <v>1</v>
      </c>
      <c r="M112" s="38" t="str" cm="1">
        <f t="array" ref="M112">_xlfn.CONCAT(IFERROR(_xlfn.XLOOKUP(data_elements_bkp!A112,Table_query__5[[#All],[NCR Variable ID]],Table_query__5[[#All],[in_progress]]),""))</f>
        <v/>
      </c>
    </row>
    <row r="113" spans="1:13" x14ac:dyDescent="0.2">
      <c r="A113" s="38" t="str">
        <v>ihtvr</v>
      </c>
      <c r="B113" s="38" t="str" cm="1">
        <f t="array" ref="B113">_xlfn.XLOOKUP($A113,ncr_merged[[#All],[column_name]],ncr_merged[[#All],[label]]," ",0)</f>
        <v>In-hospital Target Vessel (PCI)</v>
      </c>
      <c r="E113" s="38" t="str">
        <f>_xlfn.CONCAT(_xlfn.XLOOKUP($A113,ncr_merged[[#All],[column_name]],ncr_merged[[#All],[question]]," ",0),_xlfn.XLOOKUP($A113,ncr_merged[[#All],[column_name]],ncr_merged[[#All],[supporting_definition]]," ",0))</f>
        <v>Where item Subsequent PCI was coded ‘yes’, was the target vessel revascularised?Indicate whether the target vessel was revascularised during the subsequent in-hospital PCI. 
Note: A PCI TVR is any revascularisation due to restenosis/occlusion within the target coronary artery and/or the same arterial branch that was treated during the index PCI. This includes any percutaneous revascularisation within the same arterial branch treated during the index PCI, regardless of whether the index PCI was successful.</v>
      </c>
      <c r="F113" s="38" t="str">
        <f>_xlfn.CONCAT(_xlfn.XLOOKUP($A113,ncr_merged[[#All],[column_name]],ncr_merged[[#All],[required]]," ",0),"")</f>
        <v>If IHPCI=1</v>
      </c>
      <c r="G113" s="38" t="str">
        <f>_xlfn.CONCAT(_xlfn.XLOOKUP($A113,ncr_merged[[#All],[column_name]],ncr_merged[[#All],[comments]]," ",0),
_xlfn.XLOOKUP($A113,ncr_merged[[#All],[column_name]],ncr_merged[[#All],[validation_rule]]," ",0),
_xlfn.XLOOKUP($A113,ncr_merged[[#All],[column_name]],ncr_merged[[#All],[behaviour]]," ",0),
"from the NCR tab: ",_xlfn.XLOOKUP($A113,ncr_merged[[#All],[column_name]],ncr_merged[[#All],[source_tab]]),
" ")</f>
        <v xml:space="preserve">Reject file if ihpci=0 and intvr has data
Reject file if ihpci =1 and ihtvr is NULLfrom the NCR tab: post_procedural </v>
      </c>
      <c r="H113" s="38" t="str">
        <f>_xlfn.CONCAT(_xlfn.XLOOKUP($A113,ncr_merged[[#All],[column_name]],ncr_merged[[#All],[format]]," ",0))</f>
        <v>N</v>
      </c>
      <c r="I113" s="38" t="str">
        <f>_xlfn.CONCAT(_xlfn.XLOOKUP($A113,ncr_merged[[#All],[column_name]],ncr_merged[[#All],[permitted_values]]," ",0))</f>
        <v>0=No
1=Yes</v>
      </c>
      <c r="J113" s="44" t="str">
        <f>_xlfn.CONCAT(_xlfn.XLOOKUP($A113,ncr_merged[[#All],[column_name]],ncr_merged[[#All],[range_(min)]]," ",0))</f>
        <v>0</v>
      </c>
      <c r="K113" s="44" t="str">
        <f>_xlfn.CONCAT(_xlfn.XLOOKUP($A113,ncr_merged[[#All],[column_name]],ncr_merged[[#All],[range_(max)]]," ",0))</f>
        <v>1</v>
      </c>
      <c r="M113" s="38" t="str" cm="1">
        <f t="array" ref="M113">_xlfn.CONCAT(IFERROR(_xlfn.XLOOKUP(data_elements_bkp!A113,Table_query__5[[#All],[NCR Variable ID]],Table_query__5[[#All],[in_progress]]),""))</f>
        <v/>
      </c>
    </row>
    <row r="114" spans="1:13" x14ac:dyDescent="0.2">
      <c r="A114" s="38" t="str">
        <v>ihtlr</v>
      </c>
      <c r="B114" s="38" t="str" cm="1">
        <f t="array" ref="B114">_xlfn.XLOOKUP($A114,ncr_merged[[#All],[column_name]],ncr_merged[[#All],[label]]," ",0)</f>
        <v>In-hospital target LESION revascularisation</v>
      </c>
      <c r="E114" s="38" t="str">
        <f>_xlfn.CONCAT(_xlfn.XLOOKUP($A114,ncr_merged[[#All],[column_name]],ncr_merged[[#All],[question]]," ",0),_xlfn.XLOOKUP($A114,ncr_merged[[#All],[column_name]],ncr_merged[[#All],[supporting_definition]]," ",0))</f>
        <v>Where item In-hospital TVR was coded ‘yes’, was the target lesion also revascularised?Indicate whether the target LESION was also revascularised during the subsequent in-hospital PCI. 
Note: A target lesion revascularisation (TLR) is any revascularisation of the same LESION treated during the index PCI.  This includes treatment of a restenosis/occlusion within a stent implanted during the index PCI (or within 5-mm of the proximal and distal margins of the stent edges). It also includes attempts to revascularise the target lesion where a stent was not successfully implanted and/or plain old balloon angioplasty (POBA) was employed during the index PCI.</v>
      </c>
      <c r="F114" s="38" t="str">
        <f>_xlfn.CONCAT(_xlfn.XLOOKUP($A114,ncr_merged[[#All],[column_name]],ncr_merged[[#All],[required]]," ",0),"")</f>
        <v>If IHTVR=1</v>
      </c>
      <c r="G114" s="38" t="str">
        <f>_xlfn.CONCAT(_xlfn.XLOOKUP($A114,ncr_merged[[#All],[column_name]],ncr_merged[[#All],[comments]]," ",0),
_xlfn.XLOOKUP($A114,ncr_merged[[#All],[column_name]],ncr_merged[[#All],[validation_rule]]," ",0),
_xlfn.XLOOKUP($A114,ncr_merged[[#All],[column_name]],ncr_merged[[#All],[behaviour]]," ",0),
"from the NCR tab: ",_xlfn.XLOOKUP($A114,ncr_merged[[#All],[column_name]],ncr_merged[[#All],[source_tab]]),
" ")</f>
        <v xml:space="preserve">Reject file if ihtvr=0 and ihtlr has data
Reject file if ihtvr=1 and ihtlr is NULLfrom the NCR tab: post_procedural </v>
      </c>
      <c r="H114" s="38" t="str">
        <f>_xlfn.CONCAT(_xlfn.XLOOKUP($A114,ncr_merged[[#All],[column_name]],ncr_merged[[#All],[format]]," ",0))</f>
        <v>N</v>
      </c>
      <c r="I114" s="38" t="str">
        <f>_xlfn.CONCAT(_xlfn.XLOOKUP($A114,ncr_merged[[#All],[column_name]],ncr_merged[[#All],[permitted_values]]," ",0))</f>
        <v>0=No
1=Yes</v>
      </c>
      <c r="J114" s="44" t="str">
        <f>_xlfn.CONCAT(_xlfn.XLOOKUP($A114,ncr_merged[[#All],[column_name]],ncr_merged[[#All],[range_(min)]]," ",0))</f>
        <v>0</v>
      </c>
      <c r="K114" s="44" t="str">
        <f>_xlfn.CONCAT(_xlfn.XLOOKUP($A114,ncr_merged[[#All],[column_name]],ncr_merged[[#All],[range_(max)]]," ",0))</f>
        <v>1</v>
      </c>
      <c r="M114" s="38" t="str" cm="1">
        <f t="array" ref="M114">_xlfn.CONCAT(IFERROR(_xlfn.XLOOKUP(data_elements_bkp!A114,Table_query__5[[#All],[NCR Variable ID]],Table_query__5[[#All],[in_progress]]),""))</f>
        <v/>
      </c>
    </row>
    <row r="115" spans="1:13" x14ac:dyDescent="0.2">
      <c r="A115" s="38" t="str">
        <v>ihcab</v>
      </c>
      <c r="B115" s="38" t="str" cm="1">
        <f t="array" ref="B115">_xlfn.XLOOKUP($A115,ncr_merged[[#All],[column_name]],ncr_merged[[#All],[label]]," ",0)</f>
        <v>In-hospital cardiothoracic surgery</v>
      </c>
      <c r="E115" s="38" t="str">
        <f>_xlfn.CONCAT(_xlfn.XLOOKUP($A115,ncr_merged[[#All],[column_name]],ncr_merged[[#All],[question]]," ",0),_xlfn.XLOOKUP($A115,ncr_merged[[#All],[column_name]],ncr_merged[[#All],[supporting_definition]]," ",0))</f>
        <v>Did the patient undergo or was transferred for cardiothoracic surgery prior to discharge?Indicate if the patient underwent or was transferred for cardiothoracic surgery (whether or not this actually involved the placing of bypass grafts) either during the cardiac catheter lab visit, after the lab visit, but prior to discharge and/or any subsequent lab visits. 
Note: The surgery should be cardiothoracic (i.e. not related to peripheral vascular complications). The surgical indication may have been, but are not exclusive to: 
-Prompted/indicated by a need to correct an emergency complication of the index PCI (e.g. abrupt vessel closure, cardiac vessel perforation, dissection of a thoracic great vessel, etc.); OR  
-CABG to revascularise the target vessel treated during the index PCI; either during or after the catheter lab visit, but prior to discharge and/or any subsequent lab visits; OR 
-For a patient who underwent a successful PCI (e.g. for an ACS) but required a CABG for anatomical or pre-existing CAD indications (e.g. left-main disease, triple-vessel disease, etc.).
Note:  If the patient was transferred from the index hospital to a tertiary facility for cardiothoracic surgery as part of ongoing treatment related to the index PCI (e.g. emergency CABG) then code as ‘yes’.</v>
      </c>
      <c r="F115" s="38" t="str">
        <f>_xlfn.CONCAT(_xlfn.XLOOKUP($A115,ncr_merged[[#All],[column_name]],ncr_merged[[#All],[required]]," ",0),"")</f>
        <v>Always</v>
      </c>
      <c r="G115" s="38" t="str">
        <f>_xlfn.CONCAT(_xlfn.XLOOKUP($A115,ncr_merged[[#All],[column_name]],ncr_merged[[#All],[comments]]," ",0),
_xlfn.XLOOKUP($A115,ncr_merged[[#All],[column_name]],ncr_merged[[#All],[validation_rule]]," ",0),
_xlfn.XLOOKUP($A115,ncr_merged[[#All],[column_name]],ncr_merged[[#All],[behaviour]]," ",0),
"from the NCR tab: ",_xlfn.XLOOKUP($A115,ncr_merged[[#All],[column_name]],ncr_merged[[#All],[source_tab]]),
" ")</f>
        <v xml:space="preserve">Reject file if NULLfrom the NCR tab: post_procedural </v>
      </c>
      <c r="H115" s="38" t="str">
        <f>_xlfn.CONCAT(_xlfn.XLOOKUP($A115,ncr_merged[[#All],[column_name]],ncr_merged[[#All],[format]]," ",0))</f>
        <v/>
      </c>
      <c r="I115" s="38" t="str">
        <f>_xlfn.CONCAT(_xlfn.XLOOKUP($A115,ncr_merged[[#All],[column_name]],ncr_merged[[#All],[permitted_values]]," ",0))</f>
        <v>0=No
1=Yes</v>
      </c>
      <c r="J115" s="44" t="str">
        <f>_xlfn.CONCAT(_xlfn.XLOOKUP($A115,ncr_merged[[#All],[column_name]],ncr_merged[[#All],[range_(min)]]," ",0))</f>
        <v>0</v>
      </c>
      <c r="K115" s="44" t="str">
        <f>_xlfn.CONCAT(_xlfn.XLOOKUP($A115,ncr_merged[[#All],[column_name]],ncr_merged[[#All],[range_(max)]]," ",0))</f>
        <v>1</v>
      </c>
      <c r="M115" s="38" t="str" cm="1">
        <f t="array" ref="M115">_xlfn.CONCAT(IFERROR(_xlfn.XLOOKUP(data_elements_bkp!A115,Table_query__5[[#All],[NCR Variable ID]],Table_query__5[[#All],[in_progress]]),""))</f>
        <v/>
      </c>
    </row>
    <row r="116" spans="1:13" x14ac:dyDescent="0.2">
      <c r="A116" s="38" t="str">
        <v>ihpcab</v>
      </c>
      <c r="B116" s="38" t="str" cm="1">
        <f t="array" ref="B116">_xlfn.XLOOKUP($A116,ncr_merged[[#All],[column_name]],ncr_merged[[#All],[label]]," ",0)</f>
        <v>Planned cardiothoracic surgery</v>
      </c>
      <c r="E116" s="38" t="str">
        <f>_xlfn.CONCAT(_xlfn.XLOOKUP($A116,ncr_merged[[#All],[column_name]],ncr_merged[[#All],[question]]," ",0),_xlfn.XLOOKUP($A116,ncr_merged[[#All],[column_name]],ncr_merged[[#All],[supporting_definition]]," ",0))</f>
        <v>Where item In-hospital cardiothoracic surgery was coded ‘yes’, was the cardiothoracic surgery was planned?Indicate whether the cardiothoracic surgery was planned. 
Note: A ‘planned cardiothoracic surgery’ is defined as a SCHEDULED surgical event only. For emergent surgeries that were not scheduled or planned, code as ‘no’.
Note: Any target vessel revascularisation of a successfully treated lesion should be coded as ‘unplanned’.  Subsequent revascularisations of a previous unsuccessfully treated lesion is situation dependant Please contact NCR project team if unsure.</v>
      </c>
      <c r="F116" s="38" t="str">
        <f>_xlfn.CONCAT(_xlfn.XLOOKUP($A116,ncr_merged[[#All],[column_name]],ncr_merged[[#All],[required]]," ",0),"")</f>
        <v>If ihcab=1</v>
      </c>
      <c r="G116" s="38" t="str">
        <f>_xlfn.CONCAT(_xlfn.XLOOKUP($A116,ncr_merged[[#All],[column_name]],ncr_merged[[#All],[comments]]," ",0),
_xlfn.XLOOKUP($A116,ncr_merged[[#All],[column_name]],ncr_merged[[#All],[validation_rule]]," ",0),
_xlfn.XLOOKUP($A116,ncr_merged[[#All],[column_name]],ncr_merged[[#All],[behaviour]]," ",0),
"from the NCR tab: ",_xlfn.XLOOKUP($A116,ncr_merged[[#All],[column_name]],ncr_merged[[#All],[source_tab]]),
" ")</f>
        <v xml:space="preserve">Reject file if ihcab=0 and ihpcab has data
Reject file if ihcab=1 and ihpcab is NULLfrom the NCR tab: post_procedural </v>
      </c>
      <c r="H116" s="38" t="str">
        <f>_xlfn.CONCAT(_xlfn.XLOOKUP($A116,ncr_merged[[#All],[column_name]],ncr_merged[[#All],[format]]," ",0))</f>
        <v/>
      </c>
      <c r="I116" s="38" t="str">
        <f>_xlfn.CONCAT(_xlfn.XLOOKUP($A116,ncr_merged[[#All],[column_name]],ncr_merged[[#All],[permitted_values]]," ",0))</f>
        <v>0=No
1=Yes</v>
      </c>
      <c r="J116" s="44" t="str">
        <f>_xlfn.CONCAT(_xlfn.XLOOKUP($A116,ncr_merged[[#All],[column_name]],ncr_merged[[#All],[range_(min)]]," ",0))</f>
        <v>0</v>
      </c>
      <c r="K116" s="44" t="str">
        <f>_xlfn.CONCAT(_xlfn.XLOOKUP($A116,ncr_merged[[#All],[column_name]],ncr_merged[[#All],[range_(max)]]," ",0))</f>
        <v>1</v>
      </c>
      <c r="M116" s="38" t="str" cm="1">
        <f t="array" ref="M116">_xlfn.CONCAT(IFERROR(_xlfn.XLOOKUP(data_elements_bkp!A116,Table_query__5[[#All],[NCR Variable ID]],Table_query__5[[#All],[in_progress]]),""))</f>
        <v/>
      </c>
    </row>
    <row r="117" spans="1:13" x14ac:dyDescent="0.2">
      <c r="A117" s="38" t="str">
        <v>ihtvcab</v>
      </c>
      <c r="B117" s="38" t="str" cm="1">
        <f t="array" ref="B117">_xlfn.XLOOKUP($A117,ncr_merged[[#All],[column_name]],ncr_merged[[#All],[label]]," ",0)</f>
        <v>In-hospital TVR (CABG)</v>
      </c>
      <c r="E117" s="38" t="str">
        <f>_xlfn.CONCAT(_xlfn.XLOOKUP($A117,ncr_merged[[#All],[column_name]],ncr_merged[[#All],[question]]," ",0),_xlfn.XLOOKUP($A117,ncr_merged[[#All],[column_name]],ncr_merged[[#All],[supporting_definition]]," ",0))</f>
        <v>Where In-hospital cardiothoracic surgery was coded ‘yes’, did the surgery involve the placing of coronary artery bypass grafts to revascularise the target vessel?Indicate whether the surgery involved the placing of coronary artery bypass grafts to revascularise the target vessel that was treated during the index PCI. 
Note: A TVR CABG is a bypass revascularisation due to restenosis/occlusion within the target coronary artery and/or the same arterial branch treated during the index PCI.</v>
      </c>
      <c r="F117" s="38" t="str">
        <f>_xlfn.CONCAT(_xlfn.XLOOKUP($A117,ncr_merged[[#All],[column_name]],ncr_merged[[#All],[required]]," ",0),"")</f>
        <v>If ihcab=1</v>
      </c>
      <c r="G117" s="38" t="str">
        <f>_xlfn.CONCAT(_xlfn.XLOOKUP($A117,ncr_merged[[#All],[column_name]],ncr_merged[[#All],[comments]]," ",0),
_xlfn.XLOOKUP($A117,ncr_merged[[#All],[column_name]],ncr_merged[[#All],[validation_rule]]," ",0),
_xlfn.XLOOKUP($A117,ncr_merged[[#All],[column_name]],ncr_merged[[#All],[behaviour]]," ",0),
"from the NCR tab: ",_xlfn.XLOOKUP($A117,ncr_merged[[#All],[column_name]],ncr_merged[[#All],[source_tab]]),
" ")</f>
        <v xml:space="preserve">Reject file if ihcab=0 and ihtvcab has data
Reject file if ihcab=1 and ihtvcab is NULLfrom the NCR tab: post_procedural </v>
      </c>
      <c r="H117" s="38" t="str">
        <f>_xlfn.CONCAT(_xlfn.XLOOKUP($A117,ncr_merged[[#All],[column_name]],ncr_merged[[#All],[format]]," ",0))</f>
        <v/>
      </c>
      <c r="I117" s="38" t="str">
        <f>_xlfn.CONCAT(_xlfn.XLOOKUP($A117,ncr_merged[[#All],[column_name]],ncr_merged[[#All],[permitted_values]]," ",0))</f>
        <v>0=No
1=Yes</v>
      </c>
      <c r="J117" s="44" t="str">
        <f>_xlfn.CONCAT(_xlfn.XLOOKUP($A117,ncr_merged[[#All],[column_name]],ncr_merged[[#All],[range_(min)]]," ",0))</f>
        <v>0</v>
      </c>
      <c r="K117" s="44" t="str">
        <f>_xlfn.CONCAT(_xlfn.XLOOKUP($A117,ncr_merged[[#All],[column_name]],ncr_merged[[#All],[range_(max)]]," ",0))</f>
        <v>1</v>
      </c>
      <c r="M117" s="38" t="str" cm="1">
        <f t="array" ref="M117">_xlfn.CONCAT(IFERROR(_xlfn.XLOOKUP(data_elements_bkp!A117,Table_query__5[[#All],[NCR Variable ID]],Table_query__5[[#All],[in_progress]]),""))</f>
        <v/>
      </c>
    </row>
    <row r="118" spans="1:13" x14ac:dyDescent="0.2">
      <c r="A118" s="38" t="str">
        <v>ihstr</v>
      </c>
      <c r="B118" s="38" t="str" cm="1">
        <f t="array" ref="B118">_xlfn.XLOOKUP($A118,ncr_merged[[#All],[column_name]],ncr_merged[[#All],[label]]," ",0)</f>
        <v>In-hospital stroke</v>
      </c>
      <c r="E118" s="38" t="str">
        <f>_xlfn.CONCAT(_xlfn.XLOOKUP($A118,ncr_merged[[#All],[column_name]],ncr_merged[[#All],[question]]," ",0),_xlfn.XLOOKUP($A118,ncr_merged[[#All],[column_name]],ncr_merged[[#All],[supporting_definition]]," ",0))</f>
        <v>Did the patient experience a stroke while an in-patient?Indicate if the patient experienced a stroke or new central neurologic deficit (persisting for &gt; 72 hours) during the cardiac catheter lab visit, after the lab visit, but prior to discharge and/or any subsequent lab visits. 
Note: Stroke is evidenced by persistent loss of neurological function caused by an ischaemic or haemorrhagic event.</v>
      </c>
      <c r="F118" s="38" t="str">
        <f>_xlfn.CONCAT(_xlfn.XLOOKUP($A118,ncr_merged[[#All],[column_name]],ncr_merged[[#All],[required]]," ",0),"")</f>
        <v>Always</v>
      </c>
      <c r="G118" s="38" t="str">
        <f>_xlfn.CONCAT(_xlfn.XLOOKUP($A118,ncr_merged[[#All],[column_name]],ncr_merged[[#All],[comments]]," ",0),
_xlfn.XLOOKUP($A118,ncr_merged[[#All],[column_name]],ncr_merged[[#All],[validation_rule]]," ",0),
_xlfn.XLOOKUP($A118,ncr_merged[[#All],[column_name]],ncr_merged[[#All],[behaviour]]," ",0),
"from the NCR tab: ",_xlfn.XLOOKUP($A118,ncr_merged[[#All],[column_name]],ncr_merged[[#All],[source_tab]]),
" ")</f>
        <v xml:space="preserve">Reject file if NULLfrom the NCR tab: post_procedural </v>
      </c>
      <c r="H118" s="38" t="str">
        <f>_xlfn.CONCAT(_xlfn.XLOOKUP($A118,ncr_merged[[#All],[column_name]],ncr_merged[[#All],[format]]," ",0))</f>
        <v>N</v>
      </c>
      <c r="I118" s="38" t="str">
        <f>_xlfn.CONCAT(_xlfn.XLOOKUP($A118,ncr_merged[[#All],[column_name]],ncr_merged[[#All],[permitted_values]]," ",0))</f>
        <v>0=No
1=Yes</v>
      </c>
      <c r="J118" s="44" t="str">
        <f>_xlfn.CONCAT(_xlfn.XLOOKUP($A118,ncr_merged[[#All],[column_name]],ncr_merged[[#All],[range_(min)]]," ",0))</f>
        <v>0</v>
      </c>
      <c r="K118" s="44" t="str">
        <f>_xlfn.CONCAT(_xlfn.XLOOKUP($A118,ncr_merged[[#All],[column_name]],ncr_merged[[#All],[range_(max)]]," ",0))</f>
        <v>1</v>
      </c>
      <c r="M118" s="38" t="str" cm="1">
        <f t="array" ref="M118">_xlfn.CONCAT(IFERROR(_xlfn.XLOOKUP(data_elements_bkp!A118,Table_query__5[[#All],[NCR Variable ID]],Table_query__5[[#All],[in_progress]]),""))</f>
        <v>This data could be sourced from :
The Stroke Registry (would require custodian approval).
The HMDS data for the separation (subject to the time window constraints, i.e. separation end date &amp; end time being within the period).</v>
      </c>
    </row>
    <row r="119" spans="1:13" x14ac:dyDescent="0.2">
      <c r="A119" s="38" t="str">
        <v>ihstrt</v>
      </c>
      <c r="B119" s="38" t="str" cm="1">
        <f t="array" ref="B119">_xlfn.XLOOKUP($A119,ncr_merged[[#All],[column_name]],ncr_merged[[#All],[label]]," ",0)</f>
        <v>In-hospital stroke type</v>
      </c>
      <c r="E119" s="38" t="str">
        <f>_xlfn.CONCAT(_xlfn.XLOOKUP($A119,ncr_merged[[#All],[column_name]],ncr_merged[[#All],[question]]," ",0),_xlfn.XLOOKUP($A119,ncr_merged[[#All],[column_name]],ncr_merged[[#All],[supporting_definition]]," ",0))</f>
        <v>Where In-hospital stroke was coded 'yes', specify the type of stroke.Indicate whether the stroke was haemorrhagic or ischaemic. Select ONE of the following options:
- Haemorrhagic: Imaging evidence (MRI or CT), lumbar puncture, neurosurgery or autopsy evidence confirms haemorrhage in the cerebral parenchyma, or subdural/subarachnoid haemorrhage; 
- Ischaemic: In the absence of haemorrhagic evidence, inadequate cerebral blood supply is the suspected cause of stroke.  Cerebrovascular occlusion may be caused by (but is not limited to) thrombus, embolism or vasoconstriction, etc. 
- Unknown: Stroke type could not be conclusively determined.</v>
      </c>
      <c r="F119" s="38" t="str">
        <f>_xlfn.CONCAT(_xlfn.XLOOKUP($A119,ncr_merged[[#All],[column_name]],ncr_merged[[#All],[required]]," ",0),"")</f>
        <v>If IHSTR=1</v>
      </c>
      <c r="G119" s="38" t="str">
        <f>_xlfn.CONCAT(_xlfn.XLOOKUP($A119,ncr_merged[[#All],[column_name]],ncr_merged[[#All],[comments]]," ",0),
_xlfn.XLOOKUP($A119,ncr_merged[[#All],[column_name]],ncr_merged[[#All],[validation_rule]]," ",0),
_xlfn.XLOOKUP($A119,ncr_merged[[#All],[column_name]],ncr_merged[[#All],[behaviour]]," ",0),
"from the NCR tab: ",_xlfn.XLOOKUP($A119,ncr_merged[[#All],[column_name]],ncr_merged[[#All],[source_tab]]),
" ")</f>
        <v xml:space="preserve">Reject file if ihstr=0 and Ihstrt has data
Reject file if ihstr=1 and ihstrt is NULLfrom the NCR tab: post_procedural </v>
      </c>
      <c r="H119" s="38" t="str">
        <f>_xlfn.CONCAT(_xlfn.XLOOKUP($A119,ncr_merged[[#All],[column_name]],ncr_merged[[#All],[format]]," ",0))</f>
        <v>N</v>
      </c>
      <c r="I119" s="38" t="str">
        <f>_xlfn.CONCAT(_xlfn.XLOOKUP($A119,ncr_merged[[#All],[column_name]],ncr_merged[[#All],[permitted_values]]," ",0))</f>
        <v>1=Haemorrhagic
2=Ischaemic
-1=Unknown</v>
      </c>
      <c r="J119" s="44" t="str">
        <f>_xlfn.CONCAT(_xlfn.XLOOKUP($A119,ncr_merged[[#All],[column_name]],ncr_merged[[#All],[range_(min)]]," ",0))</f>
        <v>-1</v>
      </c>
      <c r="K119" s="44" t="str">
        <f>_xlfn.CONCAT(_xlfn.XLOOKUP($A119,ncr_merged[[#All],[column_name]],ncr_merged[[#All],[range_(max)]]," ",0))</f>
        <v>2</v>
      </c>
      <c r="M119" s="38" t="str" cm="1">
        <f t="array" ref="M119">_xlfn.CONCAT(IFERROR(_xlfn.XLOOKUP(data_elements_bkp!A119,Table_query__5[[#All],[NCR Variable ID]],Table_query__5[[#All],[in_progress]]),""))</f>
        <v>This data could be sourced from :
The Stroke Registry (would require custodian approval).
The HMDS data for the separation (subject to the time window constraints, i.e. separation end date &amp; end time being within the period).</v>
      </c>
    </row>
    <row r="120" spans="1:13" x14ac:dyDescent="0.2">
      <c r="A120" s="38" t="str">
        <v>ihbl</v>
      </c>
      <c r="B120" s="38" t="str" cm="1">
        <f t="array" ref="B120">_xlfn.XLOOKUP($A120,ncr_merged[[#All],[column_name]],ncr_merged[[#All],[label]]," ",0)</f>
        <v>In-hospital bleeding</v>
      </c>
      <c r="E120" s="38" t="str">
        <f>_xlfn.CONCAT(_xlfn.XLOOKUP($A120,ncr_merged[[#All],[column_name]],ncr_merged[[#All],[question]]," ",0),_xlfn.XLOOKUP($A120,ncr_merged[[#All],[column_name]],ncr_merged[[#All],[supporting_definition]]," ",0))</f>
        <v>Did the bleeding occur during the admission?Indicate if the patient experienced a NEW bleeding event either during this cardiac catheter lab visit, after this lab visit but prior to any subsequent lab visits and prior to discharge.
BARC:
Type 0 - No bleeding
Type 1 - Bleeding that is not actionable and does not cause the patient to seek treatment
Type 2 - Any clinically overt sign of hemorrhage that “is actionable” and requires diagnostic studies, hospitalization, or treatment by a health care professional
Type 3 - 
  a.       Overt bleeding plus hemoglobin drop of 3 to &lt; 5 g/dL (provided hemoglobin drop is related to bleed); transfusion with overt bleeding
  b.      Overt bleeding plus hemoglobin drop &lt; 5 g/dL (provided hemoglobin drop is related to bleed); cardiac tamponade; bleeding requiring surgical intervention for control; bleeding requiring IV vasoactive agents
  c.       Intracranial hemorrhage confirmed by autopsy, imaging, or lumbar puncture; intraocular bleed compromising vision
Type 4 - CABG-related bleeding within 48 hours
Type 5 - 
  a.     Probable fatal bleeding
  b.     Definite fatal bleeding (overt or autopsy or imaging confirmation)</v>
      </c>
      <c r="F120" s="38" t="str">
        <f>_xlfn.CONCAT(_xlfn.XLOOKUP($A120,ncr_merged[[#All],[column_name]],ncr_merged[[#All],[required]]," ",0),"")</f>
        <v>Always</v>
      </c>
      <c r="G120" s="38" t="str">
        <f>_xlfn.CONCAT(_xlfn.XLOOKUP($A120,ncr_merged[[#All],[column_name]],ncr_merged[[#All],[comments]]," ",0),
_xlfn.XLOOKUP($A120,ncr_merged[[#All],[column_name]],ncr_merged[[#All],[validation_rule]]," ",0),
_xlfn.XLOOKUP($A120,ncr_merged[[#All],[column_name]],ncr_merged[[#All],[behaviour]]," ",0),
"from the NCR tab: ",_xlfn.XLOOKUP($A120,ncr_merged[[#All],[column_name]],ncr_merged[[#All],[source_tab]]),
" ")</f>
        <v xml:space="preserve">Reject file if NULL
Reject file if ihbl=6 and ihcab=0
Reject file if ihbl&gt;6 and dis&lt;6from the NCR tab: post_procedural </v>
      </c>
      <c r="H120" s="38" t="str">
        <f>_xlfn.CONCAT(_xlfn.XLOOKUP($A120,ncr_merged[[#All],[column_name]],ncr_merged[[#All],[format]]," ",0))</f>
        <v>N</v>
      </c>
      <c r="I120" s="38" t="str">
        <f>_xlfn.CONCAT(_xlfn.XLOOKUP($A120,ncr_merged[[#All],[column_name]],ncr_merged[[#All],[permitted_values]]," ",0))</f>
        <v>0= Type 0
1= Type 1
2=Type 2
3=Type 3a
4=Type 3b
5=Type 3c
6=Type 4
7=Type 5a
8=Type 5b</v>
      </c>
      <c r="J120" s="44" t="str">
        <f>_xlfn.CONCAT(_xlfn.XLOOKUP($A120,ncr_merged[[#All],[column_name]],ncr_merged[[#All],[range_(min)]]," ",0))</f>
        <v>0</v>
      </c>
      <c r="K120" s="44" t="str">
        <f>_xlfn.CONCAT(_xlfn.XLOOKUP($A120,ncr_merged[[#All],[column_name]],ncr_merged[[#All],[range_(max)]]," ",0))</f>
        <v>8</v>
      </c>
      <c r="M120" s="38" t="str" cm="1">
        <f t="array" ref="M120">_xlfn.CONCAT(IFERROR(_xlfn.XLOOKUP(data_elements_bkp!A120,Table_query__5[[#All],[NCR Variable ID]],Table_query__5[[#All],[in_progress]]),""))</f>
        <v>HMDS ICD L76. 22  can identify post operative bleeding but not with this level of refinement (i.e. blood loss). Type 4 identifiable.</v>
      </c>
    </row>
    <row r="121" spans="1:13" x14ac:dyDescent="0.2">
      <c r="A121" s="38" t="str">
        <v>ihblsite</v>
      </c>
      <c r="B121" s="38" t="str" cm="1">
        <f t="array" ref="B121">_xlfn.XLOOKUP($A121,ncr_merged[[#All],[column_name]],ncr_merged[[#All],[label]]," ",0)</f>
        <v>In-hospital bleeding site</v>
      </c>
      <c r="E121" s="38" t="str">
        <f>_xlfn.CONCAT(_xlfn.XLOOKUP($A121,ncr_merged[[#All],[column_name]],ncr_merged[[#All],[question]]," ",0),_xlfn.XLOOKUP($A121,ncr_merged[[#All],[column_name]],ncr_merged[[#All],[supporting_definition]]," ",0))</f>
        <v>Where in-hospital bleeding was coded 'Type 1, 2, 3a, 3b, 3c, 4, 5a, or 5b', specify the site.Indicate the bleeding site from the following:
- Retroperitoneal - Indicate whether retroperitoneal bleeding occurred during or after the cath lab visit and until discharge. 
- Percutaneous entry site - Indicate whether bleeding occurred at the percutaneous entry site during or after the cath lab visit and until discharge.  Bleeding at the percutaneous entry site can be external or a haematoma &gt;10cm for femoral access or &gt;2cm for radial access or &gt;5cm for brachial access. 
- Gastrointestinal tract - Indicate whether gastrointestinal bleeding occurred during or after the cath lab visit and until discharge. 
- Cerebral - Indicate whether cerebral bleeding occurred during or after the cath lab visit and until discharge. 
- Genital/Urinary - Indicate whether genital or urinary bleeding occurred during or after the cath lab visit and until discharge.  
- Other –</v>
      </c>
      <c r="F121" s="38" t="str">
        <f>_xlfn.CONCAT(_xlfn.XLOOKUP($A121,ncr_merged[[#All],[column_name]],ncr_merged[[#All],[required]]," ",0),"")</f>
        <v>If IHBL is &gt;= 1</v>
      </c>
      <c r="G121" s="38" t="str">
        <f>_xlfn.CONCAT(_xlfn.XLOOKUP($A121,ncr_merged[[#All],[column_name]],ncr_merged[[#All],[comments]]," ",0),
_xlfn.XLOOKUP($A121,ncr_merged[[#All],[column_name]],ncr_merged[[#All],[validation_rule]]," ",0),
_xlfn.XLOOKUP($A121,ncr_merged[[#All],[column_name]],ncr_merged[[#All],[behaviour]]," ",0),
"from the NCR tab: ",_xlfn.XLOOKUP($A121,ncr_merged[[#All],[column_name]],ncr_merged[[#All],[source_tab]]),
" ")</f>
        <v xml:space="preserve">Reject file if ihbl = 0 and ihblsite has data
Reject file if ihbl &gt;=1 and ihblsite is NULLfrom the NCR tab: post_procedural </v>
      </c>
      <c r="H121" s="38" t="str">
        <f>_xlfn.CONCAT(_xlfn.XLOOKUP($A121,ncr_merged[[#All],[column_name]],ncr_merged[[#All],[format]]," ",0))</f>
        <v>N</v>
      </c>
      <c r="I121" s="38" t="str">
        <f>_xlfn.CONCAT(_xlfn.XLOOKUP($A121,ncr_merged[[#All],[column_name]],ncr_merged[[#All],[permitted_values]]," ",0))</f>
        <v>1= Retroperitoneal
2=Percutaneous entry site
3=Gastrointestinal tract
4=Cerebral
5=Genital/Urinary
6=Other</v>
      </c>
      <c r="J121" s="44" t="str">
        <f>_xlfn.CONCAT(_xlfn.XLOOKUP($A121,ncr_merged[[#All],[column_name]],ncr_merged[[#All],[range_(min)]]," ",0))</f>
        <v>1</v>
      </c>
      <c r="K121" s="44" t="str">
        <f>_xlfn.CONCAT(_xlfn.XLOOKUP($A121,ncr_merged[[#All],[column_name]],ncr_merged[[#All],[range_(max)]]," ",0))</f>
        <v>6</v>
      </c>
      <c r="M121" s="38" t="str" cm="1">
        <f t="array" ref="M121">_xlfn.CONCAT(IFERROR(_xlfn.XLOOKUP(data_elements_bkp!A121,Table_query__5[[#All],[NCR Variable ID]],Table_query__5[[#All],[in_progress]]),""))</f>
        <v/>
      </c>
    </row>
    <row r="122" spans="1:13" x14ac:dyDescent="0.2">
      <c r="A122" s="38" t="str">
        <v>ihst</v>
      </c>
      <c r="B122" s="38" t="str" cm="1">
        <f t="array" ref="B122">_xlfn.XLOOKUP($A122,ncr_merged[[#All],[column_name]],ncr_merged[[#All],[label]]," ",0)</f>
        <v>In hospital stent thrombosis</v>
      </c>
      <c r="E122" s="38" t="str">
        <f>_xlfn.CONCAT(_xlfn.XLOOKUP($A122,ncr_merged[[#All],[column_name]],ncr_merged[[#All],[question]]," ",0),_xlfn.XLOOKUP($A122,ncr_merged[[#All],[column_name]],ncr_merged[[#All],[supporting_definition]]," ",0))</f>
        <v>Did a stent thrombosis occur during the admission?Indicate whether a stent thrombosis occurred during hospitalisation, after the index PCI lab visit, but prior to discharge and/or any subsequent lab visits.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Select ONE of the following options that apply:
-No stent thrombosis: Where there are no acute coronary syndrome (ACS) symptoms or death after the index PCI lab visit and/or prior to discharge OR ACS symptoms occur during the defined period, but angiographic evidence does not indicate thrombus or occlusion.
-Definite stent thrombosis: The presence of an ACS with angiographic or autopsy evidence of thrombus or occlusion.
-Probable stent thrombosis: Includes unexplained deaths during the index admission after the procedure or acute myocardial infarction involving the target-vessel territory without angiographic or autopsy confirmation.
-Silent stent thrombosis: The incidental angiographic documentation of stent occlusion in the absence of clinical
signs or symptoms is not considered stent thrombosis.</v>
      </c>
      <c r="F122" s="38" t="str">
        <f>_xlfn.CONCAT(_xlfn.XLOOKUP($A122,ncr_merged[[#All],[column_name]],ncr_merged[[#All],[required]]," ",0),"")</f>
        <v>Always</v>
      </c>
      <c r="G122" s="38" t="str">
        <f>_xlfn.CONCAT(_xlfn.XLOOKUP($A122,ncr_merged[[#All],[column_name]],ncr_merged[[#All],[comments]]," ",0),
_xlfn.XLOOKUP($A122,ncr_merged[[#All],[column_name]],ncr_merged[[#All],[validation_rule]]," ",0),
_xlfn.XLOOKUP($A122,ncr_merged[[#All],[column_name]],ncr_merged[[#All],[behaviour]]," ",0),
"from the NCR tab: ",_xlfn.XLOOKUP($A122,ncr_merged[[#All],[column_name]],ncr_merged[[#All],[source_tab]]),
" ")</f>
        <v xml:space="preserve">Reject file if NULLfrom the NCR tab: post_procedural </v>
      </c>
      <c r="H122" s="38" t="str">
        <f>_xlfn.CONCAT(_xlfn.XLOOKUP($A122,ncr_merged[[#All],[column_name]],ncr_merged[[#All],[format]]," ",0))</f>
        <v/>
      </c>
      <c r="I122" s="38" t="str">
        <f>_xlfn.CONCAT(_xlfn.XLOOKUP($A122,ncr_merged[[#All],[column_name]],ncr_merged[[#All],[permitted_values]]," ",0))</f>
        <v>0=No stent thrombosis
1=Definite stent thrombosis
2=Probable stent thrombosis
3=Silent stent thrombosis</v>
      </c>
      <c r="J122" s="44" t="str">
        <f>_xlfn.CONCAT(_xlfn.XLOOKUP($A122,ncr_merged[[#All],[column_name]],ncr_merged[[#All],[range_(min)]]," ",0))</f>
        <v>0</v>
      </c>
      <c r="K122" s="44" t="str">
        <f>_xlfn.CONCAT(_xlfn.XLOOKUP($A122,ncr_merged[[#All],[column_name]],ncr_merged[[#All],[range_(max)]]," ",0))</f>
        <v>3</v>
      </c>
      <c r="M122" s="38" t="str" cm="1">
        <f t="array" ref="M122">_xlfn.CONCAT(IFERROR(_xlfn.XLOOKUP(data_elements_bkp!A122,Table_query__5[[#All],[NCR Variable ID]],Table_query__5[[#All],[in_progress]]),""))</f>
        <v>HMDS : ICD T82.867A idetifies stent thrombosis.</v>
      </c>
    </row>
    <row r="123" spans="1:13" x14ac:dyDescent="0.2">
      <c r="A123" s="38" t="str">
        <v>dis</v>
      </c>
      <c r="B123" s="38" t="str" cm="1">
        <f t="array" ref="B123">_xlfn.XLOOKUP($A123,ncr_merged[[#All],[column_name]],ncr_merged[[#All],[label]]," ",0)</f>
        <v>Discharge status</v>
      </c>
      <c r="E123" s="38" t="str">
        <f>_xlfn.CONCAT(_xlfn.XLOOKUP($A123,ncr_merged[[#All],[column_name]],ncr_merged[[#All],[question]]," ",0),_xlfn.XLOOKUP($A123,ncr_merged[[#All],[column_name]],ncr_merged[[#All],[supporting_definition]]," ",0))</f>
        <v>Under what conditions was the patient from the hospital?Indicate under what conditions the patient was discharged from the hospital following the index admission. Select one of the following options: 
Note:  Patients who died during their index admission without being discharged from the acute care setting should be coded as hospital mortality.
- Home: Discharged to home, with no planned contact before routine review;
- Hospital in the Home: Discharged to home, with planned visits to home by medical or paramedical staff; 
- Rehabilitation Unit/Hospital: Discharged for inpatient rehabilitation; 
- Local or referring hospital: Discharged to another hospital for continuing care not related to any complications arising from the index PCI;
- Tertiary referral centre: Discharged to another hospital or centre for tertiary care related to a complication arising from the index PCI (e.g.  patient had PCI complications that required advanced medical treatment/investigation that could not be performed by the PCI hospital);
- Hospital Mortality:  Patient died in-hospital during or after the index PCI procedure, but prior to discharge.</v>
      </c>
      <c r="F123" s="38" t="str">
        <f>_xlfn.CONCAT(_xlfn.XLOOKUP($A123,ncr_merged[[#All],[column_name]],ncr_merged[[#All],[required]]," ",0),"")</f>
        <v>Always</v>
      </c>
      <c r="G123" s="38" t="str">
        <f>_xlfn.CONCAT(_xlfn.XLOOKUP($A123,ncr_merged[[#All],[column_name]],ncr_merged[[#All],[comments]]," ",0),
_xlfn.XLOOKUP($A123,ncr_merged[[#All],[column_name]],ncr_merged[[#All],[validation_rule]]," ",0),
_xlfn.XLOOKUP($A123,ncr_merged[[#All],[column_name]],ncr_merged[[#All],[behaviour]]," ",0),
"from the NCR tab: ",_xlfn.XLOOKUP($A123,ncr_merged[[#All],[column_name]],ncr_merged[[#All],[source_tab]]),
" ")</f>
        <v xml:space="preserve">Reject file if ihbl&gt;6 and dis=1-5
Reject file if dis = NULLfrom the NCR tab: discharge </v>
      </c>
      <c r="H123" s="38" t="str">
        <f>_xlfn.CONCAT(_xlfn.XLOOKUP($A123,ncr_merged[[#All],[column_name]],ncr_merged[[#All],[format]]," ",0))</f>
        <v>N</v>
      </c>
      <c r="I123" s="38" t="str">
        <f>_xlfn.CONCAT(_xlfn.XLOOKUP($A123,ncr_merged[[#All],[column_name]],ncr_merged[[#All],[permitted_values]]," ",0))</f>
        <v>1=Home 
2=Hospital in the Home
3=Rehab Unit/Hospital 
4=Local or referring hospital
5=Tertiary Referral Centre
6=Hospital Mortality</v>
      </c>
      <c r="J123" s="44" t="str">
        <f>_xlfn.CONCAT(_xlfn.XLOOKUP($A123,ncr_merged[[#All],[column_name]],ncr_merged[[#All],[range_(min)]]," ",0))</f>
        <v>1</v>
      </c>
      <c r="K123" s="44" t="str">
        <f>_xlfn.CONCAT(_xlfn.XLOOKUP($A123,ncr_merged[[#All],[column_name]],ncr_merged[[#All],[range_(max)]]," ",0))</f>
        <v>6</v>
      </c>
      <c r="M123" s="38" t="str" cm="1">
        <f t="array" ref="M123">_xlfn.CONCAT(IFERROR(_xlfn.XLOOKUP(data_elements_bkp!A123,Table_query__5[[#All],[NCR Variable ID]],Table_query__5[[#All],[in_progress]]),""))</f>
        <v/>
      </c>
    </row>
    <row r="124" spans="1:13" x14ac:dyDescent="0.2">
      <c r="A124" s="38" t="str">
        <v>dod</v>
      </c>
      <c r="B124" s="38" t="str" cm="1">
        <f t="array" ref="B124">_xlfn.XLOOKUP($A124,ncr_merged[[#All],[column_name]],ncr_merged[[#All],[label]]," ",0)</f>
        <v>Date of discharge / hospital mortality</v>
      </c>
      <c r="E124" s="38" t="str">
        <f>_xlfn.CONCAT(_xlfn.XLOOKUP($A124,ncr_merged[[#All],[column_name]],ncr_merged[[#All],[question]]," ",0),_xlfn.XLOOKUP($A124,ncr_merged[[#All],[column_name]],ncr_merged[[#All],[supporting_definition]]," ",0))</f>
        <v>On what date was the patient discharged or date of in hospital mortality?Indicate the date the patient was discharged from the PCI hospital admission (or the date of death where the patient died during the index admission). Note: For a patient who dies in-hospital without being discharged from the acute care setting the discharge and death date are the same.</v>
      </c>
      <c r="F124" s="38" t="str">
        <f>_xlfn.CONCAT(_xlfn.XLOOKUP($A124,ncr_merged[[#All],[column_name]],ncr_merged[[#All],[required]]," ",0),"")</f>
        <v>Always</v>
      </c>
      <c r="G124" s="38" t="str">
        <f>_xlfn.CONCAT(_xlfn.XLOOKUP($A124,ncr_merged[[#All],[column_name]],ncr_merged[[#All],[comments]]," ",0),
_xlfn.XLOOKUP($A124,ncr_merged[[#All],[column_name]],ncr_merged[[#All],[validation_rule]]," ",0),
_xlfn.XLOOKUP($A124,ncr_merged[[#All],[column_name]],ncr_merged[[#All],[behaviour]]," ",0),
"from the NCR tab: ",_xlfn.XLOOKUP($A124,ncr_merged[[#All],[column_name]],ncr_merged[[#All],[source_tab]]),
" ")</f>
        <v xml:space="preserve">DOD must be ≥ DOPReject file if dod &lt; dop
Reject file if dod = NULLfrom the NCR tab: discharge </v>
      </c>
      <c r="H124" s="38" t="str">
        <f>_xlfn.CONCAT(_xlfn.XLOOKUP($A124,ncr_merged[[#All],[column_name]],ncr_merged[[#All],[format]]," ",0))</f>
        <v>DD/MM/YYYY</v>
      </c>
      <c r="I124" s="38" t="str">
        <f>_xlfn.CONCAT(_xlfn.XLOOKUP($A124,ncr_merged[[#All],[column_name]],ncr_merged[[#All],[permitted_values]]," ",0))</f>
        <v>DD/MM/YYYY</v>
      </c>
      <c r="J124" s="44" t="str">
        <f>_xlfn.CONCAT(_xlfn.XLOOKUP($A124,ncr_merged[[#All],[column_name]],ncr_merged[[#All],[range_(min)]]," ",0))</f>
        <v/>
      </c>
      <c r="K124" s="44" t="str">
        <f>_xlfn.CONCAT(_xlfn.XLOOKUP($A124,ncr_merged[[#All],[column_name]],ncr_merged[[#All],[range_(max)]]," ",0))</f>
        <v/>
      </c>
      <c r="M124" s="38" t="str" cm="1">
        <f t="array" ref="M124">_xlfn.CONCAT(IFERROR(_xlfn.XLOOKUP(data_elements_bkp!A124,Table_query__5[[#All],[NCR Variable ID]],Table_query__5[[#All],[in_progress]]),""))</f>
        <v>HMDS (? Why does this suggest NACS)</v>
      </c>
    </row>
    <row r="125" spans="1:13" x14ac:dyDescent="0.2">
      <c r="A125" s="38" t="str">
        <v>los</v>
      </c>
      <c r="B125" s="38" t="str" cm="1">
        <f t="array" ref="B125">_xlfn.XLOOKUP($A125,ncr_merged[[#All],[column_name]],ncr_merged[[#All],[label]]," ",0)</f>
        <v>Length of Stay</v>
      </c>
      <c r="E125" s="38" t="str">
        <f>_xlfn.CONCAT(_xlfn.XLOOKUP($A125,ncr_merged[[#All],[column_name]],ncr_merged[[#All],[question]]," ",0),_xlfn.XLOOKUP($A125,ncr_merged[[#All],[column_name]],ncr_merged[[#All],[supporting_definition]]," ",0))</f>
        <v/>
      </c>
      <c r="F125" s="38" t="str">
        <f>_xlfn.CONCAT(_xlfn.XLOOKUP($A125,ncr_merged[[#All],[column_name]],ncr_merged[[#All],[required]]," ",0),"")</f>
        <v>Derived</v>
      </c>
      <c r="G125" s="38" t="str">
        <f>_xlfn.CONCAT(_xlfn.XLOOKUP($A125,ncr_merged[[#All],[column_name]],ncr_merged[[#All],[comments]]," ",0),
_xlfn.XLOOKUP($A125,ncr_merged[[#All],[column_name]],ncr_merged[[#All],[validation_rule]]," ",0),
_xlfn.XLOOKUP($A125,ncr_merged[[#All],[column_name]],ncr_merged[[#All],[behaviour]]," ",0),
"from the NCR tab: ",_xlfn.XLOOKUP($A125,ncr_merged[[#All],[column_name]],ncr_merged[[#All],[source_tab]]),
" ")</f>
        <v xml:space="preserve">LOS=[DOD-DOA]Derived - no import on this fieldfrom the NCR tab: discharge </v>
      </c>
      <c r="H125" s="38" t="str">
        <f>_xlfn.CONCAT(_xlfn.XLOOKUP($A125,ncr_merged[[#All],[column_name]],ncr_merged[[#All],[format]]," ",0))</f>
        <v>NNN</v>
      </c>
      <c r="I125" s="38" t="str">
        <f>_xlfn.CONCAT(_xlfn.XLOOKUP($A125,ncr_merged[[#All],[column_name]],ncr_merged[[#All],[permitted_values]]," ",0))</f>
        <v>Number of days</v>
      </c>
      <c r="J125" s="44" t="str">
        <f>_xlfn.CONCAT(_xlfn.XLOOKUP($A125,ncr_merged[[#All],[column_name]],ncr_merged[[#All],[range_(min)]]," ",0))</f>
        <v/>
      </c>
      <c r="K125" s="44" t="str">
        <f>_xlfn.CONCAT(_xlfn.XLOOKUP($A125,ncr_merged[[#All],[column_name]],ncr_merged[[#All],[range_(max)]]," ",0))</f>
        <v/>
      </c>
      <c r="M125" s="38" t="str" cm="1">
        <f t="array" ref="M125">_xlfn.CONCAT(IFERROR(_xlfn.XLOOKUP(data_elements_bkp!A125,Table_query__5[[#All],[NCR Variable ID]],Table_query__5[[#All],[in_progress]]),""))</f>
        <v>Needs clarification for separation based length of stay, or hospital based length of stay,</v>
      </c>
    </row>
    <row r="126" spans="1:13" x14ac:dyDescent="0.2">
      <c r="A126" s="38" t="str">
        <v>crehab</v>
      </c>
      <c r="B126" s="38" t="str" cm="1">
        <f t="array" ref="B126">_xlfn.XLOOKUP($A126,ncr_merged[[#All],[column_name]],ncr_merged[[#All],[label]]," ",0)</f>
        <v>Cardiac rehabilitation referral</v>
      </c>
      <c r="E126" s="38" t="str">
        <f>_xlfn.CONCAT(_xlfn.XLOOKUP($A126,ncr_merged[[#All],[column_name]],ncr_merged[[#All],[question]]," ",0),_xlfn.XLOOKUP($A126,ncr_merged[[#All],[column_name]],ncr_merged[[#All],[supporting_definition]]," ",0))</f>
        <v>Was the patient referred to cardiac rehabilitation program?Indicate if there was written documentation of a patient referral to an outpatient cardiac rehabilitation program, or a documented reason why referral was not made (by physician, nurse, or other hospital personnel).</v>
      </c>
      <c r="F126" s="38" t="str">
        <f>_xlfn.CONCAT(_xlfn.XLOOKUP($A126,ncr_merged[[#All],[column_name]],ncr_merged[[#All],[required]]," ",0),"")</f>
        <v>If DIS&lt;6</v>
      </c>
      <c r="G126" s="38" t="str">
        <f>_xlfn.CONCAT(_xlfn.XLOOKUP($A126,ncr_merged[[#All],[column_name]],ncr_merged[[#All],[comments]]," ",0),
_xlfn.XLOOKUP($A126,ncr_merged[[#All],[column_name]],ncr_merged[[#All],[validation_rule]]," ",0),
_xlfn.XLOOKUP($A126,ncr_merged[[#All],[column_name]],ncr_merged[[#All],[behaviour]]," ",0),
"from the NCR tab: ",_xlfn.XLOOKUP($A126,ncr_merged[[#All],[column_name]],ncr_merged[[#All],[source_tab]]),
" ")</f>
        <v xml:space="preserve">Reject file if dis=6 and crehab has data
Reject file if dis &lt; 6 crehab is NULLfrom the NCR tab: discharge </v>
      </c>
      <c r="H126" s="38" t="str">
        <f>_xlfn.CONCAT(_xlfn.XLOOKUP($A126,ncr_merged[[#All],[column_name]],ncr_merged[[#All],[format]]," ",0))</f>
        <v>N</v>
      </c>
      <c r="I126" s="38" t="str">
        <f>_xlfn.CONCAT(_xlfn.XLOOKUP($A126,ncr_merged[[#All],[column_name]],ncr_merged[[#All],[permitted_values]]," ",0))</f>
        <v>0=No
1=Yes
-1 = Unknown</v>
      </c>
      <c r="J126" s="44" t="str">
        <f>_xlfn.CONCAT(_xlfn.XLOOKUP($A126,ncr_merged[[#All],[column_name]],ncr_merged[[#All],[range_(min)]]," ",0))</f>
        <v>-1</v>
      </c>
      <c r="K126" s="44" t="str">
        <f>_xlfn.CONCAT(_xlfn.XLOOKUP($A126,ncr_merged[[#All],[column_name]],ncr_merged[[#All],[range_(max)]]," ",0))</f>
        <v>1</v>
      </c>
      <c r="M126" s="38" t="str" cm="1">
        <f t="array" ref="M126">_xlfn.CONCAT(IFERROR(_xlfn.XLOOKUP(data_elements_bkp!A126,Table_query__5[[#All],[NCR Variable ID]],Table_query__5[[#All],[in_progress]]),""))</f>
        <v>Outpatient dataset may assist in identiifcation to OWPL or OPD.  Requires business rules to identify.</v>
      </c>
    </row>
    <row r="127" spans="1:13" x14ac:dyDescent="0.2">
      <c r="A127" s="38" t="str">
        <v>mortc</v>
      </c>
      <c r="B127" s="38" t="str" cm="1">
        <f t="array" ref="B127">_xlfn.XLOOKUP($A127,ncr_merged[[#All],[column_name]],ncr_merged[[#All],[label]]," ",0)</f>
        <v>Primary cause of death</v>
      </c>
      <c r="E127" s="38" t="str">
        <f>_xlfn.CONCAT(_xlfn.XLOOKUP($A127,ncr_merged[[#All],[column_name]],ncr_merged[[#All],[question]]," ",0),_xlfn.XLOOKUP($A127,ncr_merged[[#All],[column_name]],ncr_merged[[#All],[supporting_definition]]," ",0))</f>
        <v>Where Discharge status is coded “Hospital Mortality”Indicate the cause of death. Primary cause of death is the first significant abnormal event which ultimately led to death.  Select ONE of the following options: 
- Non-cardiac: The primary cause of death was clearly non-cardiac related AND there is documented evidence of a non-cardiac primary cause of death (e.g. cancer, renal failure, major trauma, etc.).
- Cardiac: The primary cause of death was diagnosed as clearly cardiac-related and includes, but is not exclusive to any of the following circumstances: chronic heart failure; acute coronary syndrome (e.g. STEMI, NSTEMI; recurrent or unstable angina, etc.); arrhythmia; and/or bleeding or other complications following a cardiac procedure.</v>
      </c>
      <c r="F127" s="38" t="str">
        <f>_xlfn.CONCAT(_xlfn.XLOOKUP($A127,ncr_merged[[#All],[column_name]],ncr_merged[[#All],[required]]," ",0),"")</f>
        <v>If DIS=6</v>
      </c>
      <c r="G127" s="38" t="str">
        <f>_xlfn.CONCAT(_xlfn.XLOOKUP($A127,ncr_merged[[#All],[column_name]],ncr_merged[[#All],[comments]]," ",0),
_xlfn.XLOOKUP($A127,ncr_merged[[#All],[column_name]],ncr_merged[[#All],[validation_rule]]," ",0),
_xlfn.XLOOKUP($A127,ncr_merged[[#All],[column_name]],ncr_merged[[#All],[behaviour]]," ",0),
"from the NCR tab: ",_xlfn.XLOOKUP($A127,ncr_merged[[#All],[column_name]],ncr_merged[[#All],[source_tab]]),
" ")</f>
        <v xml:space="preserve">Reject file if dis &lt; 6 and mortc has data
Reject file if dis=6 and mortc is NULLfrom the NCR tab: discharge </v>
      </c>
      <c r="H127" s="38" t="str">
        <f>_xlfn.CONCAT(_xlfn.XLOOKUP($A127,ncr_merged[[#All],[column_name]],ncr_merged[[#All],[format]]," ",0))</f>
        <v>N</v>
      </c>
      <c r="I127" s="38" t="str">
        <f>_xlfn.CONCAT(_xlfn.XLOOKUP($A127,ncr_merged[[#All],[column_name]],ncr_merged[[#All],[permitted_values]]," ",0))</f>
        <v>1=Cardiac
2=Non-cardiac</v>
      </c>
      <c r="J127" s="44" t="str">
        <f>_xlfn.CONCAT(_xlfn.XLOOKUP($A127,ncr_merged[[#All],[column_name]],ncr_merged[[#All],[range_(min)]]," ",0))</f>
        <v>1</v>
      </c>
      <c r="K127" s="44" t="str">
        <f>_xlfn.CONCAT(_xlfn.XLOOKUP($A127,ncr_merged[[#All],[column_name]],ncr_merged[[#All],[range_(max)]]," ",0))</f>
        <v>2</v>
      </c>
      <c r="M127" s="38" t="str" cm="1">
        <f t="array" ref="M127">_xlfn.CONCAT(IFERROR(_xlfn.XLOOKUP(data_elements_bkp!A127,Table_query__5[[#All],[NCR Variable ID]],Table_query__5[[#All],[in_progress]]),""))</f>
        <v>The Deaths Registry can be used to identify this information with NLP support. Requires test use case.</v>
      </c>
    </row>
    <row r="128" spans="1:13" x14ac:dyDescent="0.2">
      <c r="A128" s="38" t="str">
        <v>dasp</v>
      </c>
      <c r="B128" s="38" t="str" cm="1">
        <f t="array" ref="B128">_xlfn.XLOOKUP($A128,ncr_merged[[#All],[column_name]],ncr_merged[[#All],[label]]," ",0)</f>
        <v>Aspirin prescribed at discharge</v>
      </c>
      <c r="E128" s="38" t="str">
        <f>_xlfn.CONCAT(_xlfn.XLOOKUP($A128,ncr_merged[[#All],[column_name]],ncr_merged[[#All],[question]]," ",0),_xlfn.XLOOKUP($A128,ncr_merged[[#All],[column_name]],ncr_merged[[#All],[supporting_definition]]," ",0))</f>
        <v>Was aspirin prescribed at discharge?Indicate if the patient is prescribed and taking aspirin at discharge from the PCI admission.
Aspirin agents include: aspirin, astrix, cardiprin, cartia, assasantin, aspro, disprin and solprin.</v>
      </c>
      <c r="F128" s="38" t="str">
        <f>_xlfn.CONCAT(_xlfn.XLOOKUP($A128,ncr_merged[[#All],[column_name]],ncr_merged[[#All],[required]]," ",0),"")</f>
        <v>If DIS&lt;6</v>
      </c>
      <c r="G128" s="38" t="str">
        <f>_xlfn.CONCAT(_xlfn.XLOOKUP($A128,ncr_merged[[#All],[column_name]],ncr_merged[[#All],[comments]]," ",0),
_xlfn.XLOOKUP($A128,ncr_merged[[#All],[column_name]],ncr_merged[[#All],[validation_rule]]," ",0),
_xlfn.XLOOKUP($A128,ncr_merged[[#All],[column_name]],ncr_merged[[#All],[behaviour]]," ",0),
"from the NCR tab: ",_xlfn.XLOOKUP($A128,ncr_merged[[#All],[column_name]],ncr_merged[[#All],[source_tab]]),
" ")</f>
        <v xml:space="preserve">Reject file if dis=6 and dasp has data
Reject file if dis = 1-5 and dasp is NULLfrom the NCR tab: discharge </v>
      </c>
      <c r="H128" s="38" t="str">
        <f>_xlfn.CONCAT(_xlfn.XLOOKUP($A128,ncr_merged[[#All],[column_name]],ncr_merged[[#All],[format]]," ",0))</f>
        <v>N</v>
      </c>
      <c r="I128" s="38" t="str">
        <f>_xlfn.CONCAT(_xlfn.XLOOKUP($A128,ncr_merged[[#All],[column_name]],ncr_merged[[#All],[permitted_values]]," ",0))</f>
        <v>0=No
1=Yes
2=Contraindicated                                                                                                                                                                                                                                                                                                                                                                                                                                                                                                3=Not collected</v>
      </c>
      <c r="J128" s="44" t="str">
        <f>_xlfn.CONCAT(_xlfn.XLOOKUP($A128,ncr_merged[[#All],[column_name]],ncr_merged[[#All],[range_(min)]]," ",0))</f>
        <v>0</v>
      </c>
      <c r="K128" s="44" t="str">
        <f>_xlfn.CONCAT(_xlfn.XLOOKUP($A128,ncr_merged[[#All],[column_name]],ncr_merged[[#All],[range_(max)]]," ",0))</f>
        <v>3</v>
      </c>
      <c r="M128" s="38" t="str" cm="1">
        <f t="array" ref="M128">_xlfn.CONCAT(IFERROR(_xlfn.XLOOKUP(data_elements_bkp!A128,Table_query__5[[#All],[NCR Variable ID]],Table_query__5[[#All],[in_progress]]),""))</f>
        <v>HIH Results Hub - needs clarification &amp; SME input (SMA)
Ipharmacy may offer a secondary source.</v>
      </c>
    </row>
    <row r="129" spans="1:13" x14ac:dyDescent="0.2">
      <c r="A129" s="38" t="str">
        <v>doap</v>
      </c>
      <c r="B129" s="38" t="str" cm="1">
        <f t="array" ref="B129">_xlfn.XLOOKUP($A129,ncr_merged[[#All],[column_name]],ncr_merged[[#All],[label]]," ",0)</f>
        <v>Other antiplatelet prescribed at discharge</v>
      </c>
      <c r="E129" s="38" t="str">
        <f>_xlfn.CONCAT(_xlfn.XLOOKUP($A129,ncr_merged[[#All],[column_name]],ncr_merged[[#All],[question]]," ",0),_xlfn.XLOOKUP($A129,ncr_merged[[#All],[column_name]],ncr_merged[[#All],[supporting_definition]]," ",0))</f>
        <v>Were other antiplatelets (excluding aspirin) prescribed at discharge?Indicate if the patient is prescribed and taking other antiplatelets at discharge from the PCI admission.
Antiplatelets agents include: Thienopyridine agents (clopidogrel, ticlopidine, prasugrel), Ticagrelor.</v>
      </c>
      <c r="F129" s="38" t="str">
        <f>_xlfn.CONCAT(_xlfn.XLOOKUP($A129,ncr_merged[[#All],[column_name]],ncr_merged[[#All],[required]]," ",0),"")</f>
        <v>If DIS&lt;6</v>
      </c>
      <c r="G129" s="38" t="str">
        <f>_xlfn.CONCAT(_xlfn.XLOOKUP($A129,ncr_merged[[#All],[column_name]],ncr_merged[[#All],[comments]]," ",0),
_xlfn.XLOOKUP($A129,ncr_merged[[#All],[column_name]],ncr_merged[[#All],[validation_rule]]," ",0),
_xlfn.XLOOKUP($A129,ncr_merged[[#All],[column_name]],ncr_merged[[#All],[behaviour]]," ",0),
"from the NCR tab: ",_xlfn.XLOOKUP($A129,ncr_merged[[#All],[column_name]],ncr_merged[[#All],[source_tab]]),
" ")</f>
        <v xml:space="preserve">Reject file if dis=6 and doap has data
Reject file if dis = 1-5 and doap is NULLfrom the NCR tab: discharge </v>
      </c>
      <c r="H129" s="38" t="str">
        <f>_xlfn.CONCAT(_xlfn.XLOOKUP($A129,ncr_merged[[#All],[column_name]],ncr_merged[[#All],[format]]," ",0))</f>
        <v>N</v>
      </c>
      <c r="I129" s="38" t="str">
        <f>_xlfn.CONCAT(_xlfn.XLOOKUP($A129,ncr_merged[[#All],[column_name]],ncr_merged[[#All],[permitted_values]]," ",0))</f>
        <v>0=No
1=Yes
2=Contraindicated                                                                                                                                                                                                                                                                                                                                                                                                                                                                                                3=Not collected</v>
      </c>
      <c r="J129" s="44" t="str">
        <f>_xlfn.CONCAT(_xlfn.XLOOKUP($A129,ncr_merged[[#All],[column_name]],ncr_merged[[#All],[range_(min)]]," ",0))</f>
        <v>0</v>
      </c>
      <c r="K129" s="44" t="str">
        <f>_xlfn.CONCAT(_xlfn.XLOOKUP($A129,ncr_merged[[#All],[column_name]],ncr_merged[[#All],[range_(max)]]," ",0))</f>
        <v>3</v>
      </c>
      <c r="M129" s="38" t="str" cm="1">
        <f t="array" ref="M129">_xlfn.CONCAT(IFERROR(_xlfn.XLOOKUP(data_elements_bkp!A129,Table_query__5[[#All],[NCR Variable ID]],Table_query__5[[#All],[in_progress]]),""))</f>
        <v>HIH Results Hub - needs clarification &amp; SME input (SMA)
Ipharmacy may offer a secondary source.</v>
      </c>
    </row>
    <row r="130" spans="1:13" x14ac:dyDescent="0.2">
      <c r="A130" s="38" t="str">
        <v>dstp</v>
      </c>
      <c r="B130" s="38" t="str" cm="1">
        <f t="array" ref="B130">_xlfn.XLOOKUP($A130,ncr_merged[[#All],[column_name]],ncr_merged[[#All],[label]]," ",0)</f>
        <v>Statin prescribed at discharge</v>
      </c>
      <c r="E130" s="38" t="str">
        <f>_xlfn.CONCAT(_xlfn.XLOOKUP($A130,ncr_merged[[#All],[column_name]],ncr_merged[[#All],[question]]," ",0),_xlfn.XLOOKUP($A130,ncr_merged[[#All],[column_name]],ncr_merged[[#All],[supporting_definition]]," ",0))</f>
        <v>Was a statin prescribed at discharge?Indicate if the patient is prescribed and taking a statin at discharge from the PCI admission.
Statin agents include: atorvastatin, fluvastatin, pravastatin, rosuvastatin and simvastatin.</v>
      </c>
      <c r="F130" s="38" t="str">
        <f>_xlfn.CONCAT(_xlfn.XLOOKUP($A130,ncr_merged[[#All],[column_name]],ncr_merged[[#All],[required]]," ",0),"")</f>
        <v>If DIS&lt;6</v>
      </c>
      <c r="G130" s="38" t="str">
        <f>_xlfn.CONCAT(_xlfn.XLOOKUP($A130,ncr_merged[[#All],[column_name]],ncr_merged[[#All],[comments]]," ",0),
_xlfn.XLOOKUP($A130,ncr_merged[[#All],[column_name]],ncr_merged[[#All],[validation_rule]]," ",0),
_xlfn.XLOOKUP($A130,ncr_merged[[#All],[column_name]],ncr_merged[[#All],[behaviour]]," ",0),
"from the NCR tab: ",_xlfn.XLOOKUP($A130,ncr_merged[[#All],[column_name]],ncr_merged[[#All],[source_tab]]),
" ")</f>
        <v xml:space="preserve">Reject file if dis=6 and dstp has data
Reject file if dis = 1-5 and dstp is NULLfrom the NCR tab: discharge </v>
      </c>
      <c r="H130" s="38" t="str">
        <f>_xlfn.CONCAT(_xlfn.XLOOKUP($A130,ncr_merged[[#All],[column_name]],ncr_merged[[#All],[format]]," ",0))</f>
        <v>N</v>
      </c>
      <c r="I130" s="38" t="str">
        <f>_xlfn.CONCAT(_xlfn.XLOOKUP($A130,ncr_merged[[#All],[column_name]],ncr_merged[[#All],[permitted_values]]," ",0))</f>
        <v>0=No
1=Yes
2=Contraindicated                                                                                                                                                                                                                                                                                                                                                                                                                                                                                                3=Not collected</v>
      </c>
      <c r="J130" s="44" t="str">
        <f>_xlfn.CONCAT(_xlfn.XLOOKUP($A130,ncr_merged[[#All],[column_name]],ncr_merged[[#All],[range_(min)]]," ",0))</f>
        <v>0</v>
      </c>
      <c r="K130" s="44" t="str">
        <f>_xlfn.CONCAT(_xlfn.XLOOKUP($A130,ncr_merged[[#All],[column_name]],ncr_merged[[#All],[range_(max)]]," ",0))</f>
        <v>3</v>
      </c>
      <c r="M130" s="38" t="str" cm="1">
        <f t="array" ref="M130">_xlfn.CONCAT(IFERROR(_xlfn.XLOOKUP(data_elements_bkp!A130,Table_query__5[[#All],[NCR Variable ID]],Table_query__5[[#All],[in_progress]]),""))</f>
        <v>HIH Results Hub - needs clarification &amp; SME input (SMA)
Ipharmacy may offer a secondary source.</v>
      </c>
    </row>
    <row r="131" spans="1:13" x14ac:dyDescent="0.2">
      <c r="A131" s="38" t="str">
        <v>doll</v>
      </c>
      <c r="B131" s="38" t="str" cm="1">
        <f t="array" ref="B131">_xlfn.XLOOKUP($A131,ncr_merged[[#All],[column_name]],ncr_merged[[#All],[label]]," ",0)</f>
        <v>Other Lipid Lowering Therapies prescribed at discharge</v>
      </c>
      <c r="E131" s="38" t="str">
        <f>_xlfn.CONCAT(_xlfn.XLOOKUP($A131,ncr_merged[[#All],[column_name]],ncr_merged[[#All],[question]]," ",0),_xlfn.XLOOKUP($A131,ncr_merged[[#All],[column_name]],ncr_merged[[#All],[supporting_definition]]," ",0))</f>
        <v>Were other Lipid Lowering Therapies (excluding statins) prescribed at discharge?Indicate if the patient is prescribed and taking other Lipid Lowering Therapies at discharge from the PCI admission.
Other lipid lowering agents include: ezetimibe and fibrates (gemfibrozil, fenofibrate and clofibrate).</v>
      </c>
      <c r="F131" s="38" t="str">
        <f>_xlfn.CONCAT(_xlfn.XLOOKUP($A131,ncr_merged[[#All],[column_name]],ncr_merged[[#All],[required]]," ",0),"")</f>
        <v>If DIS&lt;6</v>
      </c>
      <c r="G131" s="38" t="str">
        <f>_xlfn.CONCAT(_xlfn.XLOOKUP($A131,ncr_merged[[#All],[column_name]],ncr_merged[[#All],[comments]]," ",0),
_xlfn.XLOOKUP($A131,ncr_merged[[#All],[column_name]],ncr_merged[[#All],[validation_rule]]," ",0),
_xlfn.XLOOKUP($A131,ncr_merged[[#All],[column_name]],ncr_merged[[#All],[behaviour]]," ",0),
"from the NCR tab: ",_xlfn.XLOOKUP($A131,ncr_merged[[#All],[column_name]],ncr_merged[[#All],[source_tab]]),
" ")</f>
        <v xml:space="preserve">Reject file if dis=6 and doll has data
Reject file if dis = 1-5 and doll is NULLfrom the NCR tab: discharge </v>
      </c>
      <c r="H131" s="38" t="str">
        <f>_xlfn.CONCAT(_xlfn.XLOOKUP($A131,ncr_merged[[#All],[column_name]],ncr_merged[[#All],[format]]," ",0))</f>
        <v>N</v>
      </c>
      <c r="I131" s="38" t="str">
        <f>_xlfn.CONCAT(_xlfn.XLOOKUP($A131,ncr_merged[[#All],[column_name]],ncr_merged[[#All],[permitted_values]]," ",0))</f>
        <v>0=No
1=Yes
2=Contraindicated                                                                                                                                                                                                                                                                                                                                                                                                                                                                                                3=Not collected</v>
      </c>
      <c r="J131" s="44" t="str">
        <f>_xlfn.CONCAT(_xlfn.XLOOKUP($A131,ncr_merged[[#All],[column_name]],ncr_merged[[#All],[range_(min)]]," ",0))</f>
        <v>0</v>
      </c>
      <c r="K131" s="44" t="str">
        <f>_xlfn.CONCAT(_xlfn.XLOOKUP($A131,ncr_merged[[#All],[column_name]],ncr_merged[[#All],[range_(max)]]," ",0))</f>
        <v>3</v>
      </c>
      <c r="M131" s="38" t="str" cm="1">
        <f t="array" ref="M131">_xlfn.CONCAT(IFERROR(_xlfn.XLOOKUP(data_elements_bkp!A131,Table_query__5[[#All],[NCR Variable ID]],Table_query__5[[#All],[in_progress]]),""))</f>
        <v>HIH Results Hub - needs clarification &amp; SME input (SMA)
Ipharmacy may offer a secondary source.</v>
      </c>
    </row>
    <row r="132" spans="1:13" x14ac:dyDescent="0.2">
      <c r="A132" s="38" t="str">
        <v>dfu30</v>
      </c>
      <c r="B132" s="38" t="str" cm="1">
        <f t="array" ref="B132">_xlfn.XLOOKUP($A132,ncr_merged[[#All],[column_name]],ncr_merged[[#All],[label]]," ",0)</f>
        <v>Date of Follow-up</v>
      </c>
      <c r="E132" s="38" t="str">
        <f>_xlfn.CONCAT(_xlfn.XLOOKUP($A132,ncr_merged[[#All],[column_name]],ncr_merged[[#All],[question]]," ",0),_xlfn.XLOOKUP($A132,ncr_merged[[#All],[column_name]],ncr_merged[[#All],[supporting_definition]]," ",0))</f>
        <v>On what date was the follow-up undertaken? All patients must be followed up (or attempted to be followed up) at 30 days post discharge from the PCI admission.Indicate the date the follow-up was undertaken. All patients must be followed up (or attempted to be followed up) at 30 days post discharge from the PCI admission.</v>
      </c>
      <c r="F132" s="38" t="str">
        <f>_xlfn.CONCAT(_xlfn.XLOOKUP($A132,ncr_merged[[#All],[column_name]],ncr_merged[[#All],[required]]," ",0),"")</f>
        <v>Always</v>
      </c>
      <c r="G132" s="38" t="str">
        <f>_xlfn.CONCAT(_xlfn.XLOOKUP($A132,ncr_merged[[#All],[column_name]],ncr_merged[[#All],[comments]]," ",0),
_xlfn.XLOOKUP($A132,ncr_merged[[#All],[column_name]],ncr_merged[[#All],[validation_rule]]," ",0),
_xlfn.XLOOKUP($A132,ncr_merged[[#All],[column_name]],ncr_merged[[#All],[behaviour]]," ",0),
"from the NCR tab: ",_xlfn.XLOOKUP($A132,ncr_merged[[#All],[column_name]],ncr_merged[[#All],[source_tab]]),
" ")</f>
        <v xml:space="preserve">Reject file if dfu30 is NULL AND dis=1-5
Reject file if dis=6 and dfu30 contains data
Reject file if dfu30 &lt;dodfrom the NCR tab: follow_up </v>
      </c>
      <c r="H132" s="38" t="str">
        <f>_xlfn.CONCAT(_xlfn.XLOOKUP($A132,ncr_merged[[#All],[column_name]],ncr_merged[[#All],[format]]," ",0))</f>
        <v>DD/MM/YYYY</v>
      </c>
      <c r="I132" s="38" t="str">
        <f>_xlfn.CONCAT(_xlfn.XLOOKUP($A132,ncr_merged[[#All],[column_name]],ncr_merged[[#All],[permitted_values]]," ",0))</f>
        <v>DD/MM/YYYY</v>
      </c>
      <c r="J132" s="44" t="str">
        <f>_xlfn.CONCAT(_xlfn.XLOOKUP($A132,ncr_merged[[#All],[column_name]],ncr_merged[[#All],[range_(min)]]," ",0))</f>
        <v/>
      </c>
      <c r="K132" s="44" t="str">
        <f>_xlfn.CONCAT(_xlfn.XLOOKUP($A132,ncr_merged[[#All],[column_name]],ncr_merged[[#All],[range_(max)]]," ",0))</f>
        <v/>
      </c>
      <c r="M132" s="38" t="str" cm="1">
        <f t="array" ref="M132">_xlfn.CONCAT(IFERROR(_xlfn.XLOOKUP(data_elements_bkp!A132,Table_query__5[[#All],[NCR Variable ID]],Table_query__5[[#All],[in_progress]]),""))</f>
        <v>WACOR data dictionary should clarify this means any of : face to face (e.g. OPD), primary care, community care or telehealth.</v>
      </c>
    </row>
    <row r="133" spans="1:13" x14ac:dyDescent="0.2">
      <c r="A133" s="38" t="str">
        <v>stat30</v>
      </c>
      <c r="B133" s="38" t="str" cm="1">
        <f t="array" ref="B133">_xlfn.XLOOKUP($A133,ncr_merged[[#All],[column_name]],ncr_merged[[#All],[label]]," ",0)</f>
        <v>Follow-up status</v>
      </c>
      <c r="E133" s="38" t="str">
        <f>_xlfn.CONCAT(_xlfn.XLOOKUP($A133,ncr_merged[[#All],[column_name]],ncr_merged[[#All],[question]]," ",0),_xlfn.XLOOKUP($A133,ncr_merged[[#All],[column_name]],ncr_merged[[#All],[supporting_definition]]," ",0))</f>
        <v>Was the patient alive or dead at follow-up?Indicate whether the patient was alive or dead at 30 days after discharge from the index admission.</v>
      </c>
      <c r="F133" s="38" t="str">
        <f>_xlfn.CONCAT(_xlfn.XLOOKUP($A133,ncr_merged[[#All],[column_name]],ncr_merged[[#All],[required]]," ",0),"")</f>
        <v>If dis=1-5</v>
      </c>
      <c r="G133" s="38" t="str">
        <f>_xlfn.CONCAT(_xlfn.XLOOKUP($A133,ncr_merged[[#All],[column_name]],ncr_merged[[#All],[comments]]," ",0),
_xlfn.XLOOKUP($A133,ncr_merged[[#All],[column_name]],ncr_merged[[#All],[validation_rule]]," ",0),
_xlfn.XLOOKUP($A133,ncr_merged[[#All],[column_name]],ncr_merged[[#All],[behaviour]]," ",0),
"from the NCR tab: ",_xlfn.XLOOKUP($A133,ncr_merged[[#All],[column_name]],ncr_merged[[#All],[source_tab]]),
" ")</f>
        <v xml:space="preserve">Reject file if stat30 is NULL AND dis=1-5
Reject file if dis=6 and stat30 contains datafrom the NCR tab: follow_up </v>
      </c>
      <c r="H133" s="38" t="str">
        <f>_xlfn.CONCAT(_xlfn.XLOOKUP($A133,ncr_merged[[#All],[column_name]],ncr_merged[[#All],[format]]," ",0))</f>
        <v>N</v>
      </c>
      <c r="I133" s="38" t="str">
        <f>_xlfn.CONCAT(_xlfn.XLOOKUP($A133,ncr_merged[[#All],[column_name]],ncr_merged[[#All],[permitted_values]]," ",0))</f>
        <v>0 = Alive
1 = Deceased
-1 = Lost to follow-up</v>
      </c>
      <c r="J133" s="44" t="str">
        <f>_xlfn.CONCAT(_xlfn.XLOOKUP($A133,ncr_merged[[#All],[column_name]],ncr_merged[[#All],[range_(min)]]," ",0))</f>
        <v>-1</v>
      </c>
      <c r="K133" s="44" t="str">
        <f>_xlfn.CONCAT(_xlfn.XLOOKUP($A133,ncr_merged[[#All],[column_name]],ncr_merged[[#All],[range_(max)]]," ",0))</f>
        <v>1</v>
      </c>
      <c r="M133" s="38" t="str" cm="1">
        <f t="array" ref="M133">_xlfn.CONCAT(IFERROR(_xlfn.XLOOKUP(data_elements_bkp!A133,Table_query__5[[#All],[NCR Variable ID]],Table_query__5[[#All],[in_progress]]),""))</f>
        <v>The WACOR data dictionary should derive this field from the date of death (i.e. if date of death exists, then patient is decaeased). No brainer.</v>
      </c>
    </row>
    <row r="134" spans="1:13" x14ac:dyDescent="0.2">
      <c r="A134" s="38" t="str">
        <v>dmort30</v>
      </c>
      <c r="B134" s="38" t="str" cm="1">
        <f t="array" ref="B134">_xlfn.XLOOKUP($A134,ncr_merged[[#All],[column_name]],ncr_merged[[#All],[label]]," ",0)</f>
        <v>Date of death</v>
      </c>
      <c r="E134" s="38" t="str">
        <f>_xlfn.CONCAT(_xlfn.XLOOKUP($A134,ncr_merged[[#All],[column_name]],ncr_merged[[#All],[question]]," ",0),_xlfn.XLOOKUP($A134,ncr_merged[[#All],[column_name]],ncr_merged[[#All],[supporting_definition]]," ",0))</f>
        <v>Where the Follow-up status is coded as 'Deceased', what was the date of death?Record the date on which the patient died.</v>
      </c>
      <c r="F134" s="38" t="str">
        <f>_xlfn.CONCAT(_xlfn.XLOOKUP($A134,ncr_merged[[#All],[column_name]],ncr_merged[[#All],[required]]," ",0),"")</f>
        <v>If STAT30=1</v>
      </c>
      <c r="G134" s="38" t="str">
        <f>_xlfn.CONCAT(_xlfn.XLOOKUP($A134,ncr_merged[[#All],[column_name]],ncr_merged[[#All],[comments]]," ",0),
_xlfn.XLOOKUP($A134,ncr_merged[[#All],[column_name]],ncr_merged[[#All],[validation_rule]]," ",0),
_xlfn.XLOOKUP($A134,ncr_merged[[#All],[column_name]],ncr_merged[[#All],[behaviour]]," ",0),
"from the NCR tab: ",_xlfn.XLOOKUP($A134,ncr_merged[[#All],[column_name]],ncr_merged[[#All],[source_tab]]),
" ")</f>
        <v xml:space="preserve">DMORT30 must be ≥ DODReject file if dmort30 &lt;dod
Reject file if stat30=1 and dmort 30 is NULL
Reject file if stat30=0 and dmort 30 contains data
Reject file if dis=6 and dmort30 contains datafrom the NCR tab: follow_up </v>
      </c>
      <c r="H134" s="38" t="str">
        <f>_xlfn.CONCAT(_xlfn.XLOOKUP($A134,ncr_merged[[#All],[column_name]],ncr_merged[[#All],[format]]," ",0))</f>
        <v>DD/MM/YYYY</v>
      </c>
      <c r="I134" s="38" t="str">
        <f>_xlfn.CONCAT(_xlfn.XLOOKUP($A134,ncr_merged[[#All],[column_name]],ncr_merged[[#All],[permitted_values]]," ",0))</f>
        <v>DD/MM/YYYY</v>
      </c>
      <c r="J134" s="44" t="str">
        <f>_xlfn.CONCAT(_xlfn.XLOOKUP($A134,ncr_merged[[#All],[column_name]],ncr_merged[[#All],[range_(min)]]," ",0))</f>
        <v/>
      </c>
      <c r="K134" s="44" t="str">
        <f>_xlfn.CONCAT(_xlfn.XLOOKUP($A134,ncr_merged[[#All],[column_name]],ncr_merged[[#All],[range_(max)]]," ",0))</f>
        <v/>
      </c>
      <c r="M134" s="38" t="str" cm="1">
        <f t="array" ref="M134">_xlfn.CONCAT(IFERROR(_xlfn.XLOOKUP(data_elements_bkp!A134,Table_query__5[[#All],[NCR Variable ID]],Table_query__5[[#All],[in_progress]]),""))</f>
        <v>Deaths registration from WA Registrar of Deaths.  Note it will not include non-WA residents who are deceased.</v>
      </c>
    </row>
    <row r="135" spans="1:13" x14ac:dyDescent="0.2">
      <c r="A135" s="38" t="str">
        <v>mort30r</v>
      </c>
      <c r="B135" s="38" t="str" cm="1">
        <f t="array" ref="B135">_xlfn.XLOOKUP($A135,ncr_merged[[#All],[column_name]],ncr_merged[[#All],[label]]," ",0)</f>
        <v>Primary cause of death</v>
      </c>
      <c r="E135" s="38" t="str">
        <f>_xlfn.CONCAT(_xlfn.XLOOKUP($A135,ncr_merged[[#All],[column_name]],ncr_merged[[#All],[question]]," ",0),_xlfn.XLOOKUP($A135,ncr_merged[[#All],[column_name]],ncr_merged[[#All],[supporting_definition]]," ",0))</f>
        <v>Where the Follow-up status is coded as 'Deceased', what was the cause of death?Primary cause of death is the first significant abnormal event which ultimately led to death.  Select ONE of the following options:
- Non-cardiac: The primary cause of death was clearly non-cardiac related AND there is documented evidence of a non-cardiac primary cause of death (e.g. cancer, renal failure, major trauma, etc.).
- Cardiac: The primary cause of death was diagnosed as clearly cardiac-related and includes, but is not exclusive to any of the following circumstances: chronic heart failure; acute coronary syndrome (e.g. STEMI, NSTEMI; recurrent or unstable angina, etc.); arrhythmia; and/or bleeding or other complications following a cardiac procedure.
- Uncertain: The primary cause of death is not definitively known.</v>
      </c>
      <c r="F135" s="38" t="str">
        <f>_xlfn.CONCAT(_xlfn.XLOOKUP($A135,ncr_merged[[#All],[column_name]],ncr_merged[[#All],[required]]," ",0),"")</f>
        <v>If STAT30=1</v>
      </c>
      <c r="G135" s="38" t="str">
        <f>_xlfn.CONCAT(_xlfn.XLOOKUP($A135,ncr_merged[[#All],[column_name]],ncr_merged[[#All],[comments]]," ",0),
_xlfn.XLOOKUP($A135,ncr_merged[[#All],[column_name]],ncr_merged[[#All],[validation_rule]]," ",0),
_xlfn.XLOOKUP($A135,ncr_merged[[#All],[column_name]],ncr_merged[[#All],[behaviour]]," ",0),
"from the NCR tab: ",_xlfn.XLOOKUP($A135,ncr_merged[[#All],[column_name]],ncr_merged[[#All],[source_tab]]),
" ")</f>
        <v xml:space="preserve">Reject file if stat30=0 or -1 AND  mort30r contains data
Reject file if stat30=1 and mort30r is NULLfrom the NCR tab: follow_up </v>
      </c>
      <c r="H135" s="38" t="str">
        <f>_xlfn.CONCAT(_xlfn.XLOOKUP($A135,ncr_merged[[#All],[column_name]],ncr_merged[[#All],[format]]," ",0))</f>
        <v>N</v>
      </c>
      <c r="I135" s="38" t="str">
        <f>_xlfn.CONCAT(_xlfn.XLOOKUP($A135,ncr_merged[[#All],[column_name]],ncr_merged[[#All],[permitted_values]]," ",0))</f>
        <v>1=Cardiac
2=Non-cardiac
3=Uncertain</v>
      </c>
      <c r="J135" s="44" t="str">
        <f>_xlfn.CONCAT(_xlfn.XLOOKUP($A135,ncr_merged[[#All],[column_name]],ncr_merged[[#All],[range_(min)]]," ",0))</f>
        <v>1</v>
      </c>
      <c r="K135" s="44" t="str">
        <f>_xlfn.CONCAT(_xlfn.XLOOKUP($A135,ncr_merged[[#All],[column_name]],ncr_merged[[#All],[range_(max)]]," ",0))</f>
        <v>3</v>
      </c>
      <c r="M135" s="38" t="str" cm="1">
        <f t="array" ref="M135">_xlfn.CONCAT(IFERROR(_xlfn.XLOOKUP(data_elements_bkp!A135,Table_query__5[[#All],[NCR Variable ID]],Table_query__5[[#All],[in_progress]]),""))</f>
        <v>Requires linkage and information from the Deaths Registry.
Requires NLP to determine cardiac related conditions.  
Requires more detailed WACOR definition at the state level defining the cardiac cause being present in the CAUSE OF DEATH field and not ANTECEDENT FACTORS.</v>
      </c>
    </row>
    <row r="136" spans="1:13" x14ac:dyDescent="0.2">
      <c r="A136" s="38" t="str">
        <v>mi30</v>
      </c>
      <c r="B136" s="38" t="str" cm="1">
        <f t="array" ref="B136">_xlfn.XLOOKUP($A136,ncr_merged[[#All],[column_name]],ncr_merged[[#All],[label]]," ",0)</f>
        <v>New MI</v>
      </c>
      <c r="E136" s="38" t="str">
        <f>_xlfn.CONCAT(_xlfn.XLOOKUP($A136,ncr_merged[[#All],[column_name]],ncr_merged[[#All],[question]]," ",0),_xlfn.XLOOKUP($A136,ncr_merged[[#All],[column_name]],ncr_merged[[#All],[supporting_definition]]," ",0))</f>
        <v>Did the patient experience a myocardial infarction during the 30-day follow-up period?Indicate if the patient experienced a new myocardial infarction (MI) within 30 days from the date of discharge from the index admission. 
The new MI is defined by the following criteria: 
Non ST-Elevation Myocardial Infarction (NSTEMI):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1.       Either ST segment depression or T wave abnormalities in the ECG; or
2.       Ischaemic symptoms in the presence or absence of chest discomfort. Ischaemic symptoms may include:
-  Unexplained nausea and vomiting; or
-  Persistent shortness of breath secondary to left ventricular failure; or
-  Unexplained weakness, dizziness, light-headedness, or syncope
ST-Elevation Myocardial Infarction (STEMI) 
AT LEAST ONE of the following biomarkers for detecting myocardial necrosis MUST be present (refer to note regarding Reference Control Limits):
1.       Troponin T or I: Maximal concentration of Troponin T or I &gt; the MI diagnostic limit on at least one occasion within 24 hours from the index clinical event; 
2.       CK-MB:
-  Maximal value of CK-MB &gt;2x the upper limit of normal (ULN) on one occasion during the first hours after the index clinical event; OR
-  Maximal value of CK-MB (preferable CK-MB mass) &gt; ULN on two successive samples.
3.       Total CK: Only where Troponin or CK-MB assays are unavailable, total CK &gt;2x the ULN (or the B fraction of CK) may be employed. 
Note: The preferred assay to use as biomarkers for myocardial necrosis is Troponin. In the absence of troponin, CK-MB is the next best alternative but total CK can be used in the absence of troponin and CK-MB.
AND ONE of the following ECG changes…
1.      ST-segment elevation: New or presumed new ST segment elevation at the J point in two or more contiguous leads with the cut-off points ≥ 0.2mV in leads V1, V2, or V3, or ≥0.1 mV in other leads. 
2.      Development of any Q wave in leads V1 through V3, or the development of a Q-wave ≥ 30ms (0.03s) in leads I, II, aVL, aVF, V4, V5, or V6. (Q wave changes must be present in any two contiguous leads, and be ≥1mm in depth).</v>
      </c>
      <c r="F136" s="38" t="str">
        <f>_xlfn.CONCAT(_xlfn.XLOOKUP($A136,ncr_merged[[#All],[column_name]],ncr_merged[[#All],[required]]," ",0),"")</f>
        <v>If STAT30≥0</v>
      </c>
      <c r="G136" s="38" t="str">
        <f>_xlfn.CONCAT(_xlfn.XLOOKUP($A136,ncr_merged[[#All],[column_name]],ncr_merged[[#All],[comments]]," ",0),
_xlfn.XLOOKUP($A136,ncr_merged[[#All],[column_name]],ncr_merged[[#All],[validation_rule]]," ",0),
_xlfn.XLOOKUP($A136,ncr_merged[[#All],[column_name]],ncr_merged[[#All],[behaviour]]," ",0),
"from the NCR tab: ",_xlfn.XLOOKUP($A136,ncr_merged[[#All],[column_name]],ncr_merged[[#All],[source_tab]]),
" ")</f>
        <v xml:space="preserve">Reject file if NULL and STAT30≥0
Reject file if stat30=-1 and mi30 contains data
Reject file if dis=6 and mi30 contains datafrom the NCR tab: follow_up </v>
      </c>
      <c r="H136" s="38" t="str">
        <f>_xlfn.CONCAT(_xlfn.XLOOKUP($A136,ncr_merged[[#All],[column_name]],ncr_merged[[#All],[format]]," ",0))</f>
        <v/>
      </c>
      <c r="I136" s="38" t="str">
        <f>_xlfn.CONCAT(_xlfn.XLOOKUP($A136,ncr_merged[[#All],[column_name]],ncr_merged[[#All],[permitted_values]]," ",0))</f>
        <v>0=No
1=Yes
-1=Unknown</v>
      </c>
      <c r="J136" s="44" t="str">
        <f>_xlfn.CONCAT(_xlfn.XLOOKUP($A136,ncr_merged[[#All],[column_name]],ncr_merged[[#All],[range_(min)]]," ",0))</f>
        <v>-1</v>
      </c>
      <c r="K136" s="44" t="str">
        <f>_xlfn.CONCAT(_xlfn.XLOOKUP($A136,ncr_merged[[#All],[column_name]],ncr_merged[[#All],[range_(max)]]," ",0))</f>
        <v>1</v>
      </c>
      <c r="M136" s="38" t="str" cm="1">
        <f t="array" ref="M136">_xlfn.CONCAT(IFERROR(_xlfn.XLOOKUP(data_elements_bkp!A136,Table_query__5[[#All],[NCR Variable ID]],Table_query__5[[#All],[in_progress]]),""))</f>
        <v>Requires business rule to identify MI date and measure within 30 days.
Assumes MI event has been captured in a WA Health Information System (e.g. ED, PAS) and/or can be added via the WACOR data collection tool.</v>
      </c>
    </row>
    <row r="137" spans="1:13" x14ac:dyDescent="0.2">
      <c r="A137" s="38" t="str">
        <v>st30</v>
      </c>
      <c r="B137" s="38" t="str" cm="1">
        <f t="array" ref="B137">_xlfn.XLOOKUP($A137,ncr_merged[[#All],[column_name]],ncr_merged[[#All],[label]]," ",0)</f>
        <v>New stent-thrombosis</v>
      </c>
      <c r="E137" s="38" t="str">
        <f>_xlfn.CONCAT(_xlfn.XLOOKUP($A137,ncr_merged[[#All],[column_name]],ncr_merged[[#All],[question]]," ",0),_xlfn.XLOOKUP($A137,ncr_merged[[#All],[column_name]],ncr_merged[[#All],[supporting_definition]]," ",0))</f>
        <v>Did a stent thrombosis occur during the 30-day follow-up period?Indicate whether a stent thrombosis occurred within 30 days from the date of discharge from the current admission. Stent thrombosis is defined as the presence of a thrombus or angiographic documentation of vessel occlusion within a pre-existing stent OR within 5mm of the proximal or distal stent edges. Stent thromboses are classified by the Academic Research Consortium (ARC) as definite, probable, or silent. 
Select ONE of the following options that apply:
-No stent thrombosis: Where there are no acute coronary syndrome (ACS) symptoms or death after the index PCI lab visit and/or prior to discharge OR ACS symptoms occur during the defined period, but angiographic evidence does not indicate thrombus or occlusion.
-Definite stent thrombosis: The presence of an ACS with angiographic or autopsy evidence of thrombus or occlusion.
-Probable stent thrombosis: Includes unexplained deaths during the index admission after the procedure or acute myocardial infarction involving the target-vessel territory without angiographic or autopsy confirmation.
-Silent stent thrombosis: The incidental angiographic documentation of stent occlusion in the absence of clinical
signs or symptoms is not considered stent thrombosis.
-Unknown</v>
      </c>
      <c r="F137" s="38" t="str">
        <f>_xlfn.CONCAT(_xlfn.XLOOKUP($A137,ncr_merged[[#All],[column_name]],ncr_merged[[#All],[required]]," ",0),"")</f>
        <v>If STAT30≥0</v>
      </c>
      <c r="G137" s="38" t="str">
        <f>_xlfn.CONCAT(_xlfn.XLOOKUP($A137,ncr_merged[[#All],[column_name]],ncr_merged[[#All],[comments]]," ",0),
_xlfn.XLOOKUP($A137,ncr_merged[[#All],[column_name]],ncr_merged[[#All],[validation_rule]]," ",0),
_xlfn.XLOOKUP($A137,ncr_merged[[#All],[column_name]],ncr_merged[[#All],[behaviour]]," ",0),
"from the NCR tab: ",_xlfn.XLOOKUP($A137,ncr_merged[[#All],[column_name]],ncr_merged[[#All],[source_tab]]),
" ")</f>
        <v xml:space="preserve">Reject file if NULL and STAT30≥0
Reject file if stat30=-1 and st30 contains data
Reject file if dis=6 and st30 contains datafrom the NCR tab: follow_up </v>
      </c>
      <c r="H137" s="38" t="str">
        <f>_xlfn.CONCAT(_xlfn.XLOOKUP($A137,ncr_merged[[#All],[column_name]],ncr_merged[[#All],[format]]," ",0))</f>
        <v>N</v>
      </c>
      <c r="I137" s="38" t="str">
        <f>_xlfn.CONCAT(_xlfn.XLOOKUP($A137,ncr_merged[[#All],[column_name]],ncr_merged[[#All],[permitted_values]]," ",0))</f>
        <v xml:space="preserve">
0=No stent thrombosis 
1=Definite stent thrombosis  
2=Probable stent thrombosis
3=Silent stent thrombosis
-1 =Unknown</v>
      </c>
      <c r="J137" s="44" t="str">
        <f>_xlfn.CONCAT(_xlfn.XLOOKUP($A137,ncr_merged[[#All],[column_name]],ncr_merged[[#All],[range_(min)]]," ",0))</f>
        <v>-1</v>
      </c>
      <c r="K137" s="44" t="str">
        <f>_xlfn.CONCAT(_xlfn.XLOOKUP($A137,ncr_merged[[#All],[column_name]],ncr_merged[[#All],[range_(max)]]," ",0))</f>
        <v>3</v>
      </c>
      <c r="M137" s="38" t="str" cm="1">
        <f t="array" ref="M137">_xlfn.CONCAT(IFERROR(_xlfn.XLOOKUP(data_elements_bkp!A137,Table_query__5[[#All],[NCR Variable ID]],Table_query__5[[#All],[in_progress]]),""))</f>
        <v/>
      </c>
    </row>
    <row r="138" spans="1:13" x14ac:dyDescent="0.2">
      <c r="A138" s="38" t="str">
        <v>nstr</v>
      </c>
      <c r="B138" s="38" t="str" cm="1">
        <f t="array" ref="B138">_xlfn.XLOOKUP($A138,ncr_merged[[#All],[column_name]],ncr_merged[[#All],[label]]," ",0)</f>
        <v>New stroke</v>
      </c>
      <c r="E138" s="38" t="str">
        <f>_xlfn.CONCAT(_xlfn.XLOOKUP($A138,ncr_merged[[#All],[column_name]],ncr_merged[[#All],[question]]," ",0),_xlfn.XLOOKUP($A138,ncr_merged[[#All],[column_name]],ncr_merged[[#All],[supporting_definition]]," ",0))</f>
        <v>Did the patient experience a stroke during the 30-day follow-up period?Indicate if the patient experienced a stroke or new central neurologic deficit (persisting for &gt; 72 hours) during the cardiac catheter lab visit, after the lab visit, but prior to discharge and/or any subsequent lab visits. 
Note: Stroke is evidenced by persistent loss of neurological function caused by an ischaemic or haemorrhagic event.</v>
      </c>
      <c r="F138" s="38" t="str">
        <f>_xlfn.CONCAT(_xlfn.XLOOKUP($A138,ncr_merged[[#All],[column_name]],ncr_merged[[#All],[required]]," ",0),"")</f>
        <v>If STAT30≥0</v>
      </c>
      <c r="G138" s="38" t="str">
        <f>_xlfn.CONCAT(_xlfn.XLOOKUP($A138,ncr_merged[[#All],[column_name]],ncr_merged[[#All],[comments]]," ",0),
_xlfn.XLOOKUP($A138,ncr_merged[[#All],[column_name]],ncr_merged[[#All],[validation_rule]]," ",0),
_xlfn.XLOOKUP($A138,ncr_merged[[#All],[column_name]],ncr_merged[[#All],[behaviour]]," ",0),
"from the NCR tab: ",_xlfn.XLOOKUP($A138,ncr_merged[[#All],[column_name]],ncr_merged[[#All],[source_tab]]),
" ")</f>
        <v xml:space="preserve">Reject file if NULL and STAT30≥0
Reject file if stat30=-1 and nstr contains data
Reject file if dis=6 and nstr contains datafrom the NCR tab: follow_up </v>
      </c>
      <c r="H138" s="38" t="str">
        <f>_xlfn.CONCAT(_xlfn.XLOOKUP($A138,ncr_merged[[#All],[column_name]],ncr_merged[[#All],[format]]," ",0))</f>
        <v>N</v>
      </c>
      <c r="I138" s="38" t="str">
        <f>_xlfn.CONCAT(_xlfn.XLOOKUP($A138,ncr_merged[[#All],[column_name]],ncr_merged[[#All],[permitted_values]]," ",0))</f>
        <v>0=No
1=Yes
-1=Unknown</v>
      </c>
      <c r="J138" s="44" t="str">
        <f>_xlfn.CONCAT(_xlfn.XLOOKUP($A138,ncr_merged[[#All],[column_name]],ncr_merged[[#All],[range_(min)]]," ",0))</f>
        <v>-1</v>
      </c>
      <c r="K138" s="44" t="str">
        <f>_xlfn.CONCAT(_xlfn.XLOOKUP($A138,ncr_merged[[#All],[column_name]],ncr_merged[[#All],[range_(max)]]," ",0))</f>
        <v>1</v>
      </c>
      <c r="M138" s="38" t="str" cm="1">
        <f t="array" ref="M138">_xlfn.CONCAT(IFERROR(_xlfn.XLOOKUP(data_elements_bkp!A138,Table_query__5[[#All],[NCR Variable ID]],Table_query__5[[#All],[in_progress]]),""))</f>
        <v/>
      </c>
    </row>
    <row r="139" spans="1:13" x14ac:dyDescent="0.2">
      <c r="A139" s="38" t="str">
        <v>nstrt</v>
      </c>
      <c r="B139" s="38" t="str" cm="1">
        <f t="array" ref="B139">_xlfn.XLOOKUP($A139,ncr_merged[[#All],[column_name]],ncr_merged[[#All],[label]]," ",0)</f>
        <v>new stroke type</v>
      </c>
      <c r="E139" s="38" t="str">
        <f>_xlfn.CONCAT(_xlfn.XLOOKUP($A139,ncr_merged[[#All],[column_name]],ncr_merged[[#All],[question]]," ",0),_xlfn.XLOOKUP($A139,ncr_merged[[#All],[column_name]],ncr_merged[[#All],[supporting_definition]]," ",0))</f>
        <v>Where new stroke was coded 'yes', specify the type of stroke.Indicate whether the stroke was haemorrhagic or ischaemic. Select ONE of the following options:
- Haemorrhagic: Imaging evidence (MRI or CT), lumbar puncture, neurosurgery or autopsy evidence confirms haemorrhage in the cerebral parenchyma, or subdural/subarachnoid haemorrhage; 
- Ischaemic: In the absence of haemorrhagic evidence, inadequate cerebral blood supply is the suspected cause of stroke.  Cerebrovascular occlusion may be caused by (but is not limited to) thrombus, embolism or vasoconstriction, etc. 
- Unknown: Stroke type could not be conclusively determined.</v>
      </c>
      <c r="F139" s="38" t="str">
        <f>_xlfn.CONCAT(_xlfn.XLOOKUP($A139,ncr_merged[[#All],[column_name]],ncr_merged[[#All],[required]]," ",0),"")</f>
        <v>If NSTR=1</v>
      </c>
      <c r="G139" s="38" t="str">
        <f>_xlfn.CONCAT(_xlfn.XLOOKUP($A139,ncr_merged[[#All],[column_name]],ncr_merged[[#All],[comments]]," ",0),
_xlfn.XLOOKUP($A139,ncr_merged[[#All],[column_name]],ncr_merged[[#All],[validation_rule]]," ",0),
_xlfn.XLOOKUP($A139,ncr_merged[[#All],[column_name]],ncr_merged[[#All],[behaviour]]," ",0),
"from the NCR tab: ",_xlfn.XLOOKUP($A139,ncr_merged[[#All],[column_name]],ncr_merged[[#All],[source_tab]]),
" ")</f>
        <v xml:space="preserve">Reject file if nstr=1 and nstrt is NULL
Reject file if nstr = 0 or -1 and nstrt contains datafrom the NCR tab: follow_up </v>
      </c>
      <c r="H139" s="38" t="str">
        <f>_xlfn.CONCAT(_xlfn.XLOOKUP($A139,ncr_merged[[#All],[column_name]],ncr_merged[[#All],[format]]," ",0))</f>
        <v>N</v>
      </c>
      <c r="I139" s="38" t="str">
        <f>_xlfn.CONCAT(_xlfn.XLOOKUP($A139,ncr_merged[[#All],[column_name]],ncr_merged[[#All],[permitted_values]]," ",0))</f>
        <v>1=Haemorrhagic
2=Ischaemic
-1=Unknownn</v>
      </c>
      <c r="J139" s="44" t="str">
        <f>_xlfn.CONCAT(_xlfn.XLOOKUP($A139,ncr_merged[[#All],[column_name]],ncr_merged[[#All],[range_(min)]]," ",0))</f>
        <v>-1</v>
      </c>
      <c r="K139" s="44" t="str">
        <f>_xlfn.CONCAT(_xlfn.XLOOKUP($A139,ncr_merged[[#All],[column_name]],ncr_merged[[#All],[range_(max)]]," ",0))</f>
        <v>2</v>
      </c>
      <c r="M139" s="38" t="str" cm="1">
        <f t="array" ref="M139">_xlfn.CONCAT(IFERROR(_xlfn.XLOOKUP(data_elements_bkp!A139,Table_query__5[[#All],[NCR Variable ID]],Table_query__5[[#All],[in_progress]]),""))</f>
        <v/>
      </c>
    </row>
    <row r="140" spans="1:13" x14ac:dyDescent="0.2">
      <c r="A140" s="38" t="str">
        <v>crh30</v>
      </c>
      <c r="B140" s="38" t="str" cm="1">
        <f t="array" ref="B140">_xlfn.XLOOKUP($A140,ncr_merged[[#All],[column_name]],ncr_merged[[#All],[label]]," ",0)</f>
        <v>Cardiac rehospitalisation</v>
      </c>
      <c r="E140" s="38" t="str">
        <f>_xlfn.CONCAT(_xlfn.XLOOKUP($A140,ncr_merged[[#All],[column_name]],ncr_merged[[#All],[question]]," ",0),_xlfn.XLOOKUP($A140,ncr_merged[[#All],[column_name]],ncr_merged[[#All],[supporting_definition]]," ",0))</f>
        <v>Did the patient have a cardiac rehospitalisation within 30 days?Indicate whether the patient had a cardiac rehospitalisation, where a cardiac rehospitalisation is defined as an in-patient admission that includes, but is not limited to any of the following circumstances: heart failure; acute coronary syndrome (e.g STEMI, NSTEMI; recurrent or unstable angina); arrhythmia; elective (non emergency) PCI or CAGB etc.
Include rehospitalisations with a primary diagnosis that has the following ICD-10 AM codes:
I00 – I02: Acute rheumatic fever
I05 – I09: Chronic rheumatic heart disease
I10 – I15: Hypertensive diseases
I20 – I25: Ischaemic heart disease
I30 – I52: Other forms of heart disease
I70 – I72: Atherosclerosis, aortic aneurysm and dissection
I74: Arterial embolism and thrombosis
I77.0: Arteriovenous fistula, acquired
R00: Abnormalities of heart beat
R01: Cardiac murmurs and other cardiac sounds
R03: Abnormal blood pressure reading
R07: Pain in throat and chest
All other ICD-10 codes should be classified as non-cardiac</v>
      </c>
      <c r="F140" s="38" t="str">
        <f>_xlfn.CONCAT(_xlfn.XLOOKUP($A140,ncr_merged[[#All],[column_name]],ncr_merged[[#All],[required]]," ",0),"")</f>
        <v>Always</v>
      </c>
      <c r="G140" s="38" t="str">
        <f>_xlfn.CONCAT(_xlfn.XLOOKUP($A140,ncr_merged[[#All],[column_name]],ncr_merged[[#All],[comments]]," ",0),
_xlfn.XLOOKUP($A140,ncr_merged[[#All],[column_name]],ncr_merged[[#All],[validation_rule]]," ",0),
_xlfn.XLOOKUP($A140,ncr_merged[[#All],[column_name]],ncr_merged[[#All],[behaviour]]," ",0),
"from the NCR tab: ",_xlfn.XLOOKUP($A140,ncr_merged[[#All],[column_name]],ncr_merged[[#All],[source_tab]]),
" ")</f>
        <v xml:space="preserve">Up to 6 rehospitalisations be entered.  
 Fields are coded in data extract as CRH30, CRH30_2, CRH30_3-5..,Reject file if crh30 is NULL and stat30≥0
Reject file if crh30 contains data and stat30=-1
Reject file if dis=6 and crh30 contains datafrom the NCR tab: follow_up </v>
      </c>
      <c r="H140" s="38" t="str">
        <f>_xlfn.CONCAT(_xlfn.XLOOKUP($A140,ncr_merged[[#All],[column_name]],ncr_merged[[#All],[format]]," ",0))</f>
        <v>N</v>
      </c>
      <c r="I140" s="38" t="str">
        <f>_xlfn.CONCAT(_xlfn.XLOOKUP($A140,ncr_merged[[#All],[column_name]],ncr_merged[[#All],[permitted_values]]," ",0))</f>
        <v xml:space="preserve">
0=No
1=Yes
-1=Unknown</v>
      </c>
      <c r="J140" s="44" t="str">
        <f>_xlfn.CONCAT(_xlfn.XLOOKUP($A140,ncr_merged[[#All],[column_name]],ncr_merged[[#All],[range_(min)]]," ",0))</f>
        <v>-1</v>
      </c>
      <c r="K140" s="44" t="str">
        <f>_xlfn.CONCAT(_xlfn.XLOOKUP($A140,ncr_merged[[#All],[column_name]],ncr_merged[[#All],[range_(max)]]," ",0))</f>
        <v>1</v>
      </c>
      <c r="M140" s="38" t="str" cm="1">
        <f t="array" ref="M140">_xlfn.CONCAT(IFERROR(_xlfn.XLOOKUP(data_elements_bkp!A140,Table_query__5[[#All],[NCR Variable ID]],Table_query__5[[#All],[in_progress]]),""))</f>
        <v/>
      </c>
    </row>
    <row r="141" spans="1:13" x14ac:dyDescent="0.2">
      <c r="A141" s="38" t="str">
        <v>rhdte</v>
      </c>
      <c r="B141" s="38" t="str" cm="1">
        <f t="array" ref="B141">_xlfn.XLOOKUP($A141,ncr_merged[[#All],[column_name]],ncr_merged[[#All],[label]]," ",0)</f>
        <v>Cardiac rehospitalisation Date</v>
      </c>
      <c r="E141" s="38" t="str">
        <f>_xlfn.CONCAT(_xlfn.XLOOKUP($A141,ncr_merged[[#All],[column_name]],ncr_merged[[#All],[question]]," ",0),_xlfn.XLOOKUP($A141,ncr_merged[[#All],[column_name]],ncr_merged[[#All],[supporting_definition]]," ",0))</f>
        <v>Where cardiac rehospitalisation is coded as 'Yes', on what date was the rehospitalisation?Indicate the date of cardiac rehospitalisation</v>
      </c>
      <c r="F141" s="38" t="str">
        <f>_xlfn.CONCAT(_xlfn.XLOOKUP($A141,ncr_merged[[#All],[column_name]],ncr_merged[[#All],[required]]," ",0),"")</f>
        <v>If crh30=1</v>
      </c>
      <c r="G141" s="38" t="str">
        <f>_xlfn.CONCAT(_xlfn.XLOOKUP($A141,ncr_merged[[#All],[column_name]],ncr_merged[[#All],[comments]]," ",0),
_xlfn.XLOOKUP($A141,ncr_merged[[#All],[column_name]],ncr_merged[[#All],[validation_rule]]," ",0),
_xlfn.XLOOKUP($A141,ncr_merged[[#All],[column_name]],ncr_merged[[#All],[behaviour]]," ",0),
"from the NCR tab: ",_xlfn.XLOOKUP($A141,ncr_merged[[#All],[column_name]],ncr_merged[[#All],[source_tab]]),
" ")</f>
        <v xml:space="preserve">Up to 6 rehospitalisations be entered.  
 Fields are coded in data extract as CRH30, CRH30_2, CRH30_3-5..,Reject file if rhdte &gt;dod + 30
Reject file if rhdte &lt;dod
Reject file if crh30 =1 and rhdte is NULL
Reject file if crh30=0 and rhdte has datafrom the NCR tab: follow_up </v>
      </c>
      <c r="H141" s="38" t="str">
        <f>_xlfn.CONCAT(_xlfn.XLOOKUP($A141,ncr_merged[[#All],[column_name]],ncr_merged[[#All],[format]]," ",0))</f>
        <v>DD/MM/YYYY</v>
      </c>
      <c r="I141" s="38" t="str">
        <f>_xlfn.CONCAT(_xlfn.XLOOKUP($A141,ncr_merged[[#All],[column_name]],ncr_merged[[#All],[permitted_values]]," ",0))</f>
        <v>DD/MM/YYYY</v>
      </c>
      <c r="J141" s="44" t="str">
        <f>_xlfn.CONCAT(_xlfn.XLOOKUP($A141,ncr_merged[[#All],[column_name]],ncr_merged[[#All],[range_(min)]]," ",0))</f>
        <v/>
      </c>
      <c r="K141" s="44" t="str">
        <f>_xlfn.CONCAT(_xlfn.XLOOKUP($A141,ncr_merged[[#All],[column_name]],ncr_merged[[#All],[range_(max)]]," ",0))</f>
        <v/>
      </c>
      <c r="M141" s="38" t="str" cm="1">
        <f t="array" ref="M141">_xlfn.CONCAT(IFERROR(_xlfn.XLOOKUP(data_elements_bkp!A141,Table_query__5[[#All],[NCR Variable ID]],Table_query__5[[#All],[in_progress]]),""))</f>
        <v/>
      </c>
    </row>
    <row r="142" spans="1:13" x14ac:dyDescent="0.2">
      <c r="A142" s="38" t="str">
        <v>pc30</v>
      </c>
      <c r="B142" s="38" t="str" cm="1">
        <f t="array" ref="B142">_xlfn.XLOOKUP($A142,ncr_merged[[#All],[column_name]],ncr_merged[[#All],[label]]," ",0)</f>
        <v>Planned cardiac rehospitalisation</v>
      </c>
      <c r="E142" s="38" t="str">
        <f>_xlfn.CONCAT(_xlfn.XLOOKUP($A142,ncr_merged[[#All],[column_name]],ncr_merged[[#All],[question]]," ",0),_xlfn.XLOOKUP($A142,ncr_merged[[#All],[column_name]],ncr_merged[[#All],[supporting_definition]]," ",0))</f>
        <v>Where Cardiac rehospitalisation is coded as 'Yes', was the hospitalisation planned?Indicate whether the cardiac rehospitalisation was planned.  Note: A 'planned cardiac rehospitalisation' is defined as an in-patient admission to hospital for a SCHEDULED visit only.  For emergency admissions, code as 'no'.</v>
      </c>
      <c r="F142" s="38" t="str">
        <f>_xlfn.CONCAT(_xlfn.XLOOKUP($A142,ncr_merged[[#All],[column_name]],ncr_merged[[#All],[required]]," ",0),"")</f>
        <v>If crh30=1</v>
      </c>
      <c r="G142" s="38" t="str">
        <f>_xlfn.CONCAT(_xlfn.XLOOKUP($A142,ncr_merged[[#All],[column_name]],ncr_merged[[#All],[comments]]," ",0),
_xlfn.XLOOKUP($A142,ncr_merged[[#All],[column_name]],ncr_merged[[#All],[validation_rule]]," ",0),
_xlfn.XLOOKUP($A142,ncr_merged[[#All],[column_name]],ncr_merged[[#All],[behaviour]]," ",0),
"from the NCR tab: ",_xlfn.XLOOKUP($A142,ncr_merged[[#All],[column_name]],ncr_merged[[#All],[source_tab]]),
" ")</f>
        <v xml:space="preserve">Up to 6 rehospitalisations be entered.  
 Fields are coded in data extract as CRH30, CRH30_2, CRH30_3-5..,Reject file if  crh30=1 AND pc30 is NULL
Reject file if crh30=0 and pc30 has datafrom the NCR tab: follow_up </v>
      </c>
      <c r="H142" s="38" t="str">
        <f>_xlfn.CONCAT(_xlfn.XLOOKUP($A142,ncr_merged[[#All],[column_name]],ncr_merged[[#All],[format]]," ",0))</f>
        <v>N</v>
      </c>
      <c r="I142" s="38" t="str">
        <f>_xlfn.CONCAT(_xlfn.XLOOKUP($A142,ncr_merged[[#All],[column_name]],ncr_merged[[#All],[permitted_values]]," ",0))</f>
        <v xml:space="preserve">
0=No
1=Yes
-1=Unknown</v>
      </c>
      <c r="J142" s="44" t="str">
        <f>_xlfn.CONCAT(_xlfn.XLOOKUP($A142,ncr_merged[[#All],[column_name]],ncr_merged[[#All],[range_(min)]]," ",0))</f>
        <v>-1</v>
      </c>
      <c r="K142" s="44" t="str">
        <f>_xlfn.CONCAT(_xlfn.XLOOKUP($A142,ncr_merged[[#All],[column_name]],ncr_merged[[#All],[range_(max)]]," ",0))</f>
        <v>1</v>
      </c>
      <c r="M142" s="38" t="str" cm="1">
        <f t="array" ref="M142">_xlfn.CONCAT(IFERROR(_xlfn.XLOOKUP(data_elements_bkp!A142,Table_query__5[[#All],[NCR Variable ID]],Table_query__5[[#All],[in_progress]]),""))</f>
        <v/>
      </c>
    </row>
    <row r="143" spans="1:13" x14ac:dyDescent="0.2">
      <c r="A143" s="38" t="str">
        <v>pci30</v>
      </c>
      <c r="B143" s="38" t="str" cm="1">
        <f t="array" ref="B143">_xlfn.XLOOKUP($A143,ncr_merged[[#All],[column_name]],ncr_merged[[#All],[label]]," ",0)</f>
        <v>PCI rehospitalisation</v>
      </c>
      <c r="E143" s="38" t="str">
        <f>_xlfn.CONCAT(_xlfn.XLOOKUP($A143,ncr_merged[[#All],[column_name]],ncr_merged[[#All],[question]]," ",0),_xlfn.XLOOKUP($A143,ncr_merged[[#All],[column_name]],ncr_merged[[#All],[supporting_definition]]," ",0))</f>
        <v>Where Cardiac Rehospitalisation is coded as 'Yes', was PCI performed during this admission?Indicate whether Percutaneous Coronary Intervention (PCI) was performed during the cardiac rehospitalisation admission</v>
      </c>
      <c r="F143" s="38" t="str">
        <f>_xlfn.CONCAT(_xlfn.XLOOKUP($A143,ncr_merged[[#All],[column_name]],ncr_merged[[#All],[required]]," ",0),"")</f>
        <v>If crh30=1</v>
      </c>
      <c r="G143" s="38" t="str">
        <f>_xlfn.CONCAT(_xlfn.XLOOKUP($A143,ncr_merged[[#All],[column_name]],ncr_merged[[#All],[comments]]," ",0),
_xlfn.XLOOKUP($A143,ncr_merged[[#All],[column_name]],ncr_merged[[#All],[validation_rule]]," ",0),
_xlfn.XLOOKUP($A143,ncr_merged[[#All],[column_name]],ncr_merged[[#All],[behaviour]]," ",0),
"from the NCR tab: ",_xlfn.XLOOKUP($A143,ncr_merged[[#All],[column_name]],ncr_merged[[#All],[source_tab]]),
" ")</f>
        <v xml:space="preserve">Up to 6 rehospitalisations be entered.  
 Fields are coded in data extract as CRH30, CRH30_2, CRH30_3-5..,Reject file if  crh30=1 AND pci30 is NULL
Reject file if crh30=0 and pci30 has datafrom the NCR tab: follow_up </v>
      </c>
      <c r="H143" s="38" t="str">
        <f>_xlfn.CONCAT(_xlfn.XLOOKUP($A143,ncr_merged[[#All],[column_name]],ncr_merged[[#All],[format]]," ",0))</f>
        <v>N</v>
      </c>
      <c r="I143" s="38" t="str">
        <f>_xlfn.CONCAT(_xlfn.XLOOKUP($A143,ncr_merged[[#All],[column_name]],ncr_merged[[#All],[permitted_values]]," ",0))</f>
        <v xml:space="preserve">
0=No
1=Yes
-1=Unknown</v>
      </c>
      <c r="J143" s="44" t="str">
        <f>_xlfn.CONCAT(_xlfn.XLOOKUP($A143,ncr_merged[[#All],[column_name]],ncr_merged[[#All],[range_(min)]]," ",0))</f>
        <v>-1</v>
      </c>
      <c r="K143" s="44" t="str">
        <f>_xlfn.CONCAT(_xlfn.XLOOKUP($A143,ncr_merged[[#All],[column_name]],ncr_merged[[#All],[range_(max)]]," ",0))</f>
        <v>1</v>
      </c>
      <c r="M143" s="38" t="str" cm="1">
        <f t="array" ref="M143">_xlfn.CONCAT(IFERROR(_xlfn.XLOOKUP(data_elements_bkp!A143,Table_query__5[[#All],[NCR Variable ID]],Table_query__5[[#All],[in_progress]]),""))</f>
        <v/>
      </c>
    </row>
    <row r="144" spans="1:13" x14ac:dyDescent="0.2">
      <c r="A144" s="38" t="str">
        <v>tvr30</v>
      </c>
      <c r="B144" s="38" t="str" cm="1">
        <f t="array" ref="B144">_xlfn.XLOOKUP($A144,ncr_merged[[#All],[column_name]],ncr_merged[[#All],[label]]," ",0)</f>
        <v>Target Vessel revascularisation (PCI)</v>
      </c>
      <c r="E144" s="38" t="str">
        <f>_xlfn.CONCAT(_xlfn.XLOOKUP($A144,ncr_merged[[#All],[column_name]],ncr_merged[[#All],[question]]," ",0),_xlfn.XLOOKUP($A144,ncr_merged[[#All],[column_name]],ncr_merged[[#All],[supporting_definition]]," ",0))</f>
        <v>Where PCI rehospitalisation  is coded as 'Yes', was the target VESSEL revascularised during the post-discharge subsequent PCI?Indicate whether the target VESSEL was revascularised during the post-discharge subsequent PCI. 
Note: A PCI TVR is any repeated PERCUTANEOUS revascularisation due to restenosis/occlusion within the target coronary artery and/or the same arterial branch that was treated during the index PCI. 
This includes any percutaneous revascularisation within the same arterial branch treated during the index PCI, regardless of whether the index PCI was successful.</v>
      </c>
      <c r="F144" s="38" t="str">
        <f>_xlfn.CONCAT(_xlfn.XLOOKUP($A144,ncr_merged[[#All],[column_name]],ncr_merged[[#All],[required]]," ",0),"")</f>
        <v>if pci30=1</v>
      </c>
      <c r="G144" s="38" t="str">
        <f>_xlfn.CONCAT(_xlfn.XLOOKUP($A144,ncr_merged[[#All],[column_name]],ncr_merged[[#All],[comments]]," ",0),
_xlfn.XLOOKUP($A144,ncr_merged[[#All],[column_name]],ncr_merged[[#All],[validation_rule]]," ",0),
_xlfn.XLOOKUP($A144,ncr_merged[[#All],[column_name]],ncr_merged[[#All],[behaviour]]," ",0),
"from the NCR tab: ",_xlfn.XLOOKUP($A144,ncr_merged[[#All],[column_name]],ncr_merged[[#All],[source_tab]]),
" ")</f>
        <v xml:space="preserve">Up to 6 rehospitalisations be entered.  
 Fields are coded in data extract as CRH30, CRH30_2, CRH30_3-5..,Reject file if pci30 =0 or -1 and tvr30 has data
Reject file if pci30=1 and tvr30 is NULLfrom the NCR tab: follow_up </v>
      </c>
      <c r="H144" s="38" t="str">
        <f>_xlfn.CONCAT(_xlfn.XLOOKUP($A144,ncr_merged[[#All],[column_name]],ncr_merged[[#All],[format]]," ",0))</f>
        <v>N</v>
      </c>
      <c r="I144" s="38" t="str">
        <f>_xlfn.CONCAT(_xlfn.XLOOKUP($A144,ncr_merged[[#All],[column_name]],ncr_merged[[#All],[permitted_values]]," ",0))</f>
        <v xml:space="preserve">
0=No
1=Yes
-1=Unknown</v>
      </c>
      <c r="J144" s="44" t="str">
        <f>_xlfn.CONCAT(_xlfn.XLOOKUP($A144,ncr_merged[[#All],[column_name]],ncr_merged[[#All],[range_(min)]]," ",0))</f>
        <v>-1</v>
      </c>
      <c r="K144" s="44" t="str">
        <f>_xlfn.CONCAT(_xlfn.XLOOKUP($A144,ncr_merged[[#All],[column_name]],ncr_merged[[#All],[range_(max)]]," ",0))</f>
        <v>1</v>
      </c>
      <c r="M144" s="38" t="str" cm="1">
        <f t="array" ref="M144">_xlfn.CONCAT(IFERROR(_xlfn.XLOOKUP(data_elements_bkp!A144,Table_query__5[[#All],[NCR Variable ID]],Table_query__5[[#All],[in_progress]]),""))</f>
        <v/>
      </c>
    </row>
    <row r="145" spans="1:13" x14ac:dyDescent="0.2">
      <c r="A145" s="38" t="str">
        <v>tlr30</v>
      </c>
      <c r="B145" s="38" t="str" cm="1">
        <f t="array" ref="B145">_xlfn.XLOOKUP($A145,ncr_merged[[#All],[column_name]],ncr_merged[[#All],[label]]," ",0)</f>
        <v>Target LESION revascularisation (TLR)</v>
      </c>
      <c r="E145" s="38" t="str">
        <f>_xlfn.CONCAT(_xlfn.XLOOKUP($A145,ncr_merged[[#All],[column_name]],ncr_merged[[#All],[question]]," ",0),_xlfn.XLOOKUP($A145,ncr_merged[[#All],[column_name]],ncr_merged[[#All],[supporting_definition]]," ",0))</f>
        <v>Where PCI rehospitalisation  is coded as 'Yes', was the target LESION revascularised during the post-discharge subsequent PCI?Indicate whether the target LESION was revascularised during the post-discharge subsequent PCI. 
Note:  A target lesion revascularisation (TLR) is any repeated PERCUTANEOUS revascularisation of the same LESION treated during the index PCI.  
This includes treatment of a restenosis/occlusion within a stent implanted during the index PCI (or within 5-mm of the proximal and distal margins of the stent edges). It also includes attempts to revascularise the target lesion where a stent was not successfully implanted and/or plain old balloon angioplasty (POBA) was employed during the index PCI.</v>
      </c>
      <c r="F145" s="38" t="str">
        <f>_xlfn.CONCAT(_xlfn.XLOOKUP($A145,ncr_merged[[#All],[column_name]],ncr_merged[[#All],[required]]," ",0),"")</f>
        <v>if tvr30=1</v>
      </c>
      <c r="G145" s="38" t="str">
        <f>_xlfn.CONCAT(_xlfn.XLOOKUP($A145,ncr_merged[[#All],[column_name]],ncr_merged[[#All],[comments]]," ",0),
_xlfn.XLOOKUP($A145,ncr_merged[[#All],[column_name]],ncr_merged[[#All],[validation_rule]]," ",0),
_xlfn.XLOOKUP($A145,ncr_merged[[#All],[column_name]],ncr_merged[[#All],[behaviour]]," ",0),
"from the NCR tab: ",_xlfn.XLOOKUP($A145,ncr_merged[[#All],[column_name]],ncr_merged[[#All],[source_tab]]),
" ")</f>
        <v xml:space="preserve">Up to 6 rehospitalisations be entered.  
 Fields are coded in data extract as CRH30, CRH30_2, CRH30_3-5..,Reject file if tvr30 =0 or -1 and tlr30 has data
Reject file if tvr30=1 and tlr30 is NULLfrom the NCR tab: follow_up </v>
      </c>
      <c r="H145" s="38" t="str">
        <f>_xlfn.CONCAT(_xlfn.XLOOKUP($A145,ncr_merged[[#All],[column_name]],ncr_merged[[#All],[format]]," ",0))</f>
        <v>N</v>
      </c>
      <c r="I145" s="38" t="str">
        <f>_xlfn.CONCAT(_xlfn.XLOOKUP($A145,ncr_merged[[#All],[column_name]],ncr_merged[[#All],[permitted_values]]," ",0))</f>
        <v xml:space="preserve">
0=No
1=Yes
-1=Unknown</v>
      </c>
      <c r="J145" s="44" t="str">
        <f>_xlfn.CONCAT(_xlfn.XLOOKUP($A145,ncr_merged[[#All],[column_name]],ncr_merged[[#All],[range_(min)]]," ",0))</f>
        <v>-1</v>
      </c>
      <c r="K145" s="44" t="str">
        <f>_xlfn.CONCAT(_xlfn.XLOOKUP($A145,ncr_merged[[#All],[column_name]],ncr_merged[[#All],[range_(max)]]," ",0))</f>
        <v>1</v>
      </c>
      <c r="M145" s="38" t="str" cm="1">
        <f t="array" ref="M145">_xlfn.CONCAT(IFERROR(_xlfn.XLOOKUP(data_elements_bkp!A145,Table_query__5[[#All],[NCR Variable ID]],Table_query__5[[#All],[in_progress]]),""))</f>
        <v/>
      </c>
    </row>
    <row r="146" spans="1:13" x14ac:dyDescent="0.2">
      <c r="A146" s="38" t="str">
        <v>cab30</v>
      </c>
      <c r="B146" s="38" t="str" cm="1">
        <f t="array" ref="B146">_xlfn.XLOOKUP($A146,ncr_merged[[#All],[column_name]],ncr_merged[[#All],[label]]," ",0)</f>
        <v>CABG Rehospitalisation</v>
      </c>
      <c r="E146" s="38" t="str">
        <f>_xlfn.CONCAT(_xlfn.XLOOKUP($A146,ncr_merged[[#All],[column_name]],ncr_merged[[#All],[question]]," ",0),_xlfn.XLOOKUP($A146,ncr_merged[[#All],[column_name]],ncr_merged[[#All],[supporting_definition]]," ",0))</f>
        <v>Where Cardiac Rehospitalisation is coded as 'Yes', was CABG performed during this admission?Indicate whether Coronary Bypass Grafting (CABG) was performed during the cardiac rehospitalisation admission</v>
      </c>
      <c r="F146" s="38" t="str">
        <f>_xlfn.CONCAT(_xlfn.XLOOKUP($A146,ncr_merged[[#All],[column_name]],ncr_merged[[#All],[required]]," ",0),"")</f>
        <v>If crh30=1</v>
      </c>
      <c r="G146" s="38" t="str">
        <f>_xlfn.CONCAT(_xlfn.XLOOKUP($A146,ncr_merged[[#All],[column_name]],ncr_merged[[#All],[comments]]," ",0),
_xlfn.XLOOKUP($A146,ncr_merged[[#All],[column_name]],ncr_merged[[#All],[validation_rule]]," ",0),
_xlfn.XLOOKUP($A146,ncr_merged[[#All],[column_name]],ncr_merged[[#All],[behaviour]]," ",0),
"from the NCR tab: ",_xlfn.XLOOKUP($A146,ncr_merged[[#All],[column_name]],ncr_merged[[#All],[source_tab]]),
" ")</f>
        <v xml:space="preserve">Up to 6 rehospitalisations be entered.  
 Fields are coded in data extract as CRH30, CRH30_2, CRH30_3-5..,Reject file if crh30=1 AND cab30 is NULL
Reject file if crh30=0, or -1, or NULL AND cab30 has datafrom the NCR tab: follow_up </v>
      </c>
      <c r="H146" s="38" t="str">
        <f>_xlfn.CONCAT(_xlfn.XLOOKUP($A146,ncr_merged[[#All],[column_name]],ncr_merged[[#All],[format]]," ",0))</f>
        <v>N</v>
      </c>
      <c r="I146" s="38" t="str">
        <f>_xlfn.CONCAT(_xlfn.XLOOKUP($A146,ncr_merged[[#All],[column_name]],ncr_merged[[#All],[permitted_values]]," ",0))</f>
        <v xml:space="preserve">
0=No
1=Yes
-1=Unknown</v>
      </c>
      <c r="J146" s="44" t="str">
        <f>_xlfn.CONCAT(_xlfn.XLOOKUP($A146,ncr_merged[[#All],[column_name]],ncr_merged[[#All],[range_(min)]]," ",0))</f>
        <v>-1</v>
      </c>
      <c r="K146" s="44" t="str">
        <f>_xlfn.CONCAT(_xlfn.XLOOKUP($A146,ncr_merged[[#All],[column_name]],ncr_merged[[#All],[range_(max)]]," ",0))</f>
        <v>1</v>
      </c>
      <c r="M146" s="38" t="str" cm="1">
        <f t="array" ref="M146">_xlfn.CONCAT(IFERROR(_xlfn.XLOOKUP(data_elements_bkp!A146,Table_query__5[[#All],[NCR Variable ID]],Table_query__5[[#All],[in_progress]]),""))</f>
        <v/>
      </c>
    </row>
    <row r="147" spans="1:13" x14ac:dyDescent="0.2">
      <c r="A147" s="38" t="str">
        <v>tvcab30</v>
      </c>
      <c r="B147" s="38" t="str" cm="1">
        <f t="array" ref="B147">_xlfn.XLOOKUP($A147,ncr_merged[[#All],[column_name]],ncr_merged[[#All],[label]]," ",0)</f>
        <v>Target Vessel CABG</v>
      </c>
      <c r="E147" s="38" t="str">
        <f>_xlfn.CONCAT(_xlfn.XLOOKUP($A147,ncr_merged[[#All],[column_name]],ncr_merged[[#All],[question]]," ",0),_xlfn.XLOOKUP($A147,ncr_merged[[#All],[column_name]],ncr_merged[[#All],[supporting_definition]]," ",0))</f>
        <v>Where CABG rehospitalisation  is coded as 'Yes', did the surgery involvedthe placing of coronary artery bypass grafts to revascularise the target vessel treated during the index PCIIndicate whether the surgery involved the placing of coronary artery bypass grafts to revascularise the target vessel treated during the index PCI</v>
      </c>
      <c r="F147" s="38" t="str">
        <f>_xlfn.CONCAT(_xlfn.XLOOKUP($A147,ncr_merged[[#All],[column_name]],ncr_merged[[#All],[required]]," ",0),"")</f>
        <v>if cab30=1</v>
      </c>
      <c r="G147" s="38" t="str">
        <f>_xlfn.CONCAT(_xlfn.XLOOKUP($A147,ncr_merged[[#All],[column_name]],ncr_merged[[#All],[comments]]," ",0),
_xlfn.XLOOKUP($A147,ncr_merged[[#All],[column_name]],ncr_merged[[#All],[validation_rule]]," ",0),
_xlfn.XLOOKUP($A147,ncr_merged[[#All],[column_name]],ncr_merged[[#All],[behaviour]]," ",0),
"from the NCR tab: ",_xlfn.XLOOKUP($A147,ncr_merged[[#All],[column_name]],ncr_merged[[#All],[source_tab]]),
" ")</f>
        <v xml:space="preserve">Up to 6 rehospitalisations be entered.  
 Fields are coded in data extract as CRH30, CRH30_2, CRH30_3-5..,Reject file if cab30 =0, or -1, or NULL and tvcab30 has data
Reject file if cab30=1 and tvcab30 is NULLfrom the NCR tab: follow_up </v>
      </c>
      <c r="H147" s="38" t="str">
        <f>_xlfn.CONCAT(_xlfn.XLOOKUP($A147,ncr_merged[[#All],[column_name]],ncr_merged[[#All],[format]]," ",0))</f>
        <v>N</v>
      </c>
      <c r="I147" s="38" t="str">
        <f>_xlfn.CONCAT(_xlfn.XLOOKUP($A147,ncr_merged[[#All],[column_name]],ncr_merged[[#All],[permitted_values]]," ",0))</f>
        <v xml:space="preserve">
0=No
1=Yes
-1=Unknown</v>
      </c>
      <c r="J147" s="44" t="str">
        <f>_xlfn.CONCAT(_xlfn.XLOOKUP($A147,ncr_merged[[#All],[column_name]],ncr_merged[[#All],[range_(min)]]," ",0))</f>
        <v>-1</v>
      </c>
      <c r="K147" s="44" t="str">
        <f>_xlfn.CONCAT(_xlfn.XLOOKUP($A147,ncr_merged[[#All],[column_name]],ncr_merged[[#All],[range_(max)]]," ",0))</f>
        <v>1</v>
      </c>
      <c r="M147" s="38" t="str" cm="1">
        <f t="array" ref="M147">_xlfn.CONCAT(IFERROR(_xlfn.XLOOKUP(data_elements_bkp!A147,Table_query__5[[#All],[NCR Variable ID]],Table_query__5[[#All],[in_progress]]),""))</f>
        <v/>
      </c>
    </row>
    <row r="148" spans="1:13" x14ac:dyDescent="0.2">
      <c r="A148" s="38" t="str">
        <v>crh30_2</v>
      </c>
      <c r="B148" s="38" t="str" cm="1">
        <f t="array" ref="B148">_xlfn.XLOOKUP($A148,ncr_merged[[#All],[column_name]],ncr_merged[[#All],[label]]," ",0)</f>
        <v>Cardiac rehospitalisation</v>
      </c>
      <c r="E148" s="38" t="str">
        <f>_xlfn.CONCAT(_xlfn.XLOOKUP($A148,ncr_merged[[#All],[column_name]],ncr_merged[[#All],[question]]," ",0),_xlfn.XLOOKUP($A148,ncr_merged[[#All],[column_name]],ncr_merged[[#All],[supporting_definition]]," ",0))</f>
        <v/>
      </c>
      <c r="F148" s="38" t="str">
        <f>_xlfn.CONCAT(_xlfn.XLOOKUP($A148,ncr_merged[[#All],[column_name]],ncr_merged[[#All],[required]]," ",0),"")</f>
        <v/>
      </c>
      <c r="G148" s="38" t="str">
        <f>_xlfn.CONCAT(_xlfn.XLOOKUP($A148,ncr_merged[[#All],[column_name]],ncr_merged[[#All],[comments]]," ",0),
_xlfn.XLOOKUP($A148,ncr_merged[[#All],[column_name]],ncr_merged[[#All],[validation_rule]]," ",0),
_xlfn.XLOOKUP($A148,ncr_merged[[#All],[column_name]],ncr_merged[[#All],[behaviour]]," ",0),
"from the NCR tab: ",_xlfn.XLOOKUP($A148,ncr_merged[[#All],[column_name]],ncr_merged[[#All],[source_tab]]),
" ")</f>
        <v xml:space="preserve">from the NCR tab: follow_up </v>
      </c>
      <c r="H148" s="38" t="str">
        <f>_xlfn.CONCAT(_xlfn.XLOOKUP($A148,ncr_merged[[#All],[column_name]],ncr_merged[[#All],[format]]," ",0))</f>
        <v>N</v>
      </c>
      <c r="I148" s="38" t="str">
        <f>_xlfn.CONCAT(_xlfn.XLOOKUP($A148,ncr_merged[[#All],[column_name]],ncr_merged[[#All],[permitted_values]]," ",0))</f>
        <v xml:space="preserve">
1=Yes
NULL</v>
      </c>
      <c r="J148" s="44" t="str">
        <f>_xlfn.CONCAT(_xlfn.XLOOKUP($A148,ncr_merged[[#All],[column_name]],ncr_merged[[#All],[range_(min)]]," ",0))</f>
        <v>1</v>
      </c>
      <c r="K148" s="44" t="str">
        <f>_xlfn.CONCAT(_xlfn.XLOOKUP($A148,ncr_merged[[#All],[column_name]],ncr_merged[[#All],[range_(max)]]," ",0))</f>
        <v>1</v>
      </c>
      <c r="M148" s="38" t="str" cm="1">
        <f t="array" ref="M148">_xlfn.CONCAT(IFERROR(_xlfn.XLOOKUP(data_elements_bkp!A148,Table_query__5[[#All],[NCR Variable ID]],Table_query__5[[#All],[in_progress]]),""))</f>
        <v/>
      </c>
    </row>
    <row r="149" spans="1:13" x14ac:dyDescent="0.2">
      <c r="A149" s="38" t="str">
        <v>rhdte_2</v>
      </c>
      <c r="B149" s="38" t="str" cm="1">
        <f t="array" ref="B149">_xlfn.XLOOKUP($A149,ncr_merged[[#All],[column_name]],ncr_merged[[#All],[label]]," ",0)</f>
        <v>Cardiac rehospitalisation Date</v>
      </c>
      <c r="E149" s="38" t="str">
        <f>_xlfn.CONCAT(_xlfn.XLOOKUP($A149,ncr_merged[[#All],[column_name]],ncr_merged[[#All],[question]]," ",0),_xlfn.XLOOKUP($A149,ncr_merged[[#All],[column_name]],ncr_merged[[#All],[supporting_definition]]," ",0))</f>
        <v/>
      </c>
      <c r="F149" s="38" t="str">
        <f>_xlfn.CONCAT(_xlfn.XLOOKUP($A149,ncr_merged[[#All],[column_name]],ncr_merged[[#All],[required]]," ",0),"")</f>
        <v/>
      </c>
      <c r="G149" s="38" t="str">
        <f>_xlfn.CONCAT(_xlfn.XLOOKUP($A149,ncr_merged[[#All],[column_name]],ncr_merged[[#All],[comments]]," ",0),
_xlfn.XLOOKUP($A149,ncr_merged[[#All],[column_name]],ncr_merged[[#All],[validation_rule]]," ",0),
_xlfn.XLOOKUP($A149,ncr_merged[[#All],[column_name]],ncr_merged[[#All],[behaviour]]," ",0),
"from the NCR tab: ",_xlfn.XLOOKUP($A149,ncr_merged[[#All],[column_name]],ncr_merged[[#All],[source_tab]]),
" ")</f>
        <v xml:space="preserve">Reject file if rhdte_2 &gt;dod + 30
Reject file if rhdte_2 &lt;dod
Reject file if crh30_2 =1 and rhdte_2 is NULL
Reject file if crh30_2=NULL and rhdte_2 has datafrom the NCR tab: follow_up </v>
      </c>
      <c r="H149" s="38" t="str">
        <f>_xlfn.CONCAT(_xlfn.XLOOKUP($A149,ncr_merged[[#All],[column_name]],ncr_merged[[#All],[format]]," ",0))</f>
        <v>DD/MM/YYYY</v>
      </c>
      <c r="I149" s="38" t="str">
        <f>_xlfn.CONCAT(_xlfn.XLOOKUP($A149,ncr_merged[[#All],[column_name]],ncr_merged[[#All],[permitted_values]]," ",0))</f>
        <v>DD/MM/YYYY</v>
      </c>
      <c r="J149" s="44" t="str">
        <f>_xlfn.CONCAT(_xlfn.XLOOKUP($A149,ncr_merged[[#All],[column_name]],ncr_merged[[#All],[range_(min)]]," ",0))</f>
        <v/>
      </c>
      <c r="K149" s="44" t="str">
        <f>_xlfn.CONCAT(_xlfn.XLOOKUP($A149,ncr_merged[[#All],[column_name]],ncr_merged[[#All],[range_(max)]]," ",0))</f>
        <v/>
      </c>
      <c r="M149" s="38" t="str" cm="1">
        <f t="array" ref="M149">_xlfn.CONCAT(IFERROR(_xlfn.XLOOKUP(data_elements_bkp!A149,Table_query__5[[#All],[NCR Variable ID]],Table_query__5[[#All],[in_progress]]),""))</f>
        <v/>
      </c>
    </row>
    <row r="150" spans="1:13" x14ac:dyDescent="0.2">
      <c r="A150" s="38" t="str">
        <v>pc30_2</v>
      </c>
      <c r="B150" s="38" t="str" cm="1">
        <f t="array" ref="B150">_xlfn.XLOOKUP($A150,ncr_merged[[#All],[column_name]],ncr_merged[[#All],[label]]," ",0)</f>
        <v>Planned cardiac rehospitalisation</v>
      </c>
      <c r="E150" s="38" t="str">
        <f>_xlfn.CONCAT(_xlfn.XLOOKUP($A150,ncr_merged[[#All],[column_name]],ncr_merged[[#All],[question]]," ",0),_xlfn.XLOOKUP($A150,ncr_merged[[#All],[column_name]],ncr_merged[[#All],[supporting_definition]]," ",0))</f>
        <v/>
      </c>
      <c r="F150" s="38" t="str">
        <f>_xlfn.CONCAT(_xlfn.XLOOKUP($A150,ncr_merged[[#All],[column_name]],ncr_merged[[#All],[required]]," ",0),"")</f>
        <v/>
      </c>
      <c r="G150" s="38" t="str">
        <f>_xlfn.CONCAT(_xlfn.XLOOKUP($A150,ncr_merged[[#All],[column_name]],ncr_merged[[#All],[comments]]," ",0),
_xlfn.XLOOKUP($A150,ncr_merged[[#All],[column_name]],ncr_merged[[#All],[validation_rule]]," ",0),
_xlfn.XLOOKUP($A150,ncr_merged[[#All],[column_name]],ncr_merged[[#All],[behaviour]]," ",0),
"from the NCR tab: ",_xlfn.XLOOKUP($A150,ncr_merged[[#All],[column_name]],ncr_merged[[#All],[source_tab]]),
" ")</f>
        <v xml:space="preserve">Reject file if  crh30_2=1 AND pc30_2 is NULL
Reject file if crh30_2=NULL and pc30_2 has datafrom the NCR tab: follow_up </v>
      </c>
      <c r="H150" s="38" t="str">
        <f>_xlfn.CONCAT(_xlfn.XLOOKUP($A150,ncr_merged[[#All],[column_name]],ncr_merged[[#All],[format]]," ",0))</f>
        <v>N</v>
      </c>
      <c r="I150" s="38" t="str">
        <f>_xlfn.CONCAT(_xlfn.XLOOKUP($A150,ncr_merged[[#All],[column_name]],ncr_merged[[#All],[permitted_values]]," ",0))</f>
        <v xml:space="preserve">
0=No
1=Yes
-1=Unknown</v>
      </c>
      <c r="J150" s="44" t="str">
        <f>_xlfn.CONCAT(_xlfn.XLOOKUP($A150,ncr_merged[[#All],[column_name]],ncr_merged[[#All],[range_(min)]]," ",0))</f>
        <v>-1</v>
      </c>
      <c r="K150" s="44" t="str">
        <f>_xlfn.CONCAT(_xlfn.XLOOKUP($A150,ncr_merged[[#All],[column_name]],ncr_merged[[#All],[range_(max)]]," ",0))</f>
        <v>1</v>
      </c>
      <c r="M150" s="38" t="str" cm="1">
        <f t="array" ref="M150">_xlfn.CONCAT(IFERROR(_xlfn.XLOOKUP(data_elements_bkp!A150,Table_query__5[[#All],[NCR Variable ID]],Table_query__5[[#All],[in_progress]]),""))</f>
        <v/>
      </c>
    </row>
    <row r="151" spans="1:13" x14ac:dyDescent="0.2">
      <c r="A151" s="38" t="str">
        <v>pci30_2</v>
      </c>
      <c r="B151" s="38" t="str" cm="1">
        <f t="array" ref="B151">_xlfn.XLOOKUP($A151,ncr_merged[[#All],[column_name]],ncr_merged[[#All],[label]]," ",0)</f>
        <v>PCI rehospitalisation</v>
      </c>
      <c r="E151" s="38" t="str">
        <f>_xlfn.CONCAT(_xlfn.XLOOKUP($A151,ncr_merged[[#All],[column_name]],ncr_merged[[#All],[question]]," ",0),_xlfn.XLOOKUP($A151,ncr_merged[[#All],[column_name]],ncr_merged[[#All],[supporting_definition]]," ",0))</f>
        <v/>
      </c>
      <c r="F151" s="38" t="str">
        <f>_xlfn.CONCAT(_xlfn.XLOOKUP($A151,ncr_merged[[#All],[column_name]],ncr_merged[[#All],[required]]," ",0),"")</f>
        <v/>
      </c>
      <c r="G151" s="38" t="str">
        <f>_xlfn.CONCAT(_xlfn.XLOOKUP($A151,ncr_merged[[#All],[column_name]],ncr_merged[[#All],[comments]]," ",0),
_xlfn.XLOOKUP($A151,ncr_merged[[#All],[column_name]],ncr_merged[[#All],[validation_rule]]," ",0),
_xlfn.XLOOKUP($A151,ncr_merged[[#All],[column_name]],ncr_merged[[#All],[behaviour]]," ",0),
"from the NCR tab: ",_xlfn.XLOOKUP($A151,ncr_merged[[#All],[column_name]],ncr_merged[[#All],[source_tab]]),
" ")</f>
        <v xml:space="preserve">Reject file if  crh30_2=1 AND pci30_2 is NULL
Reject file if crh30_2=NULL and pci30_2 has datafrom the NCR tab: follow_up </v>
      </c>
      <c r="H151" s="38" t="str">
        <f>_xlfn.CONCAT(_xlfn.XLOOKUP($A151,ncr_merged[[#All],[column_name]],ncr_merged[[#All],[format]]," ",0))</f>
        <v>N</v>
      </c>
      <c r="I151" s="38" t="str">
        <f>_xlfn.CONCAT(_xlfn.XLOOKUP($A151,ncr_merged[[#All],[column_name]],ncr_merged[[#All],[permitted_values]]," ",0))</f>
        <v xml:space="preserve">
0=No
1=Yes
-1=Unknown</v>
      </c>
      <c r="J151" s="44" t="str">
        <f>_xlfn.CONCAT(_xlfn.XLOOKUP($A151,ncr_merged[[#All],[column_name]],ncr_merged[[#All],[range_(min)]]," ",0))</f>
        <v>-1</v>
      </c>
      <c r="K151" s="44" t="str">
        <f>_xlfn.CONCAT(_xlfn.XLOOKUP($A151,ncr_merged[[#All],[column_name]],ncr_merged[[#All],[range_(max)]]," ",0))</f>
        <v>1</v>
      </c>
      <c r="M151" s="38" t="str" cm="1">
        <f t="array" ref="M151">_xlfn.CONCAT(IFERROR(_xlfn.XLOOKUP(data_elements_bkp!A151,Table_query__5[[#All],[NCR Variable ID]],Table_query__5[[#All],[in_progress]]),""))</f>
        <v/>
      </c>
    </row>
    <row r="152" spans="1:13" x14ac:dyDescent="0.2">
      <c r="A152" s="38" t="str">
        <v>tvr30_2</v>
      </c>
      <c r="B152" s="38" t="str" cm="1">
        <f t="array" ref="B152">_xlfn.XLOOKUP($A152,ncr_merged[[#All],[column_name]],ncr_merged[[#All],[label]]," ",0)</f>
        <v>Target Vessel revascularisation (PCI)</v>
      </c>
      <c r="E152" s="38" t="str">
        <f>_xlfn.CONCAT(_xlfn.XLOOKUP($A152,ncr_merged[[#All],[column_name]],ncr_merged[[#All],[question]]," ",0),_xlfn.XLOOKUP($A152,ncr_merged[[#All],[column_name]],ncr_merged[[#All],[supporting_definition]]," ",0))</f>
        <v/>
      </c>
      <c r="F152" s="38" t="str">
        <f>_xlfn.CONCAT(_xlfn.XLOOKUP($A152,ncr_merged[[#All],[column_name]],ncr_merged[[#All],[required]]," ",0),"")</f>
        <v/>
      </c>
      <c r="G152" s="38" t="str">
        <f>_xlfn.CONCAT(_xlfn.XLOOKUP($A152,ncr_merged[[#All],[column_name]],ncr_merged[[#All],[comments]]," ",0),
_xlfn.XLOOKUP($A152,ncr_merged[[#All],[column_name]],ncr_merged[[#All],[validation_rule]]," ",0),
_xlfn.XLOOKUP($A152,ncr_merged[[#All],[column_name]],ncr_merged[[#All],[behaviour]]," ",0),
"from the NCR tab: ",_xlfn.XLOOKUP($A152,ncr_merged[[#All],[column_name]],ncr_merged[[#All],[source_tab]]),
" ")</f>
        <v xml:space="preserve">Reject file if pci30_2 =0 or -1 and tvr30_2 has data
Reject file if pci30_2=1 and tvr30_2 is NULLfrom the NCR tab: follow_up </v>
      </c>
      <c r="H152" s="38" t="str">
        <f>_xlfn.CONCAT(_xlfn.XLOOKUP($A152,ncr_merged[[#All],[column_name]],ncr_merged[[#All],[format]]," ",0))</f>
        <v>N</v>
      </c>
      <c r="I152" s="38" t="str">
        <f>_xlfn.CONCAT(_xlfn.XLOOKUP($A152,ncr_merged[[#All],[column_name]],ncr_merged[[#All],[permitted_values]]," ",0))</f>
        <v xml:space="preserve">
0=No
1=Yes
-1=Unknown</v>
      </c>
      <c r="J152" s="44" t="str">
        <f>_xlfn.CONCAT(_xlfn.XLOOKUP($A152,ncr_merged[[#All],[column_name]],ncr_merged[[#All],[range_(min)]]," ",0))</f>
        <v>-1</v>
      </c>
      <c r="K152" s="44" t="str">
        <f>_xlfn.CONCAT(_xlfn.XLOOKUP($A152,ncr_merged[[#All],[column_name]],ncr_merged[[#All],[range_(max)]]," ",0))</f>
        <v>1</v>
      </c>
      <c r="M152" s="38" t="str" cm="1">
        <f t="array" ref="M152">_xlfn.CONCAT(IFERROR(_xlfn.XLOOKUP(data_elements_bkp!A152,Table_query__5[[#All],[NCR Variable ID]],Table_query__5[[#All],[in_progress]]),""))</f>
        <v/>
      </c>
    </row>
    <row r="153" spans="1:13" x14ac:dyDescent="0.2">
      <c r="A153" s="38" t="str">
        <v>tlr30_2</v>
      </c>
      <c r="B153" s="38" t="str" cm="1">
        <f t="array" ref="B153">_xlfn.XLOOKUP($A153,ncr_merged[[#All],[column_name]],ncr_merged[[#All],[label]]," ",0)</f>
        <v>Target LESION revascularisation (TLR)</v>
      </c>
      <c r="E153" s="38" t="str">
        <f>_xlfn.CONCAT(_xlfn.XLOOKUP($A153,ncr_merged[[#All],[column_name]],ncr_merged[[#All],[question]]," ",0),_xlfn.XLOOKUP($A153,ncr_merged[[#All],[column_name]],ncr_merged[[#All],[supporting_definition]]," ",0))</f>
        <v/>
      </c>
      <c r="F153" s="38" t="str">
        <f>_xlfn.CONCAT(_xlfn.XLOOKUP($A153,ncr_merged[[#All],[column_name]],ncr_merged[[#All],[required]]," ",0),"")</f>
        <v/>
      </c>
      <c r="G153" s="38" t="str">
        <f>_xlfn.CONCAT(_xlfn.XLOOKUP($A153,ncr_merged[[#All],[column_name]],ncr_merged[[#All],[comments]]," ",0),
_xlfn.XLOOKUP($A153,ncr_merged[[#All],[column_name]],ncr_merged[[#All],[validation_rule]]," ",0),
_xlfn.XLOOKUP($A153,ncr_merged[[#All],[column_name]],ncr_merged[[#All],[behaviour]]," ",0),
"from the NCR tab: ",_xlfn.XLOOKUP($A153,ncr_merged[[#All],[column_name]],ncr_merged[[#All],[source_tab]]),
" ")</f>
        <v xml:space="preserve">Reject file if tvr30_2 =0 or -1 and tlr30_2 has data
Reject file if tvr30_2=1 and tlr30_2 is NULLfrom the NCR tab: follow_up </v>
      </c>
      <c r="H153" s="38" t="str">
        <f>_xlfn.CONCAT(_xlfn.XLOOKUP($A153,ncr_merged[[#All],[column_name]],ncr_merged[[#All],[format]]," ",0))</f>
        <v>N</v>
      </c>
      <c r="I153" s="38" t="str">
        <f>_xlfn.CONCAT(_xlfn.XLOOKUP($A153,ncr_merged[[#All],[column_name]],ncr_merged[[#All],[permitted_values]]," ",0))</f>
        <v xml:space="preserve">
0=No
1=Yes
-1=Unknown</v>
      </c>
      <c r="J153" s="44" t="str">
        <f>_xlfn.CONCAT(_xlfn.XLOOKUP($A153,ncr_merged[[#All],[column_name]],ncr_merged[[#All],[range_(min)]]," ",0))</f>
        <v>-1</v>
      </c>
      <c r="K153" s="44" t="str">
        <f>_xlfn.CONCAT(_xlfn.XLOOKUP($A153,ncr_merged[[#All],[column_name]],ncr_merged[[#All],[range_(max)]]," ",0))</f>
        <v>1</v>
      </c>
      <c r="M153" s="38" t="str" cm="1">
        <f t="array" ref="M153">_xlfn.CONCAT(IFERROR(_xlfn.XLOOKUP(data_elements_bkp!A153,Table_query__5[[#All],[NCR Variable ID]],Table_query__5[[#All],[in_progress]]),""))</f>
        <v/>
      </c>
    </row>
    <row r="154" spans="1:13" x14ac:dyDescent="0.2">
      <c r="A154" s="38" t="str">
        <v>cab30_2</v>
      </c>
      <c r="B154" s="38" t="str" cm="1">
        <f t="array" ref="B154">_xlfn.XLOOKUP($A154,ncr_merged[[#All],[column_name]],ncr_merged[[#All],[label]]," ",0)</f>
        <v>CABG Rehospitalisation</v>
      </c>
      <c r="E154" s="38" t="str">
        <f>_xlfn.CONCAT(_xlfn.XLOOKUP($A154,ncr_merged[[#All],[column_name]],ncr_merged[[#All],[question]]," ",0),_xlfn.XLOOKUP($A154,ncr_merged[[#All],[column_name]],ncr_merged[[#All],[supporting_definition]]," ",0))</f>
        <v/>
      </c>
      <c r="F154" s="38" t="str">
        <f>_xlfn.CONCAT(_xlfn.XLOOKUP($A154,ncr_merged[[#All],[column_name]],ncr_merged[[#All],[required]]," ",0),"")</f>
        <v/>
      </c>
      <c r="G154" s="38" t="str">
        <f>_xlfn.CONCAT(_xlfn.XLOOKUP($A154,ncr_merged[[#All],[column_name]],ncr_merged[[#All],[comments]]," ",0),
_xlfn.XLOOKUP($A154,ncr_merged[[#All],[column_name]],ncr_merged[[#All],[validation_rule]]," ",0),
_xlfn.XLOOKUP($A154,ncr_merged[[#All],[column_name]],ncr_merged[[#All],[behaviour]]," ",0),
"from the NCR tab: ",_xlfn.XLOOKUP($A154,ncr_merged[[#All],[column_name]],ncr_merged[[#All],[source_tab]]),
" ")</f>
        <v xml:space="preserve">Reject file if crh30_2=1 AND cab30_2 is NULL
Reject file if crh30_2=0, or -1, or NULL AND cab30_2 has datafrom the NCR tab: follow_up </v>
      </c>
      <c r="H154" s="38" t="str">
        <f>_xlfn.CONCAT(_xlfn.XLOOKUP($A154,ncr_merged[[#All],[column_name]],ncr_merged[[#All],[format]]," ",0))</f>
        <v>N</v>
      </c>
      <c r="I154" s="38" t="str">
        <f>_xlfn.CONCAT(_xlfn.XLOOKUP($A154,ncr_merged[[#All],[column_name]],ncr_merged[[#All],[permitted_values]]," ",0))</f>
        <v xml:space="preserve">
0=No
1=Yes
-1=Unknown</v>
      </c>
      <c r="J154" s="44" t="str">
        <f>_xlfn.CONCAT(_xlfn.XLOOKUP($A154,ncr_merged[[#All],[column_name]],ncr_merged[[#All],[range_(min)]]," ",0))</f>
        <v>-1</v>
      </c>
      <c r="K154" s="44" t="str">
        <f>_xlfn.CONCAT(_xlfn.XLOOKUP($A154,ncr_merged[[#All],[column_name]],ncr_merged[[#All],[range_(max)]]," ",0))</f>
        <v>1</v>
      </c>
      <c r="M154" s="38" t="str" cm="1">
        <f t="array" ref="M154">_xlfn.CONCAT(IFERROR(_xlfn.XLOOKUP(data_elements_bkp!A154,Table_query__5[[#All],[NCR Variable ID]],Table_query__5[[#All],[in_progress]]),""))</f>
        <v/>
      </c>
    </row>
    <row r="155" spans="1:13" x14ac:dyDescent="0.2">
      <c r="A155" s="38" t="str">
        <v>tvcab30_2</v>
      </c>
      <c r="B155" s="38" t="str" cm="1">
        <f t="array" ref="B155">_xlfn.XLOOKUP($A155,ncr_merged[[#All],[column_name]],ncr_merged[[#All],[label]]," ",0)</f>
        <v>Target Vessel CABG</v>
      </c>
      <c r="E155" s="38" t="str">
        <f>_xlfn.CONCAT(_xlfn.XLOOKUP($A155,ncr_merged[[#All],[column_name]],ncr_merged[[#All],[question]]," ",0),_xlfn.XLOOKUP($A155,ncr_merged[[#All],[column_name]],ncr_merged[[#All],[supporting_definition]]," ",0))</f>
        <v/>
      </c>
      <c r="F155" s="38" t="str">
        <f>_xlfn.CONCAT(_xlfn.XLOOKUP($A155,ncr_merged[[#All],[column_name]],ncr_merged[[#All],[required]]," ",0),"")</f>
        <v/>
      </c>
      <c r="G155" s="38" t="str">
        <f>_xlfn.CONCAT(_xlfn.XLOOKUP($A155,ncr_merged[[#All],[column_name]],ncr_merged[[#All],[comments]]," ",0),
_xlfn.XLOOKUP($A155,ncr_merged[[#All],[column_name]],ncr_merged[[#All],[validation_rule]]," ",0),
_xlfn.XLOOKUP($A155,ncr_merged[[#All],[column_name]],ncr_merged[[#All],[behaviour]]," ",0),
"from the NCR tab: ",_xlfn.XLOOKUP($A155,ncr_merged[[#All],[column_name]],ncr_merged[[#All],[source_tab]]),
" ")</f>
        <v xml:space="preserve">Reject file if cab30_2 =0, or -1, or NULL and tvcab30_2 has data
Reject file if cab30_2=1 and tvcab30_2 is NULLfrom the NCR tab: follow_up </v>
      </c>
      <c r="H155" s="38" t="str">
        <f>_xlfn.CONCAT(_xlfn.XLOOKUP($A155,ncr_merged[[#All],[column_name]],ncr_merged[[#All],[format]]," ",0))</f>
        <v>N</v>
      </c>
      <c r="I155" s="38" t="str">
        <f>_xlfn.CONCAT(_xlfn.XLOOKUP($A155,ncr_merged[[#All],[column_name]],ncr_merged[[#All],[permitted_values]]," ",0))</f>
        <v xml:space="preserve">
0=No
1=Yes
-1=Unknown</v>
      </c>
      <c r="J155" s="44" t="str">
        <f>_xlfn.CONCAT(_xlfn.XLOOKUP($A155,ncr_merged[[#All],[column_name]],ncr_merged[[#All],[range_(min)]]," ",0))</f>
        <v>-1</v>
      </c>
      <c r="K155" s="44" t="str">
        <f>_xlfn.CONCAT(_xlfn.XLOOKUP($A155,ncr_merged[[#All],[column_name]],ncr_merged[[#All],[range_(max)]]," ",0))</f>
        <v>1</v>
      </c>
      <c r="M155" s="38" t="str" cm="1">
        <f t="array" ref="M155">_xlfn.CONCAT(IFERROR(_xlfn.XLOOKUP(data_elements_bkp!A155,Table_query__5[[#All],[NCR Variable ID]],Table_query__5[[#All],[in_progress]]),""))</f>
        <v/>
      </c>
    </row>
    <row r="156" spans="1:13" x14ac:dyDescent="0.2">
      <c r="A156" s="38" t="str">
        <v>crh30_3</v>
      </c>
      <c r="B156" s="38" t="str" cm="1">
        <f t="array" ref="B156">_xlfn.XLOOKUP($A156,ncr_merged[[#All],[column_name]],ncr_merged[[#All],[label]]," ",0)</f>
        <v>Cardiac rehospitalisation</v>
      </c>
      <c r="E156" s="38" t="str">
        <f>_xlfn.CONCAT(_xlfn.XLOOKUP($A156,ncr_merged[[#All],[column_name]],ncr_merged[[#All],[question]]," ",0),_xlfn.XLOOKUP($A156,ncr_merged[[#All],[column_name]],ncr_merged[[#All],[supporting_definition]]," ",0))</f>
        <v/>
      </c>
      <c r="F156" s="38" t="str">
        <f>_xlfn.CONCAT(_xlfn.XLOOKUP($A156,ncr_merged[[#All],[column_name]],ncr_merged[[#All],[required]]," ",0),"")</f>
        <v/>
      </c>
      <c r="G156" s="38" t="str">
        <f>_xlfn.CONCAT(_xlfn.XLOOKUP($A156,ncr_merged[[#All],[column_name]],ncr_merged[[#All],[comments]]," ",0),
_xlfn.XLOOKUP($A156,ncr_merged[[#All],[column_name]],ncr_merged[[#All],[validation_rule]]," ",0),
_xlfn.XLOOKUP($A156,ncr_merged[[#All],[column_name]],ncr_merged[[#All],[behaviour]]," ",0),
"from the NCR tab: ",_xlfn.XLOOKUP($A156,ncr_merged[[#All],[column_name]],ncr_merged[[#All],[source_tab]]),
" ")</f>
        <v xml:space="preserve">from the NCR tab: follow_up </v>
      </c>
      <c r="H156" s="38" t="str">
        <f>_xlfn.CONCAT(_xlfn.XLOOKUP($A156,ncr_merged[[#All],[column_name]],ncr_merged[[#All],[format]]," ",0))</f>
        <v>N</v>
      </c>
      <c r="I156" s="38" t="str">
        <f>_xlfn.CONCAT(_xlfn.XLOOKUP($A156,ncr_merged[[#All],[column_name]],ncr_merged[[#All],[permitted_values]]," ",0))</f>
        <v xml:space="preserve">
1=Yes
NULL</v>
      </c>
      <c r="J156" s="44" t="str">
        <f>_xlfn.CONCAT(_xlfn.XLOOKUP($A156,ncr_merged[[#All],[column_name]],ncr_merged[[#All],[range_(min)]]," ",0))</f>
        <v>1</v>
      </c>
      <c r="K156" s="44" t="str">
        <f>_xlfn.CONCAT(_xlfn.XLOOKUP($A156,ncr_merged[[#All],[column_name]],ncr_merged[[#All],[range_(max)]]," ",0))</f>
        <v>1</v>
      </c>
      <c r="M156" s="38" t="str" cm="1">
        <f t="array" ref="M156">_xlfn.CONCAT(IFERROR(_xlfn.XLOOKUP(data_elements_bkp!A156,Table_query__5[[#All],[NCR Variable ID]],Table_query__5[[#All],[in_progress]]),""))</f>
        <v/>
      </c>
    </row>
    <row r="157" spans="1:13" x14ac:dyDescent="0.2">
      <c r="A157" s="38" t="str">
        <v>rhdte_3</v>
      </c>
      <c r="B157" s="38" t="str" cm="1">
        <f t="array" ref="B157">_xlfn.XLOOKUP($A157,ncr_merged[[#All],[column_name]],ncr_merged[[#All],[label]]," ",0)</f>
        <v>Cardiac rehospitalisation Date</v>
      </c>
      <c r="E157" s="38" t="str">
        <f>_xlfn.CONCAT(_xlfn.XLOOKUP($A157,ncr_merged[[#All],[column_name]],ncr_merged[[#All],[question]]," ",0),_xlfn.XLOOKUP($A157,ncr_merged[[#All],[column_name]],ncr_merged[[#All],[supporting_definition]]," ",0))</f>
        <v/>
      </c>
      <c r="F157" s="38" t="str">
        <f>_xlfn.CONCAT(_xlfn.XLOOKUP($A157,ncr_merged[[#All],[column_name]],ncr_merged[[#All],[required]]," ",0),"")</f>
        <v/>
      </c>
      <c r="G157" s="38" t="str">
        <f>_xlfn.CONCAT(_xlfn.XLOOKUP($A157,ncr_merged[[#All],[column_name]],ncr_merged[[#All],[comments]]," ",0),
_xlfn.XLOOKUP($A157,ncr_merged[[#All],[column_name]],ncr_merged[[#All],[validation_rule]]," ",0),
_xlfn.XLOOKUP($A157,ncr_merged[[#All],[column_name]],ncr_merged[[#All],[behaviour]]," ",0),
"from the NCR tab: ",_xlfn.XLOOKUP($A157,ncr_merged[[#All],[column_name]],ncr_merged[[#All],[source_tab]]),
" ")</f>
        <v xml:space="preserve">Reject file if rhdte_3 &gt;dod + 30
Reject file if rhdte_3 &lt;dod
Reject file if crh30_3 =1 and rhdte_3 is NULL
Reject file if crh30_3=NULL and rhdte_3 has datafrom the NCR tab: follow_up </v>
      </c>
      <c r="H157" s="38" t="str">
        <f>_xlfn.CONCAT(_xlfn.XLOOKUP($A157,ncr_merged[[#All],[column_name]],ncr_merged[[#All],[format]]," ",0))</f>
        <v>DD/MM/YYYY</v>
      </c>
      <c r="I157" s="38" t="str">
        <f>_xlfn.CONCAT(_xlfn.XLOOKUP($A157,ncr_merged[[#All],[column_name]],ncr_merged[[#All],[permitted_values]]," ",0))</f>
        <v>DD/MM/YYYY</v>
      </c>
      <c r="J157" s="44" t="str">
        <f>_xlfn.CONCAT(_xlfn.XLOOKUP($A157,ncr_merged[[#All],[column_name]],ncr_merged[[#All],[range_(min)]]," ",0))</f>
        <v/>
      </c>
      <c r="K157" s="44" t="str">
        <f>_xlfn.CONCAT(_xlfn.XLOOKUP($A157,ncr_merged[[#All],[column_name]],ncr_merged[[#All],[range_(max)]]," ",0))</f>
        <v/>
      </c>
      <c r="M157" s="38" t="str" cm="1">
        <f t="array" ref="M157">_xlfn.CONCAT(IFERROR(_xlfn.XLOOKUP(data_elements_bkp!A157,Table_query__5[[#All],[NCR Variable ID]],Table_query__5[[#All],[in_progress]]),""))</f>
        <v/>
      </c>
    </row>
    <row r="158" spans="1:13" x14ac:dyDescent="0.2">
      <c r="A158" s="38" t="str">
        <v>pc30_3</v>
      </c>
      <c r="B158" s="38" t="str" cm="1">
        <f t="array" ref="B158">_xlfn.XLOOKUP($A158,ncr_merged[[#All],[column_name]],ncr_merged[[#All],[label]]," ",0)</f>
        <v>Planned cardiac rehospitalisation</v>
      </c>
      <c r="E158" s="38" t="str">
        <f>_xlfn.CONCAT(_xlfn.XLOOKUP($A158,ncr_merged[[#All],[column_name]],ncr_merged[[#All],[question]]," ",0),_xlfn.XLOOKUP($A158,ncr_merged[[#All],[column_name]],ncr_merged[[#All],[supporting_definition]]," ",0))</f>
        <v/>
      </c>
      <c r="F158" s="38" t="str">
        <f>_xlfn.CONCAT(_xlfn.XLOOKUP($A158,ncr_merged[[#All],[column_name]],ncr_merged[[#All],[required]]," ",0),"")</f>
        <v/>
      </c>
      <c r="G158" s="38" t="str">
        <f>_xlfn.CONCAT(_xlfn.XLOOKUP($A158,ncr_merged[[#All],[column_name]],ncr_merged[[#All],[comments]]," ",0),
_xlfn.XLOOKUP($A158,ncr_merged[[#All],[column_name]],ncr_merged[[#All],[validation_rule]]," ",0),
_xlfn.XLOOKUP($A158,ncr_merged[[#All],[column_name]],ncr_merged[[#All],[behaviour]]," ",0),
"from the NCR tab: ",_xlfn.XLOOKUP($A158,ncr_merged[[#All],[column_name]],ncr_merged[[#All],[source_tab]]),
" ")</f>
        <v xml:space="preserve">Reject file if  crh30_3=1 AND pc30_3 is NULL
Reject file if crh30_3=NULL and pc30_3 has datafrom the NCR tab: follow_up </v>
      </c>
      <c r="H158" s="38" t="str">
        <f>_xlfn.CONCAT(_xlfn.XLOOKUP($A158,ncr_merged[[#All],[column_name]],ncr_merged[[#All],[format]]," ",0))</f>
        <v>N</v>
      </c>
      <c r="I158" s="38" t="str">
        <f>_xlfn.CONCAT(_xlfn.XLOOKUP($A158,ncr_merged[[#All],[column_name]],ncr_merged[[#All],[permitted_values]]," ",0))</f>
        <v xml:space="preserve">
0=No
1=Yes
-1=Unknown</v>
      </c>
      <c r="J158" s="44" t="str">
        <f>_xlfn.CONCAT(_xlfn.XLOOKUP($A158,ncr_merged[[#All],[column_name]],ncr_merged[[#All],[range_(min)]]," ",0))</f>
        <v>-1</v>
      </c>
      <c r="K158" s="44" t="str">
        <f>_xlfn.CONCAT(_xlfn.XLOOKUP($A158,ncr_merged[[#All],[column_name]],ncr_merged[[#All],[range_(max)]]," ",0))</f>
        <v>1</v>
      </c>
      <c r="M158" s="38" t="str" cm="1">
        <f t="array" ref="M158">_xlfn.CONCAT(IFERROR(_xlfn.XLOOKUP(data_elements_bkp!A158,Table_query__5[[#All],[NCR Variable ID]],Table_query__5[[#All],[in_progress]]),""))</f>
        <v/>
      </c>
    </row>
    <row r="159" spans="1:13" x14ac:dyDescent="0.2">
      <c r="A159" s="38" t="str">
        <v>pci30_3</v>
      </c>
      <c r="B159" s="38" t="str" cm="1">
        <f t="array" ref="B159">_xlfn.XLOOKUP($A159,ncr_merged[[#All],[column_name]],ncr_merged[[#All],[label]]," ",0)</f>
        <v>PCI rehospitalisation</v>
      </c>
      <c r="E159" s="38" t="str">
        <f>_xlfn.CONCAT(_xlfn.XLOOKUP($A159,ncr_merged[[#All],[column_name]],ncr_merged[[#All],[question]]," ",0),_xlfn.XLOOKUP($A159,ncr_merged[[#All],[column_name]],ncr_merged[[#All],[supporting_definition]]," ",0))</f>
        <v/>
      </c>
      <c r="F159" s="38" t="str">
        <f>_xlfn.CONCAT(_xlfn.XLOOKUP($A159,ncr_merged[[#All],[column_name]],ncr_merged[[#All],[required]]," ",0),"")</f>
        <v/>
      </c>
      <c r="G159" s="38" t="str">
        <f>_xlfn.CONCAT(_xlfn.XLOOKUP($A159,ncr_merged[[#All],[column_name]],ncr_merged[[#All],[comments]]," ",0),
_xlfn.XLOOKUP($A159,ncr_merged[[#All],[column_name]],ncr_merged[[#All],[validation_rule]]," ",0),
_xlfn.XLOOKUP($A159,ncr_merged[[#All],[column_name]],ncr_merged[[#All],[behaviour]]," ",0),
"from the NCR tab: ",_xlfn.XLOOKUP($A159,ncr_merged[[#All],[column_name]],ncr_merged[[#All],[source_tab]]),
" ")</f>
        <v xml:space="preserve">Reject file if  crh30_3=1 AND pci30_3 is NULL
Reject file if crh30_3=NULL and pci30_3 has datafrom the NCR tab: follow_up </v>
      </c>
      <c r="H159" s="38" t="str">
        <f>_xlfn.CONCAT(_xlfn.XLOOKUP($A159,ncr_merged[[#All],[column_name]],ncr_merged[[#All],[format]]," ",0))</f>
        <v>N</v>
      </c>
      <c r="I159" s="38" t="str">
        <f>_xlfn.CONCAT(_xlfn.XLOOKUP($A159,ncr_merged[[#All],[column_name]],ncr_merged[[#All],[permitted_values]]," ",0))</f>
        <v xml:space="preserve">
0=No
1=Yes
-1=Unknown</v>
      </c>
      <c r="J159" s="44" t="str">
        <f>_xlfn.CONCAT(_xlfn.XLOOKUP($A159,ncr_merged[[#All],[column_name]],ncr_merged[[#All],[range_(min)]]," ",0))</f>
        <v>-1</v>
      </c>
      <c r="K159" s="44" t="str">
        <f>_xlfn.CONCAT(_xlfn.XLOOKUP($A159,ncr_merged[[#All],[column_name]],ncr_merged[[#All],[range_(max)]]," ",0))</f>
        <v>1</v>
      </c>
      <c r="M159" s="38" t="str" cm="1">
        <f t="array" ref="M159">_xlfn.CONCAT(IFERROR(_xlfn.XLOOKUP(data_elements_bkp!A159,Table_query__5[[#All],[NCR Variable ID]],Table_query__5[[#All],[in_progress]]),""))</f>
        <v/>
      </c>
    </row>
    <row r="160" spans="1:13" x14ac:dyDescent="0.2">
      <c r="A160" s="38" t="str">
        <v>tvr30_3</v>
      </c>
      <c r="B160" s="38" t="str" cm="1">
        <f t="array" ref="B160">_xlfn.XLOOKUP($A160,ncr_merged[[#All],[column_name]],ncr_merged[[#All],[label]]," ",0)</f>
        <v>Target Vessel revascularisation (PCI)</v>
      </c>
      <c r="E160" s="38" t="str">
        <f>_xlfn.CONCAT(_xlfn.XLOOKUP($A160,ncr_merged[[#All],[column_name]],ncr_merged[[#All],[question]]," ",0),_xlfn.XLOOKUP($A160,ncr_merged[[#All],[column_name]],ncr_merged[[#All],[supporting_definition]]," ",0))</f>
        <v/>
      </c>
      <c r="F160" s="38" t="str">
        <f>_xlfn.CONCAT(_xlfn.XLOOKUP($A160,ncr_merged[[#All],[column_name]],ncr_merged[[#All],[required]]," ",0),"")</f>
        <v/>
      </c>
      <c r="G160" s="38" t="str">
        <f>_xlfn.CONCAT(_xlfn.XLOOKUP($A160,ncr_merged[[#All],[column_name]],ncr_merged[[#All],[comments]]," ",0),
_xlfn.XLOOKUP($A160,ncr_merged[[#All],[column_name]],ncr_merged[[#All],[validation_rule]]," ",0),
_xlfn.XLOOKUP($A160,ncr_merged[[#All],[column_name]],ncr_merged[[#All],[behaviour]]," ",0),
"from the NCR tab: ",_xlfn.XLOOKUP($A160,ncr_merged[[#All],[column_name]],ncr_merged[[#All],[source_tab]]),
" ")</f>
        <v xml:space="preserve">Reject file if pci30_3 =0 or -1 and tvr30_3 has data
Reject file if pci30_3=1 and tvr30_3 is NULLfrom the NCR tab: follow_up </v>
      </c>
      <c r="H160" s="38" t="str">
        <f>_xlfn.CONCAT(_xlfn.XLOOKUP($A160,ncr_merged[[#All],[column_name]],ncr_merged[[#All],[format]]," ",0))</f>
        <v>N</v>
      </c>
      <c r="I160" s="38" t="str">
        <f>_xlfn.CONCAT(_xlfn.XLOOKUP($A160,ncr_merged[[#All],[column_name]],ncr_merged[[#All],[permitted_values]]," ",0))</f>
        <v xml:space="preserve">
0=No
1=Yes
-1=Unknown</v>
      </c>
      <c r="J160" s="44" t="str">
        <f>_xlfn.CONCAT(_xlfn.XLOOKUP($A160,ncr_merged[[#All],[column_name]],ncr_merged[[#All],[range_(min)]]," ",0))</f>
        <v>-1</v>
      </c>
      <c r="K160" s="44" t="str">
        <f>_xlfn.CONCAT(_xlfn.XLOOKUP($A160,ncr_merged[[#All],[column_name]],ncr_merged[[#All],[range_(max)]]," ",0))</f>
        <v>1</v>
      </c>
      <c r="M160" s="38" t="str" cm="1">
        <f t="array" ref="M160">_xlfn.CONCAT(IFERROR(_xlfn.XLOOKUP(data_elements_bkp!A160,Table_query__5[[#All],[NCR Variable ID]],Table_query__5[[#All],[in_progress]]),""))</f>
        <v/>
      </c>
    </row>
    <row r="161" spans="1:13" x14ac:dyDescent="0.2">
      <c r="A161" s="38" t="str">
        <v>tlr30_3</v>
      </c>
      <c r="B161" s="38" t="str" cm="1">
        <f t="array" ref="B161">_xlfn.XLOOKUP($A161,ncr_merged[[#All],[column_name]],ncr_merged[[#All],[label]]," ",0)</f>
        <v>Target LESION revascularisation (TLR)</v>
      </c>
      <c r="E161" s="38" t="str">
        <f>_xlfn.CONCAT(_xlfn.XLOOKUP($A161,ncr_merged[[#All],[column_name]],ncr_merged[[#All],[question]]," ",0),_xlfn.XLOOKUP($A161,ncr_merged[[#All],[column_name]],ncr_merged[[#All],[supporting_definition]]," ",0))</f>
        <v/>
      </c>
      <c r="F161" s="38" t="str">
        <f>_xlfn.CONCAT(_xlfn.XLOOKUP($A161,ncr_merged[[#All],[column_name]],ncr_merged[[#All],[required]]," ",0),"")</f>
        <v/>
      </c>
      <c r="G161" s="38" t="str">
        <f>_xlfn.CONCAT(_xlfn.XLOOKUP($A161,ncr_merged[[#All],[column_name]],ncr_merged[[#All],[comments]]," ",0),
_xlfn.XLOOKUP($A161,ncr_merged[[#All],[column_name]],ncr_merged[[#All],[validation_rule]]," ",0),
_xlfn.XLOOKUP($A161,ncr_merged[[#All],[column_name]],ncr_merged[[#All],[behaviour]]," ",0),
"from the NCR tab: ",_xlfn.XLOOKUP($A161,ncr_merged[[#All],[column_name]],ncr_merged[[#All],[source_tab]]),
" ")</f>
        <v xml:space="preserve">Reject file if tvr30_3 =0 or -1 and tlr30_3 has data
Reject file if tvr30_3=1 and tlr30_3 is NULLfrom the NCR tab: follow_up </v>
      </c>
      <c r="H161" s="38" t="str">
        <f>_xlfn.CONCAT(_xlfn.XLOOKUP($A161,ncr_merged[[#All],[column_name]],ncr_merged[[#All],[format]]," ",0))</f>
        <v>N</v>
      </c>
      <c r="I161" s="38" t="str">
        <f>_xlfn.CONCAT(_xlfn.XLOOKUP($A161,ncr_merged[[#All],[column_name]],ncr_merged[[#All],[permitted_values]]," ",0))</f>
        <v xml:space="preserve">
0=No
1=Yes
-1=Unknown</v>
      </c>
      <c r="J161" s="44" t="str">
        <f>_xlfn.CONCAT(_xlfn.XLOOKUP($A161,ncr_merged[[#All],[column_name]],ncr_merged[[#All],[range_(min)]]," ",0))</f>
        <v>-1</v>
      </c>
      <c r="K161" s="44" t="str">
        <f>_xlfn.CONCAT(_xlfn.XLOOKUP($A161,ncr_merged[[#All],[column_name]],ncr_merged[[#All],[range_(max)]]," ",0))</f>
        <v>1</v>
      </c>
      <c r="M161" s="38" t="str" cm="1">
        <f t="array" ref="M161">_xlfn.CONCAT(IFERROR(_xlfn.XLOOKUP(data_elements_bkp!A161,Table_query__5[[#All],[NCR Variable ID]],Table_query__5[[#All],[in_progress]]),""))</f>
        <v/>
      </c>
    </row>
    <row r="162" spans="1:13" x14ac:dyDescent="0.2">
      <c r="A162" s="38" t="str">
        <v>cab30_3</v>
      </c>
      <c r="B162" s="38" t="str" cm="1">
        <f t="array" ref="B162">_xlfn.XLOOKUP($A162,ncr_merged[[#All],[column_name]],ncr_merged[[#All],[label]]," ",0)</f>
        <v>CABG Rehospitalisation</v>
      </c>
      <c r="E162" s="38" t="str">
        <f>_xlfn.CONCAT(_xlfn.XLOOKUP($A162,ncr_merged[[#All],[column_name]],ncr_merged[[#All],[question]]," ",0),_xlfn.XLOOKUP($A162,ncr_merged[[#All],[column_name]],ncr_merged[[#All],[supporting_definition]]," ",0))</f>
        <v/>
      </c>
      <c r="F162" s="38" t="str">
        <f>_xlfn.CONCAT(_xlfn.XLOOKUP($A162,ncr_merged[[#All],[column_name]],ncr_merged[[#All],[required]]," ",0),"")</f>
        <v/>
      </c>
      <c r="G162" s="38" t="str">
        <f>_xlfn.CONCAT(_xlfn.XLOOKUP($A162,ncr_merged[[#All],[column_name]],ncr_merged[[#All],[comments]]," ",0),
_xlfn.XLOOKUP($A162,ncr_merged[[#All],[column_name]],ncr_merged[[#All],[validation_rule]]," ",0),
_xlfn.XLOOKUP($A162,ncr_merged[[#All],[column_name]],ncr_merged[[#All],[behaviour]]," ",0),
"from the NCR tab: ",_xlfn.XLOOKUP($A162,ncr_merged[[#All],[column_name]],ncr_merged[[#All],[source_tab]]),
" ")</f>
        <v xml:space="preserve">Reject file if crh30_3=1 AND cab30_3 is NULL
Reject file if crh30_3=0, or -1, or NULL AND cab30_3 has datafrom the NCR tab: follow_up </v>
      </c>
      <c r="H162" s="38" t="str">
        <f>_xlfn.CONCAT(_xlfn.XLOOKUP($A162,ncr_merged[[#All],[column_name]],ncr_merged[[#All],[format]]," ",0))</f>
        <v>N</v>
      </c>
      <c r="I162" s="38" t="str">
        <f>_xlfn.CONCAT(_xlfn.XLOOKUP($A162,ncr_merged[[#All],[column_name]],ncr_merged[[#All],[permitted_values]]," ",0))</f>
        <v xml:space="preserve">
0=No
1=Yes
-1=Unknown</v>
      </c>
      <c r="J162" s="44" t="str">
        <f>_xlfn.CONCAT(_xlfn.XLOOKUP($A162,ncr_merged[[#All],[column_name]],ncr_merged[[#All],[range_(min)]]," ",0))</f>
        <v>-1</v>
      </c>
      <c r="K162" s="44" t="str">
        <f>_xlfn.CONCAT(_xlfn.XLOOKUP($A162,ncr_merged[[#All],[column_name]],ncr_merged[[#All],[range_(max)]]," ",0))</f>
        <v>1</v>
      </c>
      <c r="M162" s="38" t="str" cm="1">
        <f t="array" ref="M162">_xlfn.CONCAT(IFERROR(_xlfn.XLOOKUP(data_elements_bkp!A162,Table_query__5[[#All],[NCR Variable ID]],Table_query__5[[#All],[in_progress]]),""))</f>
        <v/>
      </c>
    </row>
    <row r="163" spans="1:13" x14ac:dyDescent="0.2">
      <c r="A163" s="38" t="str">
        <v>tvcab30_3</v>
      </c>
      <c r="B163" s="38" t="str" cm="1">
        <f t="array" ref="B163">_xlfn.XLOOKUP($A163,ncr_merged[[#All],[column_name]],ncr_merged[[#All],[label]]," ",0)</f>
        <v>Target Vessel CABG</v>
      </c>
      <c r="E163" s="38" t="str">
        <f>_xlfn.CONCAT(_xlfn.XLOOKUP($A163,ncr_merged[[#All],[column_name]],ncr_merged[[#All],[question]]," ",0),_xlfn.XLOOKUP($A163,ncr_merged[[#All],[column_name]],ncr_merged[[#All],[supporting_definition]]," ",0))</f>
        <v/>
      </c>
      <c r="F163" s="38" t="str">
        <f>_xlfn.CONCAT(_xlfn.XLOOKUP($A163,ncr_merged[[#All],[column_name]],ncr_merged[[#All],[required]]," ",0),"")</f>
        <v/>
      </c>
      <c r="G163" s="38" t="str">
        <f>_xlfn.CONCAT(_xlfn.XLOOKUP($A163,ncr_merged[[#All],[column_name]],ncr_merged[[#All],[comments]]," ",0),
_xlfn.XLOOKUP($A163,ncr_merged[[#All],[column_name]],ncr_merged[[#All],[validation_rule]]," ",0),
_xlfn.XLOOKUP($A163,ncr_merged[[#All],[column_name]],ncr_merged[[#All],[behaviour]]," ",0),
"from the NCR tab: ",_xlfn.XLOOKUP($A163,ncr_merged[[#All],[column_name]],ncr_merged[[#All],[source_tab]]),
" ")</f>
        <v xml:space="preserve">Reject file if cab30_3 =0, or -1, or NULL and tvcab30_3 has data
Reject file if cab30_3=1 and tvcab30_3 is NULLfrom the NCR tab: follow_up </v>
      </c>
      <c r="H163" s="38" t="str">
        <f>_xlfn.CONCAT(_xlfn.XLOOKUP($A163,ncr_merged[[#All],[column_name]],ncr_merged[[#All],[format]]," ",0))</f>
        <v>N</v>
      </c>
      <c r="I163" s="38" t="str">
        <f>_xlfn.CONCAT(_xlfn.XLOOKUP($A163,ncr_merged[[#All],[column_name]],ncr_merged[[#All],[permitted_values]]," ",0))</f>
        <v xml:space="preserve">
0=No
1=Yes
-1=Unknown</v>
      </c>
      <c r="J163" s="44" t="str">
        <f>_xlfn.CONCAT(_xlfn.XLOOKUP($A163,ncr_merged[[#All],[column_name]],ncr_merged[[#All],[range_(min)]]," ",0))</f>
        <v>-1</v>
      </c>
      <c r="K163" s="44" t="str">
        <f>_xlfn.CONCAT(_xlfn.XLOOKUP($A163,ncr_merged[[#All],[column_name]],ncr_merged[[#All],[range_(max)]]," ",0))</f>
        <v>1</v>
      </c>
      <c r="M163" s="38" t="str" cm="1">
        <f t="array" ref="M163">_xlfn.CONCAT(IFERROR(_xlfn.XLOOKUP(data_elements_bkp!A163,Table_query__5[[#All],[NCR Variable ID]],Table_query__5[[#All],[in_progress]]),""))</f>
        <v/>
      </c>
    </row>
    <row r="164" spans="1:13" x14ac:dyDescent="0.2">
      <c r="A164" s="38" t="str">
        <v>crh30_4</v>
      </c>
      <c r="B164" s="38" t="str" cm="1">
        <f t="array" ref="B164">_xlfn.XLOOKUP($A164,ncr_merged[[#All],[column_name]],ncr_merged[[#All],[label]]," ",0)</f>
        <v>Cardiac rehospitalisation</v>
      </c>
      <c r="E164" s="38" t="str">
        <f>_xlfn.CONCAT(_xlfn.XLOOKUP($A164,ncr_merged[[#All],[column_name]],ncr_merged[[#All],[question]]," ",0),_xlfn.XLOOKUP($A164,ncr_merged[[#All],[column_name]],ncr_merged[[#All],[supporting_definition]]," ",0))</f>
        <v/>
      </c>
      <c r="F164" s="38" t="str">
        <f>_xlfn.CONCAT(_xlfn.XLOOKUP($A164,ncr_merged[[#All],[column_name]],ncr_merged[[#All],[required]]," ",0),"")</f>
        <v/>
      </c>
      <c r="G164" s="38" t="str">
        <f>_xlfn.CONCAT(_xlfn.XLOOKUP($A164,ncr_merged[[#All],[column_name]],ncr_merged[[#All],[comments]]," ",0),
_xlfn.XLOOKUP($A164,ncr_merged[[#All],[column_name]],ncr_merged[[#All],[validation_rule]]," ",0),
_xlfn.XLOOKUP($A164,ncr_merged[[#All],[column_name]],ncr_merged[[#All],[behaviour]]," ",0),
"from the NCR tab: ",_xlfn.XLOOKUP($A164,ncr_merged[[#All],[column_name]],ncr_merged[[#All],[source_tab]]),
" ")</f>
        <v xml:space="preserve">from the NCR tab: follow_up </v>
      </c>
      <c r="H164" s="38" t="str">
        <f>_xlfn.CONCAT(_xlfn.XLOOKUP($A164,ncr_merged[[#All],[column_name]],ncr_merged[[#All],[format]]," ",0))</f>
        <v>N</v>
      </c>
      <c r="I164" s="38" t="str">
        <f>_xlfn.CONCAT(_xlfn.XLOOKUP($A164,ncr_merged[[#All],[column_name]],ncr_merged[[#All],[permitted_values]]," ",0))</f>
        <v xml:space="preserve">
1=Yes
NULL</v>
      </c>
      <c r="J164" s="44" t="str">
        <f>_xlfn.CONCAT(_xlfn.XLOOKUP($A164,ncr_merged[[#All],[column_name]],ncr_merged[[#All],[range_(min)]]," ",0))</f>
        <v>1</v>
      </c>
      <c r="K164" s="44" t="str">
        <f>_xlfn.CONCAT(_xlfn.XLOOKUP($A164,ncr_merged[[#All],[column_name]],ncr_merged[[#All],[range_(max)]]," ",0))</f>
        <v>1</v>
      </c>
      <c r="M164" s="38" t="str" cm="1">
        <f t="array" ref="M164">_xlfn.CONCAT(IFERROR(_xlfn.XLOOKUP(data_elements_bkp!A164,Table_query__5[[#All],[NCR Variable ID]],Table_query__5[[#All],[in_progress]]),""))</f>
        <v/>
      </c>
    </row>
    <row r="165" spans="1:13" x14ac:dyDescent="0.2">
      <c r="A165" s="38" t="str">
        <v>rhdte_4</v>
      </c>
      <c r="B165" s="38" t="str" cm="1">
        <f t="array" ref="B165">_xlfn.XLOOKUP($A165,ncr_merged[[#All],[column_name]],ncr_merged[[#All],[label]]," ",0)</f>
        <v>Cardiac rehospitalisation Date</v>
      </c>
      <c r="E165" s="38" t="str">
        <f>_xlfn.CONCAT(_xlfn.XLOOKUP($A165,ncr_merged[[#All],[column_name]],ncr_merged[[#All],[question]]," ",0),_xlfn.XLOOKUP($A165,ncr_merged[[#All],[column_name]],ncr_merged[[#All],[supporting_definition]]," ",0))</f>
        <v/>
      </c>
      <c r="F165" s="38" t="str">
        <f>_xlfn.CONCAT(_xlfn.XLOOKUP($A165,ncr_merged[[#All],[column_name]],ncr_merged[[#All],[required]]," ",0),"")</f>
        <v/>
      </c>
      <c r="G165" s="38" t="str">
        <f>_xlfn.CONCAT(_xlfn.XLOOKUP($A165,ncr_merged[[#All],[column_name]],ncr_merged[[#All],[comments]]," ",0),
_xlfn.XLOOKUP($A165,ncr_merged[[#All],[column_name]],ncr_merged[[#All],[validation_rule]]," ",0),
_xlfn.XLOOKUP($A165,ncr_merged[[#All],[column_name]],ncr_merged[[#All],[behaviour]]," ",0),
"from the NCR tab: ",_xlfn.XLOOKUP($A165,ncr_merged[[#All],[column_name]],ncr_merged[[#All],[source_tab]]),
" ")</f>
        <v xml:space="preserve">Reject file if rhdte_4 &gt;dod + 30
Reject file if rhdte_4 &lt;dod
Reject file if crh30_4 =1 and rhdte_4 is NULL
Reject file if crh30_4=NULL and rhdte_4 has datafrom the NCR tab: follow_up </v>
      </c>
      <c r="H165" s="38" t="str">
        <f>_xlfn.CONCAT(_xlfn.XLOOKUP($A165,ncr_merged[[#All],[column_name]],ncr_merged[[#All],[format]]," ",0))</f>
        <v>DD/MM/YYYY</v>
      </c>
      <c r="I165" s="38" t="str">
        <f>_xlfn.CONCAT(_xlfn.XLOOKUP($A165,ncr_merged[[#All],[column_name]],ncr_merged[[#All],[permitted_values]]," ",0))</f>
        <v>DD/MM/YYYY</v>
      </c>
      <c r="J165" s="44" t="str">
        <f>_xlfn.CONCAT(_xlfn.XLOOKUP($A165,ncr_merged[[#All],[column_name]],ncr_merged[[#All],[range_(min)]]," ",0))</f>
        <v/>
      </c>
      <c r="K165" s="44" t="str">
        <f>_xlfn.CONCAT(_xlfn.XLOOKUP($A165,ncr_merged[[#All],[column_name]],ncr_merged[[#All],[range_(max)]]," ",0))</f>
        <v/>
      </c>
      <c r="M165" s="38" t="str" cm="1">
        <f t="array" ref="M165">_xlfn.CONCAT(IFERROR(_xlfn.XLOOKUP(data_elements_bkp!A165,Table_query__5[[#All],[NCR Variable ID]],Table_query__5[[#All],[in_progress]]),""))</f>
        <v/>
      </c>
    </row>
    <row r="166" spans="1:13" x14ac:dyDescent="0.2">
      <c r="A166" s="38" t="str">
        <v>pc30_4</v>
      </c>
      <c r="B166" s="38" t="str" cm="1">
        <f t="array" ref="B166">_xlfn.XLOOKUP($A166,ncr_merged[[#All],[column_name]],ncr_merged[[#All],[label]]," ",0)</f>
        <v>Planned cardiac rehospitalisation</v>
      </c>
      <c r="E166" s="38" t="str">
        <f>_xlfn.CONCAT(_xlfn.XLOOKUP($A166,ncr_merged[[#All],[column_name]],ncr_merged[[#All],[question]]," ",0),_xlfn.XLOOKUP($A166,ncr_merged[[#All],[column_name]],ncr_merged[[#All],[supporting_definition]]," ",0))</f>
        <v/>
      </c>
      <c r="F166" s="38" t="str">
        <f>_xlfn.CONCAT(_xlfn.XLOOKUP($A166,ncr_merged[[#All],[column_name]],ncr_merged[[#All],[required]]," ",0),"")</f>
        <v/>
      </c>
      <c r="G166" s="38" t="str">
        <f>_xlfn.CONCAT(_xlfn.XLOOKUP($A166,ncr_merged[[#All],[column_name]],ncr_merged[[#All],[comments]]," ",0),
_xlfn.XLOOKUP($A166,ncr_merged[[#All],[column_name]],ncr_merged[[#All],[validation_rule]]," ",0),
_xlfn.XLOOKUP($A166,ncr_merged[[#All],[column_name]],ncr_merged[[#All],[behaviour]]," ",0),
"from the NCR tab: ",_xlfn.XLOOKUP($A166,ncr_merged[[#All],[column_name]],ncr_merged[[#All],[source_tab]]),
" ")</f>
        <v xml:space="preserve">Reject file if  crh30_4=1 AND pc30_4 is NULL
Reject file if crh30_4=NULL and pc30_4 has datafrom the NCR tab: follow_up </v>
      </c>
      <c r="H166" s="38" t="str">
        <f>_xlfn.CONCAT(_xlfn.XLOOKUP($A166,ncr_merged[[#All],[column_name]],ncr_merged[[#All],[format]]," ",0))</f>
        <v>N</v>
      </c>
      <c r="I166" s="38" t="str">
        <f>_xlfn.CONCAT(_xlfn.XLOOKUP($A166,ncr_merged[[#All],[column_name]],ncr_merged[[#All],[permitted_values]]," ",0))</f>
        <v xml:space="preserve">
0=No
1=Yes
-1=Unknown</v>
      </c>
      <c r="J166" s="44" t="str">
        <f>_xlfn.CONCAT(_xlfn.XLOOKUP($A166,ncr_merged[[#All],[column_name]],ncr_merged[[#All],[range_(min)]]," ",0))</f>
        <v>-1</v>
      </c>
      <c r="K166" s="44" t="str">
        <f>_xlfn.CONCAT(_xlfn.XLOOKUP($A166,ncr_merged[[#All],[column_name]],ncr_merged[[#All],[range_(max)]]," ",0))</f>
        <v>1</v>
      </c>
      <c r="M166" s="38" t="str" cm="1">
        <f t="array" ref="M166">_xlfn.CONCAT(IFERROR(_xlfn.XLOOKUP(data_elements_bkp!A166,Table_query__5[[#All],[NCR Variable ID]],Table_query__5[[#All],[in_progress]]),""))</f>
        <v/>
      </c>
    </row>
    <row r="167" spans="1:13" x14ac:dyDescent="0.2">
      <c r="A167" s="38" t="str">
        <v>pci30_4</v>
      </c>
      <c r="B167" s="38" t="str" cm="1">
        <f t="array" ref="B167">_xlfn.XLOOKUP($A167,ncr_merged[[#All],[column_name]],ncr_merged[[#All],[label]]," ",0)</f>
        <v>PCI rehospitalisation</v>
      </c>
      <c r="E167" s="38" t="str">
        <f>_xlfn.CONCAT(_xlfn.XLOOKUP($A167,ncr_merged[[#All],[column_name]],ncr_merged[[#All],[question]]," ",0),_xlfn.XLOOKUP($A167,ncr_merged[[#All],[column_name]],ncr_merged[[#All],[supporting_definition]]," ",0))</f>
        <v/>
      </c>
      <c r="F167" s="38" t="str">
        <f>_xlfn.CONCAT(_xlfn.XLOOKUP($A167,ncr_merged[[#All],[column_name]],ncr_merged[[#All],[required]]," ",0),"")</f>
        <v/>
      </c>
      <c r="G167" s="38" t="str">
        <f>_xlfn.CONCAT(_xlfn.XLOOKUP($A167,ncr_merged[[#All],[column_name]],ncr_merged[[#All],[comments]]," ",0),
_xlfn.XLOOKUP($A167,ncr_merged[[#All],[column_name]],ncr_merged[[#All],[validation_rule]]," ",0),
_xlfn.XLOOKUP($A167,ncr_merged[[#All],[column_name]],ncr_merged[[#All],[behaviour]]," ",0),
"from the NCR tab: ",_xlfn.XLOOKUP($A167,ncr_merged[[#All],[column_name]],ncr_merged[[#All],[source_tab]]),
" ")</f>
        <v xml:space="preserve">Reject file if  crh30_4=1 AND pci30_4 is NULL
Reject file if crh30_4=NULL and pci30_4 has datafrom the NCR tab: follow_up </v>
      </c>
      <c r="H167" s="38" t="str">
        <f>_xlfn.CONCAT(_xlfn.XLOOKUP($A167,ncr_merged[[#All],[column_name]],ncr_merged[[#All],[format]]," ",0))</f>
        <v>N</v>
      </c>
      <c r="I167" s="38" t="str">
        <f>_xlfn.CONCAT(_xlfn.XLOOKUP($A167,ncr_merged[[#All],[column_name]],ncr_merged[[#All],[permitted_values]]," ",0))</f>
        <v xml:space="preserve">
0=No
1=Yes
-1=Unknown</v>
      </c>
      <c r="J167" s="44" t="str">
        <f>_xlfn.CONCAT(_xlfn.XLOOKUP($A167,ncr_merged[[#All],[column_name]],ncr_merged[[#All],[range_(min)]]," ",0))</f>
        <v>-1</v>
      </c>
      <c r="K167" s="44" t="str">
        <f>_xlfn.CONCAT(_xlfn.XLOOKUP($A167,ncr_merged[[#All],[column_name]],ncr_merged[[#All],[range_(max)]]," ",0))</f>
        <v>1</v>
      </c>
      <c r="M167" s="38" t="str" cm="1">
        <f t="array" ref="M167">_xlfn.CONCAT(IFERROR(_xlfn.XLOOKUP(data_elements_bkp!A167,Table_query__5[[#All],[NCR Variable ID]],Table_query__5[[#All],[in_progress]]),""))</f>
        <v/>
      </c>
    </row>
    <row r="168" spans="1:13" x14ac:dyDescent="0.2">
      <c r="A168" s="38" t="str">
        <v>tvr30_4</v>
      </c>
      <c r="B168" s="38" t="str" cm="1">
        <f t="array" ref="B168">_xlfn.XLOOKUP($A168,ncr_merged[[#All],[column_name]],ncr_merged[[#All],[label]]," ",0)</f>
        <v>Target Vessel revascularisation (PCI)</v>
      </c>
      <c r="E168" s="38" t="str">
        <f>_xlfn.CONCAT(_xlfn.XLOOKUP($A168,ncr_merged[[#All],[column_name]],ncr_merged[[#All],[question]]," ",0),_xlfn.XLOOKUP($A168,ncr_merged[[#All],[column_name]],ncr_merged[[#All],[supporting_definition]]," ",0))</f>
        <v/>
      </c>
      <c r="F168" s="38" t="str">
        <f>_xlfn.CONCAT(_xlfn.XLOOKUP($A168,ncr_merged[[#All],[column_name]],ncr_merged[[#All],[required]]," ",0),"")</f>
        <v/>
      </c>
      <c r="G168" s="38" t="str">
        <f>_xlfn.CONCAT(_xlfn.XLOOKUP($A168,ncr_merged[[#All],[column_name]],ncr_merged[[#All],[comments]]," ",0),
_xlfn.XLOOKUP($A168,ncr_merged[[#All],[column_name]],ncr_merged[[#All],[validation_rule]]," ",0),
_xlfn.XLOOKUP($A168,ncr_merged[[#All],[column_name]],ncr_merged[[#All],[behaviour]]," ",0),
"from the NCR tab: ",_xlfn.XLOOKUP($A168,ncr_merged[[#All],[column_name]],ncr_merged[[#All],[source_tab]]),
" ")</f>
        <v xml:space="preserve">Reject file if pci30_4 =0 or -1 and tvr30_4 has data
Reject file if pci30_4=1 and tvr30_4 is NULLfrom the NCR tab: follow_up </v>
      </c>
      <c r="H168" s="38" t="str">
        <f>_xlfn.CONCAT(_xlfn.XLOOKUP($A168,ncr_merged[[#All],[column_name]],ncr_merged[[#All],[format]]," ",0))</f>
        <v>N</v>
      </c>
      <c r="I168" s="38" t="str">
        <f>_xlfn.CONCAT(_xlfn.XLOOKUP($A168,ncr_merged[[#All],[column_name]],ncr_merged[[#All],[permitted_values]]," ",0))</f>
        <v xml:space="preserve">
0=No
1=Yes
-1=Unknown</v>
      </c>
      <c r="J168" s="44" t="str">
        <f>_xlfn.CONCAT(_xlfn.XLOOKUP($A168,ncr_merged[[#All],[column_name]],ncr_merged[[#All],[range_(min)]]," ",0))</f>
        <v>-1</v>
      </c>
      <c r="K168" s="44" t="str">
        <f>_xlfn.CONCAT(_xlfn.XLOOKUP($A168,ncr_merged[[#All],[column_name]],ncr_merged[[#All],[range_(max)]]," ",0))</f>
        <v>1</v>
      </c>
      <c r="M168" s="38" t="str" cm="1">
        <f t="array" ref="M168">_xlfn.CONCAT(IFERROR(_xlfn.XLOOKUP(data_elements_bkp!A168,Table_query__5[[#All],[NCR Variable ID]],Table_query__5[[#All],[in_progress]]),""))</f>
        <v/>
      </c>
    </row>
    <row r="169" spans="1:13" x14ac:dyDescent="0.2">
      <c r="A169" s="38" t="str">
        <v>tlr30_4</v>
      </c>
      <c r="B169" s="38" t="str" cm="1">
        <f t="array" ref="B169">_xlfn.XLOOKUP($A169,ncr_merged[[#All],[column_name]],ncr_merged[[#All],[label]]," ",0)</f>
        <v>Target LESION revascularisation (TLR)</v>
      </c>
      <c r="E169" s="38" t="str">
        <f>_xlfn.CONCAT(_xlfn.XLOOKUP($A169,ncr_merged[[#All],[column_name]],ncr_merged[[#All],[question]]," ",0),_xlfn.XLOOKUP($A169,ncr_merged[[#All],[column_name]],ncr_merged[[#All],[supporting_definition]]," ",0))</f>
        <v/>
      </c>
      <c r="F169" s="38" t="str">
        <f>_xlfn.CONCAT(_xlfn.XLOOKUP($A169,ncr_merged[[#All],[column_name]],ncr_merged[[#All],[required]]," ",0),"")</f>
        <v/>
      </c>
      <c r="G169" s="38" t="str">
        <f>_xlfn.CONCAT(_xlfn.XLOOKUP($A169,ncr_merged[[#All],[column_name]],ncr_merged[[#All],[comments]]," ",0),
_xlfn.XLOOKUP($A169,ncr_merged[[#All],[column_name]],ncr_merged[[#All],[validation_rule]]," ",0),
_xlfn.XLOOKUP($A169,ncr_merged[[#All],[column_name]],ncr_merged[[#All],[behaviour]]," ",0),
"from the NCR tab: ",_xlfn.XLOOKUP($A169,ncr_merged[[#All],[column_name]],ncr_merged[[#All],[source_tab]]),
" ")</f>
        <v xml:space="preserve">Reject file if tvr30_4 =0 or -1 and tlr30_4 has data
Reject file if tvr30_4=1 and tlr30_4 is NULLfrom the NCR tab: follow_up </v>
      </c>
      <c r="H169" s="38" t="str">
        <f>_xlfn.CONCAT(_xlfn.XLOOKUP($A169,ncr_merged[[#All],[column_name]],ncr_merged[[#All],[format]]," ",0))</f>
        <v>N</v>
      </c>
      <c r="I169" s="38" t="str">
        <f>_xlfn.CONCAT(_xlfn.XLOOKUP($A169,ncr_merged[[#All],[column_name]],ncr_merged[[#All],[permitted_values]]," ",0))</f>
        <v xml:space="preserve">
0=No
1=Yes
-1=Unknown</v>
      </c>
      <c r="J169" s="44" t="str">
        <f>_xlfn.CONCAT(_xlfn.XLOOKUP($A169,ncr_merged[[#All],[column_name]],ncr_merged[[#All],[range_(min)]]," ",0))</f>
        <v>-1</v>
      </c>
      <c r="K169" s="44" t="str">
        <f>_xlfn.CONCAT(_xlfn.XLOOKUP($A169,ncr_merged[[#All],[column_name]],ncr_merged[[#All],[range_(max)]]," ",0))</f>
        <v>1</v>
      </c>
      <c r="M169" s="38" t="str" cm="1">
        <f t="array" ref="M169">_xlfn.CONCAT(IFERROR(_xlfn.XLOOKUP(data_elements_bkp!A169,Table_query__5[[#All],[NCR Variable ID]],Table_query__5[[#All],[in_progress]]),""))</f>
        <v/>
      </c>
    </row>
    <row r="170" spans="1:13" x14ac:dyDescent="0.2">
      <c r="A170" s="38" t="str">
        <v>cab30_4</v>
      </c>
      <c r="B170" s="38" t="str" cm="1">
        <f t="array" ref="B170">_xlfn.XLOOKUP($A170,ncr_merged[[#All],[column_name]],ncr_merged[[#All],[label]]," ",0)</f>
        <v>CABG Rehospitalisation</v>
      </c>
      <c r="E170" s="38" t="str">
        <f>_xlfn.CONCAT(_xlfn.XLOOKUP($A170,ncr_merged[[#All],[column_name]],ncr_merged[[#All],[question]]," ",0),_xlfn.XLOOKUP($A170,ncr_merged[[#All],[column_name]],ncr_merged[[#All],[supporting_definition]]," ",0))</f>
        <v/>
      </c>
      <c r="F170" s="38" t="str">
        <f>_xlfn.CONCAT(_xlfn.XLOOKUP($A170,ncr_merged[[#All],[column_name]],ncr_merged[[#All],[required]]," ",0),"")</f>
        <v/>
      </c>
      <c r="G170" s="38" t="str">
        <f>_xlfn.CONCAT(_xlfn.XLOOKUP($A170,ncr_merged[[#All],[column_name]],ncr_merged[[#All],[comments]]," ",0),
_xlfn.XLOOKUP($A170,ncr_merged[[#All],[column_name]],ncr_merged[[#All],[validation_rule]]," ",0),
_xlfn.XLOOKUP($A170,ncr_merged[[#All],[column_name]],ncr_merged[[#All],[behaviour]]," ",0),
"from the NCR tab: ",_xlfn.XLOOKUP($A170,ncr_merged[[#All],[column_name]],ncr_merged[[#All],[source_tab]]),
" ")</f>
        <v xml:space="preserve">Reject file if crh30_4=1 AND cab30_4 is NULL
Reject file if crh30_4=0, or -1, or NULL AND cab30_4 has datafrom the NCR tab: follow_up </v>
      </c>
      <c r="H170" s="38" t="str">
        <f>_xlfn.CONCAT(_xlfn.XLOOKUP($A170,ncr_merged[[#All],[column_name]],ncr_merged[[#All],[format]]," ",0))</f>
        <v>N</v>
      </c>
      <c r="I170" s="38" t="str">
        <f>_xlfn.CONCAT(_xlfn.XLOOKUP($A170,ncr_merged[[#All],[column_name]],ncr_merged[[#All],[permitted_values]]," ",0))</f>
        <v xml:space="preserve">
0=No
1=Yes
-1=Unknown</v>
      </c>
      <c r="J170" s="44" t="str">
        <f>_xlfn.CONCAT(_xlfn.XLOOKUP($A170,ncr_merged[[#All],[column_name]],ncr_merged[[#All],[range_(min)]]," ",0))</f>
        <v>-1</v>
      </c>
      <c r="K170" s="44" t="str">
        <f>_xlfn.CONCAT(_xlfn.XLOOKUP($A170,ncr_merged[[#All],[column_name]],ncr_merged[[#All],[range_(max)]]," ",0))</f>
        <v>1</v>
      </c>
      <c r="M170" s="38" t="str" cm="1">
        <f t="array" ref="M170">_xlfn.CONCAT(IFERROR(_xlfn.XLOOKUP(data_elements_bkp!A170,Table_query__5[[#All],[NCR Variable ID]],Table_query__5[[#All],[in_progress]]),""))</f>
        <v/>
      </c>
    </row>
    <row r="171" spans="1:13" x14ac:dyDescent="0.2">
      <c r="A171" s="38" t="str">
        <v>tvcab30_4</v>
      </c>
      <c r="B171" s="38" t="str" cm="1">
        <f t="array" ref="B171">_xlfn.XLOOKUP($A171,ncr_merged[[#All],[column_name]],ncr_merged[[#All],[label]]," ",0)</f>
        <v>Target Vessel CABG</v>
      </c>
      <c r="E171" s="38" t="str">
        <f>_xlfn.CONCAT(_xlfn.XLOOKUP($A171,ncr_merged[[#All],[column_name]],ncr_merged[[#All],[question]]," ",0),_xlfn.XLOOKUP($A171,ncr_merged[[#All],[column_name]],ncr_merged[[#All],[supporting_definition]]," ",0))</f>
        <v/>
      </c>
      <c r="F171" s="38" t="str">
        <f>_xlfn.CONCAT(_xlfn.XLOOKUP($A171,ncr_merged[[#All],[column_name]],ncr_merged[[#All],[required]]," ",0),"")</f>
        <v/>
      </c>
      <c r="G171" s="38" t="str">
        <f>_xlfn.CONCAT(_xlfn.XLOOKUP($A171,ncr_merged[[#All],[column_name]],ncr_merged[[#All],[comments]]," ",0),
_xlfn.XLOOKUP($A171,ncr_merged[[#All],[column_name]],ncr_merged[[#All],[validation_rule]]," ",0),
_xlfn.XLOOKUP($A171,ncr_merged[[#All],[column_name]],ncr_merged[[#All],[behaviour]]," ",0),
"from the NCR tab: ",_xlfn.XLOOKUP($A171,ncr_merged[[#All],[column_name]],ncr_merged[[#All],[source_tab]]),
" ")</f>
        <v xml:space="preserve">Reject file if cab30_4 =0, or -1, or NULL and tvcab30_4 has data
Reject file if cab30_4=1 and tvcab30_4 is NULLfrom the NCR tab: follow_up </v>
      </c>
      <c r="H171" s="38" t="str">
        <f>_xlfn.CONCAT(_xlfn.XLOOKUP($A171,ncr_merged[[#All],[column_name]],ncr_merged[[#All],[format]]," ",0))</f>
        <v>N</v>
      </c>
      <c r="I171" s="38" t="str">
        <f>_xlfn.CONCAT(_xlfn.XLOOKUP($A171,ncr_merged[[#All],[column_name]],ncr_merged[[#All],[permitted_values]]," ",0))</f>
        <v xml:space="preserve">
0=No
1=Yes
-1=Unknown</v>
      </c>
      <c r="J171" s="44" t="str">
        <f>_xlfn.CONCAT(_xlfn.XLOOKUP($A171,ncr_merged[[#All],[column_name]],ncr_merged[[#All],[range_(min)]]," ",0))</f>
        <v>-1</v>
      </c>
      <c r="K171" s="44" t="str">
        <f>_xlfn.CONCAT(_xlfn.XLOOKUP($A171,ncr_merged[[#All],[column_name]],ncr_merged[[#All],[range_(max)]]," ",0))</f>
        <v>1</v>
      </c>
      <c r="M171" s="38" t="str" cm="1">
        <f t="array" ref="M171">_xlfn.CONCAT(IFERROR(_xlfn.XLOOKUP(data_elements_bkp!A171,Table_query__5[[#All],[NCR Variable ID]],Table_query__5[[#All],[in_progress]]),""))</f>
        <v/>
      </c>
    </row>
    <row r="172" spans="1:13" x14ac:dyDescent="0.2">
      <c r="A172" s="38" t="str">
        <v>crh30_5</v>
      </c>
      <c r="B172" s="38" t="str" cm="1">
        <f t="array" ref="B172">_xlfn.XLOOKUP($A172,ncr_merged[[#All],[column_name]],ncr_merged[[#All],[label]]," ",0)</f>
        <v>Cardiac rehospitalisation</v>
      </c>
      <c r="E172" s="38" t="str">
        <f>_xlfn.CONCAT(_xlfn.XLOOKUP($A172,ncr_merged[[#All],[column_name]],ncr_merged[[#All],[question]]," ",0),_xlfn.XLOOKUP($A172,ncr_merged[[#All],[column_name]],ncr_merged[[#All],[supporting_definition]]," ",0))</f>
        <v/>
      </c>
      <c r="F172" s="38" t="str">
        <f>_xlfn.CONCAT(_xlfn.XLOOKUP($A172,ncr_merged[[#All],[column_name]],ncr_merged[[#All],[required]]," ",0),"")</f>
        <v/>
      </c>
      <c r="G172" s="38" t="str">
        <f>_xlfn.CONCAT(_xlfn.XLOOKUP($A172,ncr_merged[[#All],[column_name]],ncr_merged[[#All],[comments]]," ",0),
_xlfn.XLOOKUP($A172,ncr_merged[[#All],[column_name]],ncr_merged[[#All],[validation_rule]]," ",0),
_xlfn.XLOOKUP($A172,ncr_merged[[#All],[column_name]],ncr_merged[[#All],[behaviour]]," ",0),
"from the NCR tab: ",_xlfn.XLOOKUP($A172,ncr_merged[[#All],[column_name]],ncr_merged[[#All],[source_tab]]),
" ")</f>
        <v xml:space="preserve">from the NCR tab: follow_up </v>
      </c>
      <c r="H172" s="38" t="str">
        <f>_xlfn.CONCAT(_xlfn.XLOOKUP($A172,ncr_merged[[#All],[column_name]],ncr_merged[[#All],[format]]," ",0))</f>
        <v>N</v>
      </c>
      <c r="I172" s="38" t="str">
        <f>_xlfn.CONCAT(_xlfn.XLOOKUP($A172,ncr_merged[[#All],[column_name]],ncr_merged[[#All],[permitted_values]]," ",0))</f>
        <v xml:space="preserve">
1=Yes
NULL</v>
      </c>
      <c r="J172" s="44" t="str">
        <f>_xlfn.CONCAT(_xlfn.XLOOKUP($A172,ncr_merged[[#All],[column_name]],ncr_merged[[#All],[range_(min)]]," ",0))</f>
        <v>1</v>
      </c>
      <c r="K172" s="44" t="str">
        <f>_xlfn.CONCAT(_xlfn.XLOOKUP($A172,ncr_merged[[#All],[column_name]],ncr_merged[[#All],[range_(max)]]," ",0))</f>
        <v>1</v>
      </c>
      <c r="M172" s="38" t="str" cm="1">
        <f t="array" ref="M172">_xlfn.CONCAT(IFERROR(_xlfn.XLOOKUP(data_elements_bkp!A172,Table_query__5[[#All],[NCR Variable ID]],Table_query__5[[#All],[in_progress]]),""))</f>
        <v/>
      </c>
    </row>
    <row r="173" spans="1:13" x14ac:dyDescent="0.2">
      <c r="A173" s="38" t="str">
        <v>rhdte_5</v>
      </c>
      <c r="B173" s="38" t="str" cm="1">
        <f t="array" ref="B173">_xlfn.XLOOKUP($A173,ncr_merged[[#All],[column_name]],ncr_merged[[#All],[label]]," ",0)</f>
        <v>Cardiac rehospitalisation Date</v>
      </c>
      <c r="E173" s="38" t="str">
        <f>_xlfn.CONCAT(_xlfn.XLOOKUP($A173,ncr_merged[[#All],[column_name]],ncr_merged[[#All],[question]]," ",0),_xlfn.XLOOKUP($A173,ncr_merged[[#All],[column_name]],ncr_merged[[#All],[supporting_definition]]," ",0))</f>
        <v/>
      </c>
      <c r="F173" s="38" t="str">
        <f>_xlfn.CONCAT(_xlfn.XLOOKUP($A173,ncr_merged[[#All],[column_name]],ncr_merged[[#All],[required]]," ",0),"")</f>
        <v/>
      </c>
      <c r="G173" s="38" t="str">
        <f>_xlfn.CONCAT(_xlfn.XLOOKUP($A173,ncr_merged[[#All],[column_name]],ncr_merged[[#All],[comments]]," ",0),
_xlfn.XLOOKUP($A173,ncr_merged[[#All],[column_name]],ncr_merged[[#All],[validation_rule]]," ",0),
_xlfn.XLOOKUP($A173,ncr_merged[[#All],[column_name]],ncr_merged[[#All],[behaviour]]," ",0),
"from the NCR tab: ",_xlfn.XLOOKUP($A173,ncr_merged[[#All],[column_name]],ncr_merged[[#All],[source_tab]]),
" ")</f>
        <v xml:space="preserve">Reject file if rhdte_5 &gt;dod + 30
Reject file if rhdte_5 &lt;dod
Reject file if crh30_5 =1 and rhdte_5 is NULL
Reject file if crh30_5=NULL and rhdte_5 has datafrom the NCR tab: follow_up </v>
      </c>
      <c r="H173" s="38" t="str">
        <f>_xlfn.CONCAT(_xlfn.XLOOKUP($A173,ncr_merged[[#All],[column_name]],ncr_merged[[#All],[format]]," ",0))</f>
        <v>DD/MM/YYYY</v>
      </c>
      <c r="I173" s="38" t="str">
        <f>_xlfn.CONCAT(_xlfn.XLOOKUP($A173,ncr_merged[[#All],[column_name]],ncr_merged[[#All],[permitted_values]]," ",0))</f>
        <v>DD/MM/YYYY</v>
      </c>
      <c r="J173" s="44" t="str">
        <f>_xlfn.CONCAT(_xlfn.XLOOKUP($A173,ncr_merged[[#All],[column_name]],ncr_merged[[#All],[range_(min)]]," ",0))</f>
        <v/>
      </c>
      <c r="K173" s="44" t="str">
        <f>_xlfn.CONCAT(_xlfn.XLOOKUP($A173,ncr_merged[[#All],[column_name]],ncr_merged[[#All],[range_(max)]]," ",0))</f>
        <v/>
      </c>
      <c r="M173" s="38" t="str" cm="1">
        <f t="array" ref="M173">_xlfn.CONCAT(IFERROR(_xlfn.XLOOKUP(data_elements_bkp!A173,Table_query__5[[#All],[NCR Variable ID]],Table_query__5[[#All],[in_progress]]),""))</f>
        <v/>
      </c>
    </row>
    <row r="174" spans="1:13" x14ac:dyDescent="0.2">
      <c r="A174" s="38" t="str">
        <v>pc30_5</v>
      </c>
      <c r="B174" s="38" t="str" cm="1">
        <f t="array" ref="B174">_xlfn.XLOOKUP($A174,ncr_merged[[#All],[column_name]],ncr_merged[[#All],[label]]," ",0)</f>
        <v>Planned cardiac rehospitalisation</v>
      </c>
      <c r="E174" s="38" t="str">
        <f>_xlfn.CONCAT(_xlfn.XLOOKUP($A174,ncr_merged[[#All],[column_name]],ncr_merged[[#All],[question]]," ",0),_xlfn.XLOOKUP($A174,ncr_merged[[#All],[column_name]],ncr_merged[[#All],[supporting_definition]]," ",0))</f>
        <v/>
      </c>
      <c r="F174" s="38" t="str">
        <f>_xlfn.CONCAT(_xlfn.XLOOKUP($A174,ncr_merged[[#All],[column_name]],ncr_merged[[#All],[required]]," ",0),"")</f>
        <v/>
      </c>
      <c r="G174" s="38" t="str">
        <f>_xlfn.CONCAT(_xlfn.XLOOKUP($A174,ncr_merged[[#All],[column_name]],ncr_merged[[#All],[comments]]," ",0),
_xlfn.XLOOKUP($A174,ncr_merged[[#All],[column_name]],ncr_merged[[#All],[validation_rule]]," ",0),
_xlfn.XLOOKUP($A174,ncr_merged[[#All],[column_name]],ncr_merged[[#All],[behaviour]]," ",0),
"from the NCR tab: ",_xlfn.XLOOKUP($A174,ncr_merged[[#All],[column_name]],ncr_merged[[#All],[source_tab]]),
" ")</f>
        <v xml:space="preserve">Reject file if  crh30_5=1 AND pc30_5 is NULL
Reject file if crh30_5=NULL and pc30_5 has datafrom the NCR tab: follow_up </v>
      </c>
      <c r="H174" s="38" t="str">
        <f>_xlfn.CONCAT(_xlfn.XLOOKUP($A174,ncr_merged[[#All],[column_name]],ncr_merged[[#All],[format]]," ",0))</f>
        <v>N</v>
      </c>
      <c r="I174" s="38" t="str">
        <f>_xlfn.CONCAT(_xlfn.XLOOKUP($A174,ncr_merged[[#All],[column_name]],ncr_merged[[#All],[permitted_values]]," ",0))</f>
        <v xml:space="preserve">
0=No
1=Yes
-1=Unknown</v>
      </c>
      <c r="J174" s="44" t="str">
        <f>_xlfn.CONCAT(_xlfn.XLOOKUP($A174,ncr_merged[[#All],[column_name]],ncr_merged[[#All],[range_(min)]]," ",0))</f>
        <v>-1</v>
      </c>
      <c r="K174" s="44" t="str">
        <f>_xlfn.CONCAT(_xlfn.XLOOKUP($A174,ncr_merged[[#All],[column_name]],ncr_merged[[#All],[range_(max)]]," ",0))</f>
        <v>1</v>
      </c>
      <c r="M174" s="38" t="str" cm="1">
        <f t="array" ref="M174">_xlfn.CONCAT(IFERROR(_xlfn.XLOOKUP(data_elements_bkp!A174,Table_query__5[[#All],[NCR Variable ID]],Table_query__5[[#All],[in_progress]]),""))</f>
        <v/>
      </c>
    </row>
    <row r="175" spans="1:13" x14ac:dyDescent="0.2">
      <c r="A175" s="38" t="str">
        <v>pci30_5</v>
      </c>
      <c r="B175" s="38" t="str" cm="1">
        <f t="array" ref="B175">_xlfn.XLOOKUP($A175,ncr_merged[[#All],[column_name]],ncr_merged[[#All],[label]]," ",0)</f>
        <v>PCI rehospitalisation</v>
      </c>
      <c r="E175" s="38" t="str">
        <f>_xlfn.CONCAT(_xlfn.XLOOKUP($A175,ncr_merged[[#All],[column_name]],ncr_merged[[#All],[question]]," ",0),_xlfn.XLOOKUP($A175,ncr_merged[[#All],[column_name]],ncr_merged[[#All],[supporting_definition]]," ",0))</f>
        <v/>
      </c>
      <c r="F175" s="38" t="str">
        <f>_xlfn.CONCAT(_xlfn.XLOOKUP($A175,ncr_merged[[#All],[column_name]],ncr_merged[[#All],[required]]," ",0),"")</f>
        <v/>
      </c>
      <c r="G175" s="38" t="str">
        <f>_xlfn.CONCAT(_xlfn.XLOOKUP($A175,ncr_merged[[#All],[column_name]],ncr_merged[[#All],[comments]]," ",0),
_xlfn.XLOOKUP($A175,ncr_merged[[#All],[column_name]],ncr_merged[[#All],[validation_rule]]," ",0),
_xlfn.XLOOKUP($A175,ncr_merged[[#All],[column_name]],ncr_merged[[#All],[behaviour]]," ",0),
"from the NCR tab: ",_xlfn.XLOOKUP($A175,ncr_merged[[#All],[column_name]],ncr_merged[[#All],[source_tab]]),
" ")</f>
        <v xml:space="preserve">Reject file if  crh30_5=1 AND pci30_5 is NULL
Reject file if crh30_5=NULL and pci30_5 has datafrom the NCR tab: follow_up </v>
      </c>
      <c r="H175" s="38" t="str">
        <f>_xlfn.CONCAT(_xlfn.XLOOKUP($A175,ncr_merged[[#All],[column_name]],ncr_merged[[#All],[format]]," ",0))</f>
        <v>N</v>
      </c>
      <c r="I175" s="38" t="str">
        <f>_xlfn.CONCAT(_xlfn.XLOOKUP($A175,ncr_merged[[#All],[column_name]],ncr_merged[[#All],[permitted_values]]," ",0))</f>
        <v xml:space="preserve">
0=No
1=Yes
-1=Unknown</v>
      </c>
      <c r="J175" s="44" t="str">
        <f>_xlfn.CONCAT(_xlfn.XLOOKUP($A175,ncr_merged[[#All],[column_name]],ncr_merged[[#All],[range_(min)]]," ",0))</f>
        <v>-1</v>
      </c>
      <c r="K175" s="44" t="str">
        <f>_xlfn.CONCAT(_xlfn.XLOOKUP($A175,ncr_merged[[#All],[column_name]],ncr_merged[[#All],[range_(max)]]," ",0))</f>
        <v>1</v>
      </c>
      <c r="M175" s="38" t="str" cm="1">
        <f t="array" ref="M175">_xlfn.CONCAT(IFERROR(_xlfn.XLOOKUP(data_elements_bkp!A175,Table_query__5[[#All],[NCR Variable ID]],Table_query__5[[#All],[in_progress]]),""))</f>
        <v/>
      </c>
    </row>
    <row r="176" spans="1:13" x14ac:dyDescent="0.2">
      <c r="A176" s="38" t="str">
        <v>tvr30_5</v>
      </c>
      <c r="B176" s="38" t="str" cm="1">
        <f t="array" ref="B176">_xlfn.XLOOKUP($A176,ncr_merged[[#All],[column_name]],ncr_merged[[#All],[label]]," ",0)</f>
        <v>Target Vessel revascularisation (PCI)</v>
      </c>
      <c r="E176" s="38" t="str">
        <f>_xlfn.CONCAT(_xlfn.XLOOKUP($A176,ncr_merged[[#All],[column_name]],ncr_merged[[#All],[question]]," ",0),_xlfn.XLOOKUP($A176,ncr_merged[[#All],[column_name]],ncr_merged[[#All],[supporting_definition]]," ",0))</f>
        <v/>
      </c>
      <c r="F176" s="38" t="str">
        <f>_xlfn.CONCAT(_xlfn.XLOOKUP($A176,ncr_merged[[#All],[column_name]],ncr_merged[[#All],[required]]," ",0),"")</f>
        <v/>
      </c>
      <c r="G176" s="38" t="str">
        <f>_xlfn.CONCAT(_xlfn.XLOOKUP($A176,ncr_merged[[#All],[column_name]],ncr_merged[[#All],[comments]]," ",0),
_xlfn.XLOOKUP($A176,ncr_merged[[#All],[column_name]],ncr_merged[[#All],[validation_rule]]," ",0),
_xlfn.XLOOKUP($A176,ncr_merged[[#All],[column_name]],ncr_merged[[#All],[behaviour]]," ",0),
"from the NCR tab: ",_xlfn.XLOOKUP($A176,ncr_merged[[#All],[column_name]],ncr_merged[[#All],[source_tab]]),
" ")</f>
        <v xml:space="preserve">Reject file if pci30_5 =0 or -1 and tvr30_5 has data
Reject file if pci30_5=1 and tvr30_5 is NULLfrom the NCR tab: follow_up </v>
      </c>
      <c r="H176" s="38" t="str">
        <f>_xlfn.CONCAT(_xlfn.XLOOKUP($A176,ncr_merged[[#All],[column_name]],ncr_merged[[#All],[format]]," ",0))</f>
        <v>N</v>
      </c>
      <c r="I176" s="38" t="str">
        <f>_xlfn.CONCAT(_xlfn.XLOOKUP($A176,ncr_merged[[#All],[column_name]],ncr_merged[[#All],[permitted_values]]," ",0))</f>
        <v xml:space="preserve">
0=No
1=Yes
-1=Unknown</v>
      </c>
      <c r="J176" s="44" t="str">
        <f>_xlfn.CONCAT(_xlfn.XLOOKUP($A176,ncr_merged[[#All],[column_name]],ncr_merged[[#All],[range_(min)]]," ",0))</f>
        <v>-1</v>
      </c>
      <c r="K176" s="44" t="str">
        <f>_xlfn.CONCAT(_xlfn.XLOOKUP($A176,ncr_merged[[#All],[column_name]],ncr_merged[[#All],[range_(max)]]," ",0))</f>
        <v>1</v>
      </c>
      <c r="M176" s="38" t="str" cm="1">
        <f t="array" ref="M176">_xlfn.CONCAT(IFERROR(_xlfn.XLOOKUP(data_elements_bkp!A176,Table_query__5[[#All],[NCR Variable ID]],Table_query__5[[#All],[in_progress]]),""))</f>
        <v/>
      </c>
    </row>
    <row r="177" spans="1:13" x14ac:dyDescent="0.2">
      <c r="A177" s="38" t="str">
        <v>tlr30_5</v>
      </c>
      <c r="B177" s="38" t="str" cm="1">
        <f t="array" ref="B177">_xlfn.XLOOKUP($A177,ncr_merged[[#All],[column_name]],ncr_merged[[#All],[label]]," ",0)</f>
        <v>Target LESION revascularisation (TLR)</v>
      </c>
      <c r="E177" s="38" t="str">
        <f>_xlfn.CONCAT(_xlfn.XLOOKUP($A177,ncr_merged[[#All],[column_name]],ncr_merged[[#All],[question]]," ",0),_xlfn.XLOOKUP($A177,ncr_merged[[#All],[column_name]],ncr_merged[[#All],[supporting_definition]]," ",0))</f>
        <v/>
      </c>
      <c r="F177" s="38" t="str">
        <f>_xlfn.CONCAT(_xlfn.XLOOKUP($A177,ncr_merged[[#All],[column_name]],ncr_merged[[#All],[required]]," ",0),"")</f>
        <v/>
      </c>
      <c r="G177" s="38" t="str">
        <f>_xlfn.CONCAT(_xlfn.XLOOKUP($A177,ncr_merged[[#All],[column_name]],ncr_merged[[#All],[comments]]," ",0),
_xlfn.XLOOKUP($A177,ncr_merged[[#All],[column_name]],ncr_merged[[#All],[validation_rule]]," ",0),
_xlfn.XLOOKUP($A177,ncr_merged[[#All],[column_name]],ncr_merged[[#All],[behaviour]]," ",0),
"from the NCR tab: ",_xlfn.XLOOKUP($A177,ncr_merged[[#All],[column_name]],ncr_merged[[#All],[source_tab]]),
" ")</f>
        <v xml:space="preserve">Reject file if tvr30_5 =0 or -1 and tlr30_5 has data
Reject file if tvr30_5=1 and tlr30_5 is NULLfrom the NCR tab: follow_up </v>
      </c>
      <c r="H177" s="38" t="str">
        <f>_xlfn.CONCAT(_xlfn.XLOOKUP($A177,ncr_merged[[#All],[column_name]],ncr_merged[[#All],[format]]," ",0))</f>
        <v>N</v>
      </c>
      <c r="I177" s="38" t="str">
        <f>_xlfn.CONCAT(_xlfn.XLOOKUP($A177,ncr_merged[[#All],[column_name]],ncr_merged[[#All],[permitted_values]]," ",0))</f>
        <v xml:space="preserve">
0=No
1=Yes
-1=Unknown</v>
      </c>
      <c r="J177" s="44" t="str">
        <f>_xlfn.CONCAT(_xlfn.XLOOKUP($A177,ncr_merged[[#All],[column_name]],ncr_merged[[#All],[range_(min)]]," ",0))</f>
        <v>-1</v>
      </c>
      <c r="K177" s="44" t="str">
        <f>_xlfn.CONCAT(_xlfn.XLOOKUP($A177,ncr_merged[[#All],[column_name]],ncr_merged[[#All],[range_(max)]]," ",0))</f>
        <v>1</v>
      </c>
      <c r="M177" s="38" t="str" cm="1">
        <f t="array" ref="M177">_xlfn.CONCAT(IFERROR(_xlfn.XLOOKUP(data_elements_bkp!A177,Table_query__5[[#All],[NCR Variable ID]],Table_query__5[[#All],[in_progress]]),""))</f>
        <v/>
      </c>
    </row>
    <row r="178" spans="1:13" x14ac:dyDescent="0.2">
      <c r="A178" s="38" t="str">
        <v>cab30_5</v>
      </c>
      <c r="B178" s="38" t="str" cm="1">
        <f t="array" ref="B178">_xlfn.XLOOKUP($A178,ncr_merged[[#All],[column_name]],ncr_merged[[#All],[label]]," ",0)</f>
        <v>CABG Rehospitalisation</v>
      </c>
      <c r="E178" s="38" t="str">
        <f>_xlfn.CONCAT(_xlfn.XLOOKUP($A178,ncr_merged[[#All],[column_name]],ncr_merged[[#All],[question]]," ",0),_xlfn.XLOOKUP($A178,ncr_merged[[#All],[column_name]],ncr_merged[[#All],[supporting_definition]]," ",0))</f>
        <v/>
      </c>
      <c r="F178" s="38" t="str">
        <f>_xlfn.CONCAT(_xlfn.XLOOKUP($A178,ncr_merged[[#All],[column_name]],ncr_merged[[#All],[required]]," ",0),"")</f>
        <v/>
      </c>
      <c r="G178" s="38" t="str">
        <f>_xlfn.CONCAT(_xlfn.XLOOKUP($A178,ncr_merged[[#All],[column_name]],ncr_merged[[#All],[comments]]," ",0),
_xlfn.XLOOKUP($A178,ncr_merged[[#All],[column_name]],ncr_merged[[#All],[validation_rule]]," ",0),
_xlfn.XLOOKUP($A178,ncr_merged[[#All],[column_name]],ncr_merged[[#All],[behaviour]]," ",0),
"from the NCR tab: ",_xlfn.XLOOKUP($A178,ncr_merged[[#All],[column_name]],ncr_merged[[#All],[source_tab]]),
" ")</f>
        <v xml:space="preserve">Reject file if crh30_5=1 AND cab30_5 is NULL
Reject file if crh30_5=0, or -1, or NULL AND cab30_5 has datafrom the NCR tab: follow_up </v>
      </c>
      <c r="H178" s="38" t="str">
        <f>_xlfn.CONCAT(_xlfn.XLOOKUP($A178,ncr_merged[[#All],[column_name]],ncr_merged[[#All],[format]]," ",0))</f>
        <v>N</v>
      </c>
      <c r="I178" s="38" t="str">
        <f>_xlfn.CONCAT(_xlfn.XLOOKUP($A178,ncr_merged[[#All],[column_name]],ncr_merged[[#All],[permitted_values]]," ",0))</f>
        <v xml:space="preserve">
0=No
1=Yes
-1=Unknown</v>
      </c>
      <c r="J178" s="44" t="str">
        <f>_xlfn.CONCAT(_xlfn.XLOOKUP($A178,ncr_merged[[#All],[column_name]],ncr_merged[[#All],[range_(min)]]," ",0))</f>
        <v>-1</v>
      </c>
      <c r="K178" s="44" t="str">
        <f>_xlfn.CONCAT(_xlfn.XLOOKUP($A178,ncr_merged[[#All],[column_name]],ncr_merged[[#All],[range_(max)]]," ",0))</f>
        <v>1</v>
      </c>
      <c r="M178" s="38" t="str" cm="1">
        <f t="array" ref="M178">_xlfn.CONCAT(IFERROR(_xlfn.XLOOKUP(data_elements_bkp!A178,Table_query__5[[#All],[NCR Variable ID]],Table_query__5[[#All],[in_progress]]),""))</f>
        <v/>
      </c>
    </row>
    <row r="179" spans="1:13" x14ac:dyDescent="0.2">
      <c r="A179" s="38" t="str">
        <v>tvcab30_5</v>
      </c>
      <c r="B179" s="38" t="str" cm="1">
        <f t="array" ref="B179">_xlfn.XLOOKUP($A179,ncr_merged[[#All],[column_name]],ncr_merged[[#All],[label]]," ",0)</f>
        <v>Target Vessel CABG</v>
      </c>
      <c r="E179" s="38" t="str">
        <f>_xlfn.CONCAT(_xlfn.XLOOKUP($A179,ncr_merged[[#All],[column_name]],ncr_merged[[#All],[question]]," ",0),_xlfn.XLOOKUP($A179,ncr_merged[[#All],[column_name]],ncr_merged[[#All],[supporting_definition]]," ",0))</f>
        <v/>
      </c>
      <c r="F179" s="38" t="str">
        <f>_xlfn.CONCAT(_xlfn.XLOOKUP($A179,ncr_merged[[#All],[column_name]],ncr_merged[[#All],[required]]," ",0),"")</f>
        <v/>
      </c>
      <c r="G179" s="38" t="str">
        <f>_xlfn.CONCAT(_xlfn.XLOOKUP($A179,ncr_merged[[#All],[column_name]],ncr_merged[[#All],[comments]]," ",0),
_xlfn.XLOOKUP($A179,ncr_merged[[#All],[column_name]],ncr_merged[[#All],[validation_rule]]," ",0),
_xlfn.XLOOKUP($A179,ncr_merged[[#All],[column_name]],ncr_merged[[#All],[behaviour]]," ",0),
"from the NCR tab: ",_xlfn.XLOOKUP($A179,ncr_merged[[#All],[column_name]],ncr_merged[[#All],[source_tab]]),
" ")</f>
        <v xml:space="preserve">Reject file if cab30_5 =0, or -1, or NULL and tvcab30_5 has data
Reject file if cab30_5=1 and tvcab30_5 is NULLfrom the NCR tab: follow_up </v>
      </c>
      <c r="H179" s="38" t="str">
        <f>_xlfn.CONCAT(_xlfn.XLOOKUP($A179,ncr_merged[[#All],[column_name]],ncr_merged[[#All],[format]]," ",0))</f>
        <v>N</v>
      </c>
      <c r="I179" s="38" t="str">
        <f>_xlfn.CONCAT(_xlfn.XLOOKUP($A179,ncr_merged[[#All],[column_name]],ncr_merged[[#All],[permitted_values]]," ",0))</f>
        <v xml:space="preserve">
0=No
1=Yes
-1=Unknown</v>
      </c>
      <c r="J179" s="44" t="str">
        <f>_xlfn.CONCAT(_xlfn.XLOOKUP($A179,ncr_merged[[#All],[column_name]],ncr_merged[[#All],[range_(min)]]," ",0))</f>
        <v>-1</v>
      </c>
      <c r="K179" s="44" t="str">
        <f>_xlfn.CONCAT(_xlfn.XLOOKUP($A179,ncr_merged[[#All],[column_name]],ncr_merged[[#All],[range_(max)]]," ",0))</f>
        <v>1</v>
      </c>
      <c r="M179" s="38" t="str" cm="1">
        <f t="array" ref="M179">_xlfn.CONCAT(IFERROR(_xlfn.XLOOKUP(data_elements_bkp!A179,Table_query__5[[#All],[NCR Variable ID]],Table_query__5[[#All],[in_progress]]),""))</f>
        <v/>
      </c>
    </row>
    <row r="180" spans="1:13" x14ac:dyDescent="0.2">
      <c r="A180" s="38" t="str">
        <v>crh30_6</v>
      </c>
      <c r="B180" s="38" t="str" cm="1">
        <f t="array" ref="B180">_xlfn.XLOOKUP($A180,ncr_merged[[#All],[column_name]],ncr_merged[[#All],[label]]," ",0)</f>
        <v>Cardiac rehospitalisation</v>
      </c>
      <c r="E180" s="38" t="str">
        <f>_xlfn.CONCAT(_xlfn.XLOOKUP($A180,ncr_merged[[#All],[column_name]],ncr_merged[[#All],[question]]," ",0),_xlfn.XLOOKUP($A180,ncr_merged[[#All],[column_name]],ncr_merged[[#All],[supporting_definition]]," ",0))</f>
        <v/>
      </c>
      <c r="F180" s="38" t="str">
        <f>_xlfn.CONCAT(_xlfn.XLOOKUP($A180,ncr_merged[[#All],[column_name]],ncr_merged[[#All],[required]]," ",0),"")</f>
        <v/>
      </c>
      <c r="G180" s="38" t="str">
        <f>_xlfn.CONCAT(_xlfn.XLOOKUP($A180,ncr_merged[[#All],[column_name]],ncr_merged[[#All],[comments]]," ",0),
_xlfn.XLOOKUP($A180,ncr_merged[[#All],[column_name]],ncr_merged[[#All],[validation_rule]]," ",0),
_xlfn.XLOOKUP($A180,ncr_merged[[#All],[column_name]],ncr_merged[[#All],[behaviour]]," ",0),
"from the NCR tab: ",_xlfn.XLOOKUP($A180,ncr_merged[[#All],[column_name]],ncr_merged[[#All],[source_tab]]),
" ")</f>
        <v xml:space="preserve">from the NCR tab: follow_up </v>
      </c>
      <c r="H180" s="38" t="str">
        <f>_xlfn.CONCAT(_xlfn.XLOOKUP($A180,ncr_merged[[#All],[column_name]],ncr_merged[[#All],[format]]," ",0))</f>
        <v>N</v>
      </c>
      <c r="I180" s="38" t="str">
        <f>_xlfn.CONCAT(_xlfn.XLOOKUP($A180,ncr_merged[[#All],[column_name]],ncr_merged[[#All],[permitted_values]]," ",0))</f>
        <v xml:space="preserve">
1=Yes
NULL</v>
      </c>
      <c r="J180" s="44" t="str">
        <f>_xlfn.CONCAT(_xlfn.XLOOKUP($A180,ncr_merged[[#All],[column_name]],ncr_merged[[#All],[range_(min)]]," ",0))</f>
        <v>1</v>
      </c>
      <c r="K180" s="44" t="str">
        <f>_xlfn.CONCAT(_xlfn.XLOOKUP($A180,ncr_merged[[#All],[column_name]],ncr_merged[[#All],[range_(max)]]," ",0))</f>
        <v>1</v>
      </c>
      <c r="M180" s="38" t="str" cm="1">
        <f t="array" ref="M180">_xlfn.CONCAT(IFERROR(_xlfn.XLOOKUP(data_elements_bkp!A180,Table_query__5[[#All],[NCR Variable ID]],Table_query__5[[#All],[in_progress]]),""))</f>
        <v/>
      </c>
    </row>
    <row r="181" spans="1:13" x14ac:dyDescent="0.2">
      <c r="A181" s="38" t="str">
        <v>rhdte_6</v>
      </c>
      <c r="B181" s="38" t="str" cm="1">
        <f t="array" ref="B181">_xlfn.XLOOKUP($A181,ncr_merged[[#All],[column_name]],ncr_merged[[#All],[label]]," ",0)</f>
        <v>Cardiac rehospitalisation Date</v>
      </c>
      <c r="E181" s="38" t="str">
        <f>_xlfn.CONCAT(_xlfn.XLOOKUP($A181,ncr_merged[[#All],[column_name]],ncr_merged[[#All],[question]]," ",0),_xlfn.XLOOKUP($A181,ncr_merged[[#All],[column_name]],ncr_merged[[#All],[supporting_definition]]," ",0))</f>
        <v/>
      </c>
      <c r="F181" s="38" t="str">
        <f>_xlfn.CONCAT(_xlfn.XLOOKUP($A181,ncr_merged[[#All],[column_name]],ncr_merged[[#All],[required]]," ",0),"")</f>
        <v/>
      </c>
      <c r="G181" s="38" t="str">
        <f>_xlfn.CONCAT(_xlfn.XLOOKUP($A181,ncr_merged[[#All],[column_name]],ncr_merged[[#All],[comments]]," ",0),
_xlfn.XLOOKUP($A181,ncr_merged[[#All],[column_name]],ncr_merged[[#All],[validation_rule]]," ",0),
_xlfn.XLOOKUP($A181,ncr_merged[[#All],[column_name]],ncr_merged[[#All],[behaviour]]," ",0),
"from the NCR tab: ",_xlfn.XLOOKUP($A181,ncr_merged[[#All],[column_name]],ncr_merged[[#All],[source_tab]]),
" ")</f>
        <v xml:space="preserve">Reject file if rhdte_6 &gt;dod + 30
Reject file if rhdte_6 &lt;dod
Reject file if crh30_6 =1 and rhdte_6 is NULL
Reject file if crh30_6=NULL and rhdte_6 has datafrom the NCR tab: follow_up </v>
      </c>
      <c r="H181" s="38" t="str">
        <f>_xlfn.CONCAT(_xlfn.XLOOKUP($A181,ncr_merged[[#All],[column_name]],ncr_merged[[#All],[format]]," ",0))</f>
        <v>DD/MM/YYYY</v>
      </c>
      <c r="I181" s="38" t="str">
        <f>_xlfn.CONCAT(_xlfn.XLOOKUP($A181,ncr_merged[[#All],[column_name]],ncr_merged[[#All],[permitted_values]]," ",0))</f>
        <v>DD/MM/YYYY</v>
      </c>
      <c r="J181" s="44" t="str">
        <f>_xlfn.CONCAT(_xlfn.XLOOKUP($A181,ncr_merged[[#All],[column_name]],ncr_merged[[#All],[range_(min)]]," ",0))</f>
        <v/>
      </c>
      <c r="K181" s="44" t="str">
        <f>_xlfn.CONCAT(_xlfn.XLOOKUP($A181,ncr_merged[[#All],[column_name]],ncr_merged[[#All],[range_(max)]]," ",0))</f>
        <v/>
      </c>
      <c r="M181" s="38" t="str" cm="1">
        <f t="array" ref="M181">_xlfn.CONCAT(IFERROR(_xlfn.XLOOKUP(data_elements_bkp!A181,Table_query__5[[#All],[NCR Variable ID]],Table_query__5[[#All],[in_progress]]),""))</f>
        <v/>
      </c>
    </row>
    <row r="182" spans="1:13" x14ac:dyDescent="0.2">
      <c r="A182" s="38" t="str">
        <v>pc30_6</v>
      </c>
      <c r="B182" s="38" t="str" cm="1">
        <f t="array" ref="B182">_xlfn.XLOOKUP($A182,ncr_merged[[#All],[column_name]],ncr_merged[[#All],[label]]," ",0)</f>
        <v>Planned cardiac rehospitalisation</v>
      </c>
      <c r="E182" s="38" t="str">
        <f>_xlfn.CONCAT(_xlfn.XLOOKUP($A182,ncr_merged[[#All],[column_name]],ncr_merged[[#All],[question]]," ",0),_xlfn.XLOOKUP($A182,ncr_merged[[#All],[column_name]],ncr_merged[[#All],[supporting_definition]]," ",0))</f>
        <v/>
      </c>
      <c r="F182" s="38" t="str">
        <f>_xlfn.CONCAT(_xlfn.XLOOKUP($A182,ncr_merged[[#All],[column_name]],ncr_merged[[#All],[required]]," ",0),"")</f>
        <v/>
      </c>
      <c r="G182" s="38" t="str">
        <f>_xlfn.CONCAT(_xlfn.XLOOKUP($A182,ncr_merged[[#All],[column_name]],ncr_merged[[#All],[comments]]," ",0),
_xlfn.XLOOKUP($A182,ncr_merged[[#All],[column_name]],ncr_merged[[#All],[validation_rule]]," ",0),
_xlfn.XLOOKUP($A182,ncr_merged[[#All],[column_name]],ncr_merged[[#All],[behaviour]]," ",0),
"from the NCR tab: ",_xlfn.XLOOKUP($A182,ncr_merged[[#All],[column_name]],ncr_merged[[#All],[source_tab]]),
" ")</f>
        <v xml:space="preserve">Reject file if  crh30_6=1 AND pc30_6 is NULL
Reject file if crh30_6=NULL and pc30_6 has datafrom the NCR tab: follow_up </v>
      </c>
      <c r="H182" s="38" t="str">
        <f>_xlfn.CONCAT(_xlfn.XLOOKUP($A182,ncr_merged[[#All],[column_name]],ncr_merged[[#All],[format]]," ",0))</f>
        <v>N</v>
      </c>
      <c r="I182" s="38" t="str">
        <f>_xlfn.CONCAT(_xlfn.XLOOKUP($A182,ncr_merged[[#All],[column_name]],ncr_merged[[#All],[permitted_values]]," ",0))</f>
        <v xml:space="preserve">
0=No
1=Yes
-1=Unknown</v>
      </c>
      <c r="J182" s="44" t="str">
        <f>_xlfn.CONCAT(_xlfn.XLOOKUP($A182,ncr_merged[[#All],[column_name]],ncr_merged[[#All],[range_(min)]]," ",0))</f>
        <v>-1</v>
      </c>
      <c r="K182" s="44" t="str">
        <f>_xlfn.CONCAT(_xlfn.XLOOKUP($A182,ncr_merged[[#All],[column_name]],ncr_merged[[#All],[range_(max)]]," ",0))</f>
        <v>1</v>
      </c>
      <c r="M182" s="38" t="str" cm="1">
        <f t="array" ref="M182">_xlfn.CONCAT(IFERROR(_xlfn.XLOOKUP(data_elements_bkp!A182,Table_query__5[[#All],[NCR Variable ID]],Table_query__5[[#All],[in_progress]]),""))</f>
        <v/>
      </c>
    </row>
    <row r="183" spans="1:13" x14ac:dyDescent="0.2">
      <c r="A183" s="38" t="str">
        <v>pci30_6</v>
      </c>
      <c r="B183" s="38" t="str" cm="1">
        <f t="array" ref="B183">_xlfn.XLOOKUP($A183,ncr_merged[[#All],[column_name]],ncr_merged[[#All],[label]]," ",0)</f>
        <v>PCI rehospitalisation</v>
      </c>
      <c r="E183" s="38" t="str">
        <f>_xlfn.CONCAT(_xlfn.XLOOKUP($A183,ncr_merged[[#All],[column_name]],ncr_merged[[#All],[question]]," ",0),_xlfn.XLOOKUP($A183,ncr_merged[[#All],[column_name]],ncr_merged[[#All],[supporting_definition]]," ",0))</f>
        <v/>
      </c>
      <c r="F183" s="38" t="str">
        <f>_xlfn.CONCAT(_xlfn.XLOOKUP($A183,ncr_merged[[#All],[column_name]],ncr_merged[[#All],[required]]," ",0),"")</f>
        <v/>
      </c>
      <c r="G183" s="38" t="str">
        <f>_xlfn.CONCAT(_xlfn.XLOOKUP($A183,ncr_merged[[#All],[column_name]],ncr_merged[[#All],[comments]]," ",0),
_xlfn.XLOOKUP($A183,ncr_merged[[#All],[column_name]],ncr_merged[[#All],[validation_rule]]," ",0),
_xlfn.XLOOKUP($A183,ncr_merged[[#All],[column_name]],ncr_merged[[#All],[behaviour]]," ",0),
"from the NCR tab: ",_xlfn.XLOOKUP($A183,ncr_merged[[#All],[column_name]],ncr_merged[[#All],[source_tab]]),
" ")</f>
        <v xml:space="preserve">Reject file if  crh30_6=1 AND pci30_6 is NULL
Reject file if crh30_6=NULL and pci30_6 has datafrom the NCR tab: follow_up </v>
      </c>
      <c r="H183" s="38" t="str">
        <f>_xlfn.CONCAT(_xlfn.XLOOKUP($A183,ncr_merged[[#All],[column_name]],ncr_merged[[#All],[format]]," ",0))</f>
        <v>N</v>
      </c>
      <c r="I183" s="38" t="str">
        <f>_xlfn.CONCAT(_xlfn.XLOOKUP($A183,ncr_merged[[#All],[column_name]],ncr_merged[[#All],[permitted_values]]," ",0))</f>
        <v xml:space="preserve">
0=No
1=Yes
-1=Unknown</v>
      </c>
      <c r="J183" s="44" t="str">
        <f>_xlfn.CONCAT(_xlfn.XLOOKUP($A183,ncr_merged[[#All],[column_name]],ncr_merged[[#All],[range_(min)]]," ",0))</f>
        <v>-1</v>
      </c>
      <c r="K183" s="44" t="str">
        <f>_xlfn.CONCAT(_xlfn.XLOOKUP($A183,ncr_merged[[#All],[column_name]],ncr_merged[[#All],[range_(max)]]," ",0))</f>
        <v>1</v>
      </c>
      <c r="M183" s="38" t="str" cm="1">
        <f t="array" ref="M183">_xlfn.CONCAT(IFERROR(_xlfn.XLOOKUP(data_elements_bkp!A183,Table_query__5[[#All],[NCR Variable ID]],Table_query__5[[#All],[in_progress]]),""))</f>
        <v/>
      </c>
    </row>
    <row r="184" spans="1:13" x14ac:dyDescent="0.2">
      <c r="A184" s="38" t="str">
        <v>tvr30_6</v>
      </c>
      <c r="B184" s="38" t="str" cm="1">
        <f t="array" ref="B184">_xlfn.XLOOKUP($A184,ncr_merged[[#All],[column_name]],ncr_merged[[#All],[label]]," ",0)</f>
        <v>Target Vessel revascularisation (PCI)</v>
      </c>
      <c r="E184" s="38" t="str">
        <f>_xlfn.CONCAT(_xlfn.XLOOKUP($A184,ncr_merged[[#All],[column_name]],ncr_merged[[#All],[question]]," ",0),_xlfn.XLOOKUP($A184,ncr_merged[[#All],[column_name]],ncr_merged[[#All],[supporting_definition]]," ",0))</f>
        <v/>
      </c>
      <c r="F184" s="38" t="str">
        <f>_xlfn.CONCAT(_xlfn.XLOOKUP($A184,ncr_merged[[#All],[column_name]],ncr_merged[[#All],[required]]," ",0),"")</f>
        <v/>
      </c>
      <c r="G184" s="38" t="str">
        <f>_xlfn.CONCAT(_xlfn.XLOOKUP($A184,ncr_merged[[#All],[column_name]],ncr_merged[[#All],[comments]]," ",0),
_xlfn.XLOOKUP($A184,ncr_merged[[#All],[column_name]],ncr_merged[[#All],[validation_rule]]," ",0),
_xlfn.XLOOKUP($A184,ncr_merged[[#All],[column_name]],ncr_merged[[#All],[behaviour]]," ",0),
"from the NCR tab: ",_xlfn.XLOOKUP($A184,ncr_merged[[#All],[column_name]],ncr_merged[[#All],[source_tab]]),
" ")</f>
        <v xml:space="preserve">Reject file if pci30_6 =0 or -1 and tvr30_6 has data
Reject file if pci30_6=1 and tvr30_6 is NULLfrom the NCR tab: follow_up </v>
      </c>
      <c r="H184" s="38" t="str">
        <f>_xlfn.CONCAT(_xlfn.XLOOKUP($A184,ncr_merged[[#All],[column_name]],ncr_merged[[#All],[format]]," ",0))</f>
        <v>N</v>
      </c>
      <c r="I184" s="38" t="str">
        <f>_xlfn.CONCAT(_xlfn.XLOOKUP($A184,ncr_merged[[#All],[column_name]],ncr_merged[[#All],[permitted_values]]," ",0))</f>
        <v xml:space="preserve">
0=No
1=Yes
-1=Unknown</v>
      </c>
      <c r="J184" s="44" t="str">
        <f>_xlfn.CONCAT(_xlfn.XLOOKUP($A184,ncr_merged[[#All],[column_name]],ncr_merged[[#All],[range_(min)]]," ",0))</f>
        <v>-1</v>
      </c>
      <c r="K184" s="44" t="str">
        <f>_xlfn.CONCAT(_xlfn.XLOOKUP($A184,ncr_merged[[#All],[column_name]],ncr_merged[[#All],[range_(max)]]," ",0))</f>
        <v>1</v>
      </c>
      <c r="M184" s="38" t="str" cm="1">
        <f t="array" ref="M184">_xlfn.CONCAT(IFERROR(_xlfn.XLOOKUP(data_elements_bkp!A184,Table_query__5[[#All],[NCR Variable ID]],Table_query__5[[#All],[in_progress]]),""))</f>
        <v/>
      </c>
    </row>
    <row r="185" spans="1:13" x14ac:dyDescent="0.2">
      <c r="A185" s="38" t="str">
        <v>tlr30_6</v>
      </c>
      <c r="B185" s="38" t="str" cm="1">
        <f t="array" ref="B185">_xlfn.XLOOKUP($A185,ncr_merged[[#All],[column_name]],ncr_merged[[#All],[label]]," ",0)</f>
        <v>Target LESION revascularisation (TLR)</v>
      </c>
      <c r="E185" s="38" t="str">
        <f>_xlfn.CONCAT(_xlfn.XLOOKUP($A185,ncr_merged[[#All],[column_name]],ncr_merged[[#All],[question]]," ",0),_xlfn.XLOOKUP($A185,ncr_merged[[#All],[column_name]],ncr_merged[[#All],[supporting_definition]]," ",0))</f>
        <v/>
      </c>
      <c r="F185" s="38" t="str">
        <f>_xlfn.CONCAT(_xlfn.XLOOKUP($A185,ncr_merged[[#All],[column_name]],ncr_merged[[#All],[required]]," ",0),"")</f>
        <v/>
      </c>
      <c r="G185" s="38" t="str">
        <f>_xlfn.CONCAT(_xlfn.XLOOKUP($A185,ncr_merged[[#All],[column_name]],ncr_merged[[#All],[comments]]," ",0),
_xlfn.XLOOKUP($A185,ncr_merged[[#All],[column_name]],ncr_merged[[#All],[validation_rule]]," ",0),
_xlfn.XLOOKUP($A185,ncr_merged[[#All],[column_name]],ncr_merged[[#All],[behaviour]]," ",0),
"from the NCR tab: ",_xlfn.XLOOKUP($A185,ncr_merged[[#All],[column_name]],ncr_merged[[#All],[source_tab]]),
" ")</f>
        <v xml:space="preserve">Reject file if pci30_6 =0 or -1 and tlr30_6 has data
Reject file if pci30_6=1 and tlr30_6 is NULLfrom the NCR tab: follow_up </v>
      </c>
      <c r="H185" s="38" t="str">
        <f>_xlfn.CONCAT(_xlfn.XLOOKUP($A185,ncr_merged[[#All],[column_name]],ncr_merged[[#All],[format]]," ",0))</f>
        <v>N</v>
      </c>
      <c r="I185" s="38" t="str">
        <f>_xlfn.CONCAT(_xlfn.XLOOKUP($A185,ncr_merged[[#All],[column_name]],ncr_merged[[#All],[permitted_values]]," ",0))</f>
        <v xml:space="preserve">
0=No
1=Yes
-1=Unknown</v>
      </c>
      <c r="J185" s="44" t="str">
        <f>_xlfn.CONCAT(_xlfn.XLOOKUP($A185,ncr_merged[[#All],[column_name]],ncr_merged[[#All],[range_(min)]]," ",0))</f>
        <v>-1</v>
      </c>
      <c r="K185" s="44" t="str">
        <f>_xlfn.CONCAT(_xlfn.XLOOKUP($A185,ncr_merged[[#All],[column_name]],ncr_merged[[#All],[range_(max)]]," ",0))</f>
        <v>1</v>
      </c>
      <c r="M185" s="38" t="str" cm="1">
        <f t="array" ref="M185">_xlfn.CONCAT(IFERROR(_xlfn.XLOOKUP(data_elements_bkp!A185,Table_query__5[[#All],[NCR Variable ID]],Table_query__5[[#All],[in_progress]]),""))</f>
        <v/>
      </c>
    </row>
    <row r="186" spans="1:13" x14ac:dyDescent="0.2">
      <c r="A186" s="38" t="str">
        <v>cab30_6</v>
      </c>
      <c r="B186" s="38" t="str" cm="1">
        <f t="array" ref="B186">_xlfn.XLOOKUP($A186,ncr_merged[[#All],[column_name]],ncr_merged[[#All],[label]]," ",0)</f>
        <v>CABG Rehospitalisation</v>
      </c>
      <c r="E186" s="38" t="str">
        <f>_xlfn.CONCAT(_xlfn.XLOOKUP($A186,ncr_merged[[#All],[column_name]],ncr_merged[[#All],[question]]," ",0),_xlfn.XLOOKUP($A186,ncr_merged[[#All],[column_name]],ncr_merged[[#All],[supporting_definition]]," ",0))</f>
        <v/>
      </c>
      <c r="F186" s="38" t="str">
        <f>_xlfn.CONCAT(_xlfn.XLOOKUP($A186,ncr_merged[[#All],[column_name]],ncr_merged[[#All],[required]]," ",0),"")</f>
        <v/>
      </c>
      <c r="G186" s="38" t="str">
        <f>_xlfn.CONCAT(_xlfn.XLOOKUP($A186,ncr_merged[[#All],[column_name]],ncr_merged[[#All],[comments]]," ",0),
_xlfn.XLOOKUP($A186,ncr_merged[[#All],[column_name]],ncr_merged[[#All],[validation_rule]]," ",0),
_xlfn.XLOOKUP($A186,ncr_merged[[#All],[column_name]],ncr_merged[[#All],[behaviour]]," ",0),
"from the NCR tab: ",_xlfn.XLOOKUP($A186,ncr_merged[[#All],[column_name]],ncr_merged[[#All],[source_tab]]),
" ")</f>
        <v xml:space="preserve">Reject file if crh30_6=1 AND cab30_6 is NULL
Reject file if crh30_6=0, or -1, or NULL AND cab30_6 has datafrom the NCR tab: follow_up </v>
      </c>
      <c r="H186" s="38" t="str">
        <f>_xlfn.CONCAT(_xlfn.XLOOKUP($A186,ncr_merged[[#All],[column_name]],ncr_merged[[#All],[format]]," ",0))</f>
        <v>N</v>
      </c>
      <c r="I186" s="38" t="str">
        <f>_xlfn.CONCAT(_xlfn.XLOOKUP($A186,ncr_merged[[#All],[column_name]],ncr_merged[[#All],[permitted_values]]," ",0))</f>
        <v xml:space="preserve">
0=No
1=Yes
-1=Unknown</v>
      </c>
      <c r="J186" s="44" t="str">
        <f>_xlfn.CONCAT(_xlfn.XLOOKUP($A186,ncr_merged[[#All],[column_name]],ncr_merged[[#All],[range_(min)]]," ",0))</f>
        <v>-1</v>
      </c>
      <c r="K186" s="44" t="str">
        <f>_xlfn.CONCAT(_xlfn.XLOOKUP($A186,ncr_merged[[#All],[column_name]],ncr_merged[[#All],[range_(max)]]," ",0))</f>
        <v>1</v>
      </c>
      <c r="M186" s="38" t="str" cm="1">
        <f t="array" ref="M186">_xlfn.CONCAT(IFERROR(_xlfn.XLOOKUP(data_elements_bkp!A186,Table_query__5[[#All],[NCR Variable ID]],Table_query__5[[#All],[in_progress]]),""))</f>
        <v/>
      </c>
    </row>
    <row r="187" spans="1:13" x14ac:dyDescent="0.2">
      <c r="A187" s="38" t="str">
        <v>tvcab30_6</v>
      </c>
      <c r="B187" s="38" t="str" cm="1">
        <f t="array" ref="B187">_xlfn.XLOOKUP($A187,ncr_merged[[#All],[column_name]],ncr_merged[[#All],[label]]," ",0)</f>
        <v>Target Vessel CABG</v>
      </c>
      <c r="E187" s="38" t="str">
        <f>_xlfn.CONCAT(_xlfn.XLOOKUP($A187,ncr_merged[[#All],[column_name]],ncr_merged[[#All],[question]]," ",0),_xlfn.XLOOKUP($A187,ncr_merged[[#All],[column_name]],ncr_merged[[#All],[supporting_definition]]," ",0))</f>
        <v/>
      </c>
      <c r="F187" s="38" t="str">
        <f>_xlfn.CONCAT(_xlfn.XLOOKUP($A187,ncr_merged[[#All],[column_name]],ncr_merged[[#All],[required]]," ",0),"")</f>
        <v/>
      </c>
      <c r="G187" s="38" t="str">
        <f>_xlfn.CONCAT(_xlfn.XLOOKUP($A187,ncr_merged[[#All],[column_name]],ncr_merged[[#All],[comments]]," ",0),
_xlfn.XLOOKUP($A187,ncr_merged[[#All],[column_name]],ncr_merged[[#All],[validation_rule]]," ",0),
_xlfn.XLOOKUP($A187,ncr_merged[[#All],[column_name]],ncr_merged[[#All],[behaviour]]," ",0),
"from the NCR tab: ",_xlfn.XLOOKUP($A187,ncr_merged[[#All],[column_name]],ncr_merged[[#All],[source_tab]]),
" ")</f>
        <v xml:space="preserve">Reject file if cab30_6 =0, or -1, or NULL and tvcab30_6 has data
Reject file if cab30_6=1 and tvcab30_6 is NULLfrom the NCR tab: follow_up </v>
      </c>
      <c r="H187" s="38" t="str">
        <f>_xlfn.CONCAT(_xlfn.XLOOKUP($A187,ncr_merged[[#All],[column_name]],ncr_merged[[#All],[format]]," ",0))</f>
        <v>N</v>
      </c>
      <c r="I187" s="38" t="str">
        <f>_xlfn.CONCAT(_xlfn.XLOOKUP($A187,ncr_merged[[#All],[column_name]],ncr_merged[[#All],[permitted_values]]," ",0))</f>
        <v xml:space="preserve">
0=No
1=Yes
-1=Unknown</v>
      </c>
      <c r="J187" s="44" t="str">
        <f>_xlfn.CONCAT(_xlfn.XLOOKUP($A187,ncr_merged[[#All],[column_name]],ncr_merged[[#All],[range_(min)]]," ",0))</f>
        <v>-1</v>
      </c>
      <c r="K187" s="44" t="str">
        <f>_xlfn.CONCAT(_xlfn.XLOOKUP($A187,ncr_merged[[#All],[column_name]],ncr_merged[[#All],[range_(max)]]," ",0))</f>
        <v>1</v>
      </c>
      <c r="M187" s="38" t="str" cm="1">
        <f t="array" ref="M187">_xlfn.CONCAT(IFERROR(_xlfn.XLOOKUP(data_elements_bkp!A187,Table_query__5[[#All],[NCR Variable ID]],Table_query__5[[#All],[in_progress]]),""))</f>
        <v/>
      </c>
    </row>
    <row r="188" spans="1:13" x14ac:dyDescent="0.2">
      <c r="B188" s="38" t="str" cm="1">
        <f t="array" ref="B188">_xlfn.XLOOKUP($A188,ncr_merged[[#All],[column_name]],ncr_merged[[#All],[label]]," ",0)</f>
        <v xml:space="preserve"> </v>
      </c>
      <c r="E188" s="38" t="str">
        <f>_xlfn.CONCAT(_xlfn.XLOOKUP($A188,ncr_merged[[#All],[column_name]],ncr_merged[[#All],[question]]," ",0),_xlfn.XLOOKUP($A188,ncr_merged[[#All],[column_name]],ncr_merged[[#All],[supporting_definition]]," ",0))</f>
        <v xml:space="preserve">  </v>
      </c>
      <c r="F188" s="38" t="str">
        <f>_xlfn.CONCAT(_xlfn.XLOOKUP($A188,ncr_merged[[#All],[column_name]],ncr_merged[[#All],[required]]," ",0),"")</f>
        <v xml:space="preserve"> </v>
      </c>
      <c r="G188" s="38" t="e">
        <f>_xlfn.CONCAT(_xlfn.XLOOKUP($A188,ncr_merged[[#All],[column_name]],ncr_merged[[#All],[comments]]," ",0),
_xlfn.XLOOKUP($A188,ncr_merged[[#All],[column_name]],ncr_merged[[#All],[validation_rule]]," ",0),
_xlfn.XLOOKUP($A188,ncr_merged[[#All],[column_name]],ncr_merged[[#All],[behaviour]]," ",0),
"from the NCR tab: ",_xlfn.XLOOKUP($A188,ncr_merged[[#All],[column_name]],ncr_merged[[#All],[source_tab]]),
" ")</f>
        <v>#N/A</v>
      </c>
      <c r="H188" s="38" t="str">
        <f>_xlfn.CONCAT(_xlfn.XLOOKUP($A188,ncr_merged[[#All],[column_name]],ncr_merged[[#All],[format]]," ",0))</f>
        <v xml:space="preserve"> </v>
      </c>
      <c r="I188" s="38" t="str">
        <f>_xlfn.CONCAT(_xlfn.XLOOKUP($A188,ncr_merged[[#All],[column_name]],ncr_merged[[#All],[permitted_values]]," ",0))</f>
        <v xml:space="preserve"> </v>
      </c>
      <c r="J188" s="44" t="str">
        <f>_xlfn.CONCAT(_xlfn.XLOOKUP($A188,ncr_merged[[#All],[column_name]],ncr_merged[[#All],[range_(min)]]," ",0))</f>
        <v xml:space="preserve"> </v>
      </c>
      <c r="K188" s="44" t="str">
        <f>_xlfn.CONCAT(_xlfn.XLOOKUP($A188,ncr_merged[[#All],[column_name]],ncr_merged[[#All],[range_(max)]]," ",0))</f>
        <v xml:space="preserve"> </v>
      </c>
      <c r="M188" s="38" t="str" cm="1">
        <f t="array" ref="M188">_xlfn.CONCAT(IFERROR(_xlfn.XLOOKUP(data_elements_bkp!A188,Table_query__5[[#All],[NCR Variable ID]],Table_query__5[[#All],[in_progress]]),""))</f>
        <v/>
      </c>
    </row>
    <row r="189" spans="1:13" x14ac:dyDescent="0.2">
      <c r="B189" s="38" t="str" cm="1">
        <f t="array" ref="B189">_xlfn.XLOOKUP($A189,ncr_merged[[#All],[column_name]],ncr_merged[[#All],[label]]," ",0)</f>
        <v xml:space="preserve"> </v>
      </c>
      <c r="E189" s="38" t="str">
        <f>_xlfn.CONCAT(_xlfn.XLOOKUP($A189,ncr_merged[[#All],[column_name]],ncr_merged[[#All],[question]]," ",0),_xlfn.XLOOKUP($A189,ncr_merged[[#All],[column_name]],ncr_merged[[#All],[supporting_definition]]," ",0))</f>
        <v xml:space="preserve">  </v>
      </c>
      <c r="F189" s="38" t="str">
        <f>_xlfn.CONCAT(_xlfn.XLOOKUP($A189,ncr_merged[[#All],[column_name]],ncr_merged[[#All],[required]]," ",0),"")</f>
        <v xml:space="preserve"> </v>
      </c>
      <c r="G189" s="38" t="e">
        <f>_xlfn.CONCAT(_xlfn.XLOOKUP($A189,ncr_merged[[#All],[column_name]],ncr_merged[[#All],[comments]]," ",0),
_xlfn.XLOOKUP($A189,ncr_merged[[#All],[column_name]],ncr_merged[[#All],[validation_rule]]," ",0),
_xlfn.XLOOKUP($A189,ncr_merged[[#All],[column_name]],ncr_merged[[#All],[behaviour]]," ",0),
"from the NCR tab: ",_xlfn.XLOOKUP($A189,ncr_merged[[#All],[column_name]],ncr_merged[[#All],[source_tab]]),
" ")</f>
        <v>#N/A</v>
      </c>
      <c r="H189" s="38" t="str">
        <f>_xlfn.CONCAT(_xlfn.XLOOKUP($A189,ncr_merged[[#All],[column_name]],ncr_merged[[#All],[format]]," ",0))</f>
        <v xml:space="preserve"> </v>
      </c>
      <c r="I189" s="38" t="str">
        <f>_xlfn.CONCAT(_xlfn.XLOOKUP($A189,ncr_merged[[#All],[column_name]],ncr_merged[[#All],[permitted_values]]," ",0))</f>
        <v xml:space="preserve"> </v>
      </c>
      <c r="J189" s="44" t="str">
        <f>_xlfn.CONCAT(_xlfn.XLOOKUP($A189,ncr_merged[[#All],[column_name]],ncr_merged[[#All],[range_(min)]]," ",0))</f>
        <v xml:space="preserve"> </v>
      </c>
      <c r="K189" s="44" t="str">
        <f>_xlfn.CONCAT(_xlfn.XLOOKUP($A189,ncr_merged[[#All],[column_name]],ncr_merged[[#All],[range_(max)]]," ",0))</f>
        <v xml:space="preserve"> </v>
      </c>
      <c r="M189" s="38" t="str" cm="1">
        <f t="array" ref="M189">_xlfn.CONCAT(IFERROR(_xlfn.XLOOKUP(data_elements_bkp!A189,Table_query__5[[#All],[NCR Variable ID]],Table_query__5[[#All],[in_progress]]),""))</f>
        <v/>
      </c>
    </row>
  </sheetData>
  <pageMargins left="0.70866141732283472" right="0.70866141732283472" top="0.74803149606299213" bottom="0.74803149606299213" header="0.31496062992125984" footer="0.31496062992125984"/>
  <pageSetup paperSize="9" scale="31" fitToHeight="3" orientation="landscape" r:id="rId1"/>
  <headerFooter>
    <oddFooter>&amp;L&amp;"Arial,Regular"&amp;Z&amp;F&amp;C&amp;"Arial,Regular"&amp;A&amp;R&amp;"Arial,Regular"&amp;10&amp;P of &amp;N</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F1F023-E477-4955-88AC-F284360EFACF}">
  <sheetPr codeName="Sheet15"/>
  <dimension ref="A4:A15"/>
  <sheetViews>
    <sheetView workbookViewId="0">
      <selection activeCell="C24" sqref="C24:F30"/>
    </sheetView>
  </sheetViews>
  <sheetFormatPr defaultRowHeight="14.25" x14ac:dyDescent="0.2"/>
  <cols>
    <col min="1" max="1" width="28.875" customWidth="1"/>
    <col min="2" max="2" width="13.375" customWidth="1"/>
  </cols>
  <sheetData>
    <row r="4" spans="1:1" x14ac:dyDescent="0.2">
      <c r="A4" t="s">
        <v>2694</v>
      </c>
    </row>
    <row r="5" spans="1:1" x14ac:dyDescent="0.2">
      <c r="A5" t="s">
        <v>2695</v>
      </c>
    </row>
    <row r="6" spans="1:1" x14ac:dyDescent="0.2">
      <c r="A6" t="s">
        <v>2696</v>
      </c>
    </row>
    <row r="7" spans="1:1" x14ac:dyDescent="0.2">
      <c r="A7" t="s">
        <v>2697</v>
      </c>
    </row>
    <row r="8" spans="1:1" x14ac:dyDescent="0.2">
      <c r="A8" t="s">
        <v>2698</v>
      </c>
    </row>
    <row r="9" spans="1:1" x14ac:dyDescent="0.2">
      <c r="A9" t="s">
        <v>2699</v>
      </c>
    </row>
    <row r="10" spans="1:1" x14ac:dyDescent="0.2">
      <c r="A10" t="s">
        <v>2700</v>
      </c>
    </row>
    <row r="11" spans="1:1" x14ac:dyDescent="0.2">
      <c r="A11" t="s">
        <v>2701</v>
      </c>
    </row>
    <row r="12" spans="1:1" x14ac:dyDescent="0.2">
      <c r="A12" t="s">
        <v>2702</v>
      </c>
    </row>
    <row r="13" spans="1:1" x14ac:dyDescent="0.2">
      <c r="A13" t="s">
        <v>2703</v>
      </c>
    </row>
    <row r="14" spans="1:1" x14ac:dyDescent="0.2">
      <c r="A14" t="s">
        <v>2704</v>
      </c>
    </row>
    <row r="15" spans="1:1" x14ac:dyDescent="0.2">
      <c r="A15" t="s">
        <v>2705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76439-1E98-49AD-8B9E-515E5D8FEE9C}">
  <sheetPr codeName="Sheet9">
    <pageSetUpPr fitToPage="1"/>
  </sheetPr>
  <dimension ref="A1:G142"/>
  <sheetViews>
    <sheetView topLeftCell="B21" workbookViewId="0">
      <selection activeCell="B21" sqref="B21"/>
    </sheetView>
  </sheetViews>
  <sheetFormatPr defaultColWidth="9" defaultRowHeight="15" x14ac:dyDescent="0.25"/>
  <cols>
    <col min="1" max="1" width="31.25" style="54" customWidth="1"/>
    <col min="2" max="2" width="50.625" style="54" customWidth="1"/>
    <col min="3" max="3" width="8.375" style="54" customWidth="1"/>
    <col min="4" max="4" width="38.5" style="54" customWidth="1"/>
    <col min="5" max="5" width="57.125" style="54" customWidth="1"/>
    <col min="6" max="16384" width="9" style="54"/>
  </cols>
  <sheetData>
    <row r="1" spans="1:7" s="65" customFormat="1" x14ac:dyDescent="0.25">
      <c r="A1" s="65" t="s">
        <v>2706</v>
      </c>
      <c r="D1" s="65" t="s">
        <v>2707</v>
      </c>
      <c r="G1" s="65" t="s">
        <v>2708</v>
      </c>
    </row>
    <row r="2" spans="1:7" s="65" customFormat="1" x14ac:dyDescent="0.25">
      <c r="A2" s="65" t="s">
        <v>2709</v>
      </c>
      <c r="B2" s="65" t="s">
        <v>2123</v>
      </c>
      <c r="D2" s="65" t="s">
        <v>2709</v>
      </c>
      <c r="E2" s="65" t="s">
        <v>2123</v>
      </c>
      <c r="G2" s="75" t="s">
        <v>2710</v>
      </c>
    </row>
    <row r="3" spans="1:7" x14ac:dyDescent="0.25">
      <c r="A3" s="54" t="s">
        <v>2711</v>
      </c>
      <c r="B3" s="55" t="s">
        <v>2712</v>
      </c>
      <c r="D3" s="54" t="s">
        <v>2711</v>
      </c>
      <c r="E3" s="55" t="s">
        <v>2712</v>
      </c>
    </row>
    <row r="4" spans="1:7" x14ac:dyDescent="0.25">
      <c r="A4" s="54" t="s">
        <v>161</v>
      </c>
      <c r="B4" s="55"/>
      <c r="D4" s="54" t="s">
        <v>2713</v>
      </c>
      <c r="E4" s="55"/>
    </row>
    <row r="5" spans="1:7" x14ac:dyDescent="0.25">
      <c r="A5" s="54" t="s">
        <v>2714</v>
      </c>
      <c r="B5" s="55"/>
      <c r="D5" s="54" t="s">
        <v>2715</v>
      </c>
      <c r="E5" s="55"/>
    </row>
    <row r="6" spans="1:7" x14ac:dyDescent="0.25">
      <c r="A6" s="54" t="s">
        <v>645</v>
      </c>
      <c r="B6" s="55"/>
      <c r="D6" s="54" t="s">
        <v>2716</v>
      </c>
      <c r="E6" s="55"/>
    </row>
    <row r="7" spans="1:7" x14ac:dyDescent="0.25">
      <c r="A7" s="54" t="s">
        <v>652</v>
      </c>
      <c r="B7" s="55"/>
      <c r="D7" s="54" t="s">
        <v>2717</v>
      </c>
      <c r="E7" s="55"/>
    </row>
    <row r="8" spans="1:7" x14ac:dyDescent="0.25">
      <c r="A8" s="54" t="s">
        <v>2718</v>
      </c>
      <c r="B8" s="55"/>
      <c r="D8" s="54" t="s">
        <v>2719</v>
      </c>
      <c r="E8" s="55"/>
    </row>
    <row r="9" spans="1:7" x14ac:dyDescent="0.25">
      <c r="A9" s="54" t="s">
        <v>2720</v>
      </c>
      <c r="B9" s="55"/>
      <c r="D9" s="54" t="s">
        <v>2721</v>
      </c>
      <c r="E9" s="55"/>
    </row>
    <row r="10" spans="1:7" x14ac:dyDescent="0.25">
      <c r="A10" s="54" t="s">
        <v>134</v>
      </c>
      <c r="B10" s="55"/>
      <c r="D10" s="54" t="s">
        <v>2721</v>
      </c>
      <c r="E10" s="55"/>
    </row>
    <row r="11" spans="1:7" x14ac:dyDescent="0.25">
      <c r="A11" s="54" t="s">
        <v>709</v>
      </c>
      <c r="B11" s="55"/>
      <c r="D11" s="54" t="s">
        <v>2722</v>
      </c>
      <c r="E11" s="55"/>
    </row>
    <row r="12" spans="1:7" x14ac:dyDescent="0.25">
      <c r="A12" s="54" t="s">
        <v>2723</v>
      </c>
      <c r="B12" s="55"/>
      <c r="D12" s="54" t="s">
        <v>2724</v>
      </c>
      <c r="E12" s="55"/>
    </row>
    <row r="13" spans="1:7" x14ac:dyDescent="0.25">
      <c r="A13" s="54" t="s">
        <v>2725</v>
      </c>
      <c r="B13" s="55"/>
      <c r="D13" s="54" t="s">
        <v>2726</v>
      </c>
      <c r="E13" s="55"/>
    </row>
    <row r="14" spans="1:7" x14ac:dyDescent="0.25">
      <c r="A14" s="54" t="s">
        <v>2727</v>
      </c>
      <c r="B14" s="55"/>
      <c r="D14" s="54" t="s">
        <v>2728</v>
      </c>
      <c r="E14" s="55"/>
    </row>
    <row r="15" spans="1:7" x14ac:dyDescent="0.25">
      <c r="A15" s="54" t="s">
        <v>2729</v>
      </c>
      <c r="B15" s="55"/>
      <c r="D15" s="54" t="s">
        <v>2730</v>
      </c>
      <c r="E15" s="55"/>
    </row>
    <row r="16" spans="1:7" x14ac:dyDescent="0.25">
      <c r="A16" s="54" t="s">
        <v>2731</v>
      </c>
      <c r="B16" s="55"/>
      <c r="D16" s="54" t="s">
        <v>2732</v>
      </c>
      <c r="E16" s="55"/>
    </row>
    <row r="17" spans="1:5" x14ac:dyDescent="0.25">
      <c r="A17" s="54" t="s">
        <v>2733</v>
      </c>
      <c r="B17" s="55"/>
      <c r="D17" s="54" t="s">
        <v>2734</v>
      </c>
      <c r="E17" s="55"/>
    </row>
    <row r="18" spans="1:5" x14ac:dyDescent="0.25">
      <c r="A18" s="54" t="s">
        <v>875</v>
      </c>
      <c r="B18" s="55"/>
      <c r="D18" s="54" t="s">
        <v>2735</v>
      </c>
      <c r="E18" s="55"/>
    </row>
    <row r="19" spans="1:5" x14ac:dyDescent="0.25">
      <c r="A19" s="54" t="s">
        <v>921</v>
      </c>
      <c r="B19" s="55"/>
      <c r="D19" s="54" t="s">
        <v>2736</v>
      </c>
      <c r="E19" s="55"/>
    </row>
    <row r="20" spans="1:5" x14ac:dyDescent="0.25">
      <c r="A20" s="54" t="s">
        <v>2737</v>
      </c>
      <c r="B20" s="55"/>
      <c r="D20" s="54" t="s">
        <v>2738</v>
      </c>
      <c r="E20" s="55"/>
    </row>
    <row r="21" spans="1:5" x14ac:dyDescent="0.25">
      <c r="A21" s="54" t="s">
        <v>2739</v>
      </c>
      <c r="B21" s="55"/>
      <c r="D21" s="54" t="s">
        <v>2740</v>
      </c>
      <c r="E21" s="55"/>
    </row>
    <row r="22" spans="1:5" x14ac:dyDescent="0.25">
      <c r="A22" s="54" t="s">
        <v>2741</v>
      </c>
      <c r="B22" s="55"/>
      <c r="D22" s="54" t="s">
        <v>2742</v>
      </c>
      <c r="E22" s="55"/>
    </row>
    <row r="23" spans="1:5" x14ac:dyDescent="0.25">
      <c r="A23" s="54" t="s">
        <v>2743</v>
      </c>
      <c r="B23" s="55"/>
      <c r="D23" s="54" t="s">
        <v>2744</v>
      </c>
      <c r="E23" s="55"/>
    </row>
    <row r="24" spans="1:5" x14ac:dyDescent="0.25">
      <c r="A24" s="54" t="s">
        <v>2745</v>
      </c>
      <c r="B24" s="55"/>
      <c r="D24" s="54" t="s">
        <v>2746</v>
      </c>
      <c r="E24" s="55"/>
    </row>
    <row r="25" spans="1:5" x14ac:dyDescent="0.25">
      <c r="A25" s="54" t="s">
        <v>2747</v>
      </c>
      <c r="B25" s="55"/>
      <c r="D25" s="54" t="s">
        <v>2748</v>
      </c>
      <c r="E25" s="55"/>
    </row>
    <row r="26" spans="1:5" x14ac:dyDescent="0.25">
      <c r="A26" s="54" t="s">
        <v>2749</v>
      </c>
      <c r="B26" s="55"/>
      <c r="D26" s="54" t="s">
        <v>2750</v>
      </c>
      <c r="E26" s="55"/>
    </row>
    <row r="27" spans="1:5" x14ac:dyDescent="0.25">
      <c r="A27" s="54" t="s">
        <v>164</v>
      </c>
      <c r="B27" s="55"/>
      <c r="D27" s="54" t="s">
        <v>2751</v>
      </c>
      <c r="E27" s="55"/>
    </row>
    <row r="28" spans="1:5" x14ac:dyDescent="0.25">
      <c r="A28" s="54" t="s">
        <v>168</v>
      </c>
      <c r="B28" s="55"/>
      <c r="D28" s="54" t="s">
        <v>2752</v>
      </c>
      <c r="E28" s="55"/>
    </row>
    <row r="29" spans="1:5" x14ac:dyDescent="0.25">
      <c r="A29" s="54" t="s">
        <v>169</v>
      </c>
      <c r="B29" s="55"/>
      <c r="D29" s="54" t="s">
        <v>2753</v>
      </c>
      <c r="E29" s="55"/>
    </row>
    <row r="30" spans="1:5" x14ac:dyDescent="0.25">
      <c r="A30" s="54" t="s">
        <v>999</v>
      </c>
      <c r="B30" s="55"/>
      <c r="D30" s="54" t="s">
        <v>2754</v>
      </c>
      <c r="E30" s="55"/>
    </row>
    <row r="31" spans="1:5" x14ac:dyDescent="0.25">
      <c r="A31" s="54" t="s">
        <v>2755</v>
      </c>
      <c r="B31" s="55"/>
      <c r="D31" s="54" t="s">
        <v>2756</v>
      </c>
      <c r="E31" s="55"/>
    </row>
    <row r="32" spans="1:5" x14ac:dyDescent="0.25">
      <c r="A32" s="54" t="s">
        <v>2757</v>
      </c>
      <c r="B32" s="55"/>
      <c r="D32" s="54" t="s">
        <v>2758</v>
      </c>
      <c r="E32" s="55"/>
    </row>
    <row r="33" spans="1:5" x14ac:dyDescent="0.25">
      <c r="A33" s="54" t="s">
        <v>2759</v>
      </c>
      <c r="B33" s="55"/>
      <c r="D33" s="54" t="s">
        <v>2760</v>
      </c>
      <c r="E33" s="55"/>
    </row>
    <row r="34" spans="1:5" x14ac:dyDescent="0.25">
      <c r="A34" s="54" t="s">
        <v>2761</v>
      </c>
      <c r="B34" s="55"/>
      <c r="D34" s="54" t="s">
        <v>2762</v>
      </c>
      <c r="E34" s="55"/>
    </row>
    <row r="35" spans="1:5" x14ac:dyDescent="0.25">
      <c r="A35" s="54" t="s">
        <v>681</v>
      </c>
      <c r="B35" s="55"/>
      <c r="D35" s="54" t="s">
        <v>2763</v>
      </c>
      <c r="E35" s="55"/>
    </row>
    <row r="36" spans="1:5" x14ac:dyDescent="0.25">
      <c r="A36" s="54" t="s">
        <v>689</v>
      </c>
      <c r="B36" s="55"/>
      <c r="D36" s="54" t="s">
        <v>2764</v>
      </c>
      <c r="E36" s="55"/>
    </row>
    <row r="37" spans="1:5" x14ac:dyDescent="0.25">
      <c r="A37" s="54" t="s">
        <v>2765</v>
      </c>
      <c r="B37" s="132" t="s">
        <v>2766</v>
      </c>
      <c r="D37" s="54" t="s">
        <v>2767</v>
      </c>
      <c r="E37" s="55"/>
    </row>
    <row r="38" spans="1:5" x14ac:dyDescent="0.25">
      <c r="A38" s="54" t="s">
        <v>2768</v>
      </c>
      <c r="B38" s="55"/>
      <c r="D38" s="54" t="s">
        <v>2769</v>
      </c>
      <c r="E38" s="55"/>
    </row>
    <row r="39" spans="1:5" x14ac:dyDescent="0.25">
      <c r="A39" s="54" t="s">
        <v>2770</v>
      </c>
      <c r="B39" s="55"/>
      <c r="D39" s="54" t="s">
        <v>2771</v>
      </c>
      <c r="E39" s="55"/>
    </row>
    <row r="40" spans="1:5" x14ac:dyDescent="0.25">
      <c r="A40" s="54" t="s">
        <v>2772</v>
      </c>
      <c r="B40" s="55"/>
      <c r="D40" s="54" t="s">
        <v>2773</v>
      </c>
      <c r="E40" s="55"/>
    </row>
    <row r="41" spans="1:5" x14ac:dyDescent="0.25">
      <c r="A41" s="54" t="s">
        <v>2774</v>
      </c>
      <c r="B41" s="132" t="s">
        <v>2775</v>
      </c>
      <c r="D41" s="54" t="s">
        <v>2776</v>
      </c>
      <c r="E41" s="55"/>
    </row>
    <row r="42" spans="1:5" x14ac:dyDescent="0.25">
      <c r="A42" s="54" t="s">
        <v>2777</v>
      </c>
      <c r="B42" s="55"/>
      <c r="D42" s="54" t="s">
        <v>472</v>
      </c>
      <c r="E42" s="132" t="s">
        <v>2778</v>
      </c>
    </row>
    <row r="43" spans="1:5" x14ac:dyDescent="0.25">
      <c r="A43" s="54" t="s">
        <v>2779</v>
      </c>
      <c r="B43" s="132" t="s">
        <v>2780</v>
      </c>
      <c r="D43" s="54" t="s">
        <v>449</v>
      </c>
      <c r="E43" s="55"/>
    </row>
    <row r="44" spans="1:5" x14ac:dyDescent="0.25">
      <c r="A44" s="54" t="s">
        <v>2781</v>
      </c>
      <c r="B44" s="55"/>
      <c r="D44" s="54" t="s">
        <v>2782</v>
      </c>
      <c r="E44" s="55"/>
    </row>
    <row r="45" spans="1:5" x14ac:dyDescent="0.25">
      <c r="A45" s="54" t="s">
        <v>2783</v>
      </c>
      <c r="B45" s="55"/>
      <c r="D45" s="54" t="s">
        <v>2784</v>
      </c>
      <c r="E45" s="55"/>
    </row>
    <row r="46" spans="1:5" x14ac:dyDescent="0.25">
      <c r="A46" s="54" t="s">
        <v>2785</v>
      </c>
      <c r="B46" s="55"/>
      <c r="D46" s="54" t="s">
        <v>2786</v>
      </c>
      <c r="E46" s="55"/>
    </row>
    <row r="47" spans="1:5" x14ac:dyDescent="0.25">
      <c r="A47" s="54" t="s">
        <v>2787</v>
      </c>
      <c r="B47" s="55"/>
      <c r="D47" s="54" t="s">
        <v>2788</v>
      </c>
      <c r="E47" s="55"/>
    </row>
    <row r="48" spans="1:5" x14ac:dyDescent="0.25">
      <c r="A48" s="54" t="s">
        <v>2789</v>
      </c>
      <c r="B48" s="55"/>
      <c r="D48" s="54" t="s">
        <v>2790</v>
      </c>
      <c r="E48" s="132" t="s">
        <v>2791</v>
      </c>
    </row>
    <row r="49" spans="1:5" x14ac:dyDescent="0.25">
      <c r="A49" s="54" t="s">
        <v>2792</v>
      </c>
      <c r="B49" s="55"/>
      <c r="D49" s="54" t="s">
        <v>2793</v>
      </c>
      <c r="E49" s="55"/>
    </row>
    <row r="50" spans="1:5" x14ac:dyDescent="0.25">
      <c r="A50" s="54" t="s">
        <v>2794</v>
      </c>
      <c r="B50" s="55"/>
      <c r="D50" s="54" t="s">
        <v>2795</v>
      </c>
      <c r="E50" s="55"/>
    </row>
    <row r="51" spans="1:5" x14ac:dyDescent="0.25">
      <c r="A51" s="54" t="s">
        <v>2796</v>
      </c>
      <c r="B51" s="55"/>
      <c r="D51" s="54" t="s">
        <v>2797</v>
      </c>
      <c r="E51" s="55"/>
    </row>
    <row r="52" spans="1:5" x14ac:dyDescent="0.25">
      <c r="A52" s="54" t="s">
        <v>2798</v>
      </c>
      <c r="B52" s="55"/>
      <c r="D52" s="54" t="s">
        <v>2799</v>
      </c>
      <c r="E52" s="55"/>
    </row>
    <row r="53" spans="1:5" x14ac:dyDescent="0.25">
      <c r="A53" s="54" t="s">
        <v>2800</v>
      </c>
      <c r="B53" s="55"/>
      <c r="D53" s="54" t="s">
        <v>2801</v>
      </c>
      <c r="E53" s="55"/>
    </row>
    <row r="54" spans="1:5" x14ac:dyDescent="0.25">
      <c r="A54" s="54" t="s">
        <v>2802</v>
      </c>
      <c r="B54" s="55"/>
      <c r="D54" s="54" t="s">
        <v>2803</v>
      </c>
      <c r="E54" s="55"/>
    </row>
    <row r="55" spans="1:5" x14ac:dyDescent="0.25">
      <c r="A55" s="54" t="s">
        <v>2804</v>
      </c>
      <c r="B55" s="55"/>
      <c r="D55" s="54" t="s">
        <v>2805</v>
      </c>
      <c r="E55" s="55"/>
    </row>
    <row r="56" spans="1:5" x14ac:dyDescent="0.25">
      <c r="A56" s="54" t="s">
        <v>2806</v>
      </c>
      <c r="B56" s="55"/>
      <c r="D56" s="54" t="s">
        <v>2807</v>
      </c>
      <c r="E56" s="55"/>
    </row>
    <row r="57" spans="1:5" x14ac:dyDescent="0.25">
      <c r="A57" s="54" t="s">
        <v>2808</v>
      </c>
      <c r="B57" s="55"/>
      <c r="D57" s="54" t="s">
        <v>2809</v>
      </c>
      <c r="E57" s="55"/>
    </row>
    <row r="58" spans="1:5" x14ac:dyDescent="0.25">
      <c r="A58" s="54" t="s">
        <v>2810</v>
      </c>
      <c r="B58" s="55"/>
      <c r="D58" s="54" t="s">
        <v>2811</v>
      </c>
      <c r="E58" s="55"/>
    </row>
    <row r="59" spans="1:5" x14ac:dyDescent="0.25">
      <c r="A59" s="54" t="s">
        <v>2812</v>
      </c>
      <c r="B59" s="55"/>
      <c r="D59" s="54" t="s">
        <v>2813</v>
      </c>
      <c r="E59" s="55"/>
    </row>
    <row r="60" spans="1:5" x14ac:dyDescent="0.25">
      <c r="A60" s="54" t="s">
        <v>2814</v>
      </c>
      <c r="B60" s="55"/>
      <c r="D60" s="54" t="s">
        <v>2815</v>
      </c>
      <c r="E60" s="55"/>
    </row>
    <row r="61" spans="1:5" x14ac:dyDescent="0.25">
      <c r="A61" s="54" t="s">
        <v>2816</v>
      </c>
      <c r="B61" s="55"/>
      <c r="D61" s="54" t="s">
        <v>2817</v>
      </c>
      <c r="E61" s="55"/>
    </row>
    <row r="62" spans="1:5" x14ac:dyDescent="0.25">
      <c r="A62" s="54" t="s">
        <v>2818</v>
      </c>
      <c r="B62" s="55"/>
      <c r="D62" s="54" t="s">
        <v>2819</v>
      </c>
      <c r="E62" s="55"/>
    </row>
    <row r="63" spans="1:5" x14ac:dyDescent="0.25">
      <c r="A63" s="54" t="s">
        <v>2820</v>
      </c>
      <c r="B63" s="55"/>
      <c r="D63" s="54" t="s">
        <v>2821</v>
      </c>
      <c r="E63" s="55"/>
    </row>
    <row r="64" spans="1:5" x14ac:dyDescent="0.25">
      <c r="A64" s="54" t="s">
        <v>2822</v>
      </c>
      <c r="B64" s="55"/>
      <c r="D64" s="54" t="s">
        <v>2823</v>
      </c>
      <c r="E64" s="55"/>
    </row>
    <row r="65" spans="1:5" x14ac:dyDescent="0.25">
      <c r="A65" s="54" t="s">
        <v>2824</v>
      </c>
      <c r="B65" s="55"/>
      <c r="D65" s="54" t="s">
        <v>2825</v>
      </c>
      <c r="E65" s="55"/>
    </row>
    <row r="66" spans="1:5" x14ac:dyDescent="0.25">
      <c r="A66" s="54" t="s">
        <v>2826</v>
      </c>
      <c r="B66" s="55"/>
      <c r="D66" s="54" t="s">
        <v>2827</v>
      </c>
      <c r="E66" s="55"/>
    </row>
    <row r="67" spans="1:5" x14ac:dyDescent="0.25">
      <c r="A67" s="54" t="s">
        <v>2828</v>
      </c>
      <c r="B67" s="55"/>
      <c r="D67" s="54" t="s">
        <v>2829</v>
      </c>
      <c r="E67" s="55"/>
    </row>
    <row r="68" spans="1:5" x14ac:dyDescent="0.25">
      <c r="A68" s="54" t="s">
        <v>2830</v>
      </c>
      <c r="B68" s="55"/>
      <c r="D68" s="54" t="s">
        <v>2831</v>
      </c>
      <c r="E68" s="132" t="s">
        <v>2832</v>
      </c>
    </row>
    <row r="69" spans="1:5" x14ac:dyDescent="0.25">
      <c r="A69" s="54" t="s">
        <v>2833</v>
      </c>
      <c r="B69" s="55"/>
      <c r="E69" s="55"/>
    </row>
    <row r="70" spans="1:5" x14ac:dyDescent="0.25">
      <c r="A70" s="54" t="s">
        <v>2834</v>
      </c>
      <c r="B70" s="55"/>
      <c r="E70" s="55"/>
    </row>
    <row r="71" spans="1:5" x14ac:dyDescent="0.25">
      <c r="A71" s="54" t="s">
        <v>2835</v>
      </c>
      <c r="B71" s="55"/>
      <c r="E71" s="55"/>
    </row>
    <row r="72" spans="1:5" x14ac:dyDescent="0.25">
      <c r="A72" s="54" t="s">
        <v>2836</v>
      </c>
      <c r="B72" s="132" t="s">
        <v>1664</v>
      </c>
      <c r="E72" s="55"/>
    </row>
    <row r="73" spans="1:5" x14ac:dyDescent="0.25">
      <c r="A73" s="54" t="s">
        <v>2837</v>
      </c>
      <c r="B73" s="55"/>
      <c r="E73" s="55"/>
    </row>
    <row r="74" spans="1:5" x14ac:dyDescent="0.25">
      <c r="A74" s="54" t="s">
        <v>2838</v>
      </c>
      <c r="B74" s="55"/>
      <c r="E74" s="55"/>
    </row>
    <row r="75" spans="1:5" x14ac:dyDescent="0.25">
      <c r="A75" s="54" t="s">
        <v>2839</v>
      </c>
      <c r="B75" s="55"/>
      <c r="E75" s="55"/>
    </row>
    <row r="76" spans="1:5" x14ac:dyDescent="0.25">
      <c r="A76" s="54" t="s">
        <v>2840</v>
      </c>
      <c r="B76" s="55"/>
      <c r="E76" s="55"/>
    </row>
    <row r="77" spans="1:5" x14ac:dyDescent="0.25">
      <c r="A77" s="54" t="s">
        <v>2841</v>
      </c>
      <c r="B77" s="132" t="s">
        <v>2842</v>
      </c>
      <c r="E77" s="55"/>
    </row>
    <row r="78" spans="1:5" x14ac:dyDescent="0.25">
      <c r="A78" s="54" t="s">
        <v>2843</v>
      </c>
      <c r="B78" s="55"/>
      <c r="E78" s="55"/>
    </row>
    <row r="79" spans="1:5" x14ac:dyDescent="0.25">
      <c r="A79" s="54" t="s">
        <v>2844</v>
      </c>
      <c r="B79" s="55"/>
      <c r="E79" s="55"/>
    </row>
    <row r="80" spans="1:5" x14ac:dyDescent="0.25">
      <c r="A80" s="54" t="s">
        <v>2746</v>
      </c>
      <c r="B80" s="55"/>
      <c r="E80" s="55"/>
    </row>
    <row r="81" spans="1:5" x14ac:dyDescent="0.25">
      <c r="A81" s="54" t="s">
        <v>2845</v>
      </c>
      <c r="B81" s="132" t="s">
        <v>2846</v>
      </c>
      <c r="E81" s="55"/>
    </row>
    <row r="82" spans="1:5" x14ac:dyDescent="0.25">
      <c r="A82" s="54" t="s">
        <v>2847</v>
      </c>
      <c r="B82" s="55"/>
      <c r="E82" s="55"/>
    </row>
    <row r="83" spans="1:5" x14ac:dyDescent="0.25">
      <c r="A83" s="54" t="s">
        <v>2848</v>
      </c>
      <c r="B83" s="55"/>
      <c r="E83" s="55"/>
    </row>
    <row r="84" spans="1:5" x14ac:dyDescent="0.25">
      <c r="A84" s="54" t="s">
        <v>2849</v>
      </c>
      <c r="B84" s="55"/>
      <c r="E84" s="55"/>
    </row>
    <row r="85" spans="1:5" x14ac:dyDescent="0.25">
      <c r="A85" s="54" t="s">
        <v>2850</v>
      </c>
      <c r="B85" s="55"/>
      <c r="E85" s="55"/>
    </row>
    <row r="86" spans="1:5" x14ac:dyDescent="0.25">
      <c r="A86" s="54" t="s">
        <v>890</v>
      </c>
      <c r="B86" s="132" t="s">
        <v>2851</v>
      </c>
      <c r="E86" s="55"/>
    </row>
    <row r="87" spans="1:5" x14ac:dyDescent="0.25">
      <c r="A87" s="54" t="s">
        <v>2852</v>
      </c>
      <c r="B87" s="132" t="s">
        <v>2853</v>
      </c>
      <c r="E87" s="55"/>
    </row>
    <row r="88" spans="1:5" x14ac:dyDescent="0.25">
      <c r="A88" s="54" t="s">
        <v>2854</v>
      </c>
      <c r="B88" s="132" t="s">
        <v>2855</v>
      </c>
      <c r="E88" s="55"/>
    </row>
    <row r="89" spans="1:5" x14ac:dyDescent="0.25">
      <c r="A89" s="54" t="s">
        <v>2856</v>
      </c>
      <c r="B89" s="55"/>
      <c r="E89" s="55"/>
    </row>
    <row r="90" spans="1:5" x14ac:dyDescent="0.25">
      <c r="A90" s="54" t="s">
        <v>2857</v>
      </c>
      <c r="B90" s="55"/>
      <c r="E90" s="55"/>
    </row>
    <row r="91" spans="1:5" x14ac:dyDescent="0.25">
      <c r="A91" s="54" t="s">
        <v>2858</v>
      </c>
      <c r="B91" s="55"/>
      <c r="E91" s="55"/>
    </row>
    <row r="92" spans="1:5" x14ac:dyDescent="0.25">
      <c r="A92" s="54" t="s">
        <v>2859</v>
      </c>
      <c r="B92" s="55"/>
      <c r="E92" s="55"/>
    </row>
    <row r="93" spans="1:5" x14ac:dyDescent="0.25">
      <c r="A93" s="54" t="s">
        <v>2860</v>
      </c>
      <c r="B93" s="55"/>
      <c r="E93" s="55"/>
    </row>
    <row r="94" spans="1:5" x14ac:dyDescent="0.25">
      <c r="A94" s="54" t="s">
        <v>2861</v>
      </c>
      <c r="B94" s="55"/>
      <c r="E94" s="55"/>
    </row>
    <row r="95" spans="1:5" x14ac:dyDescent="0.25">
      <c r="A95" s="54" t="s">
        <v>2862</v>
      </c>
      <c r="B95" s="55"/>
      <c r="E95" s="55"/>
    </row>
    <row r="96" spans="1:5" x14ac:dyDescent="0.25">
      <c r="A96" s="54" t="s">
        <v>2863</v>
      </c>
      <c r="B96" s="55"/>
      <c r="E96" s="55"/>
    </row>
    <row r="97" spans="1:5" x14ac:dyDescent="0.25">
      <c r="A97" s="54" t="s">
        <v>2864</v>
      </c>
      <c r="B97" s="55"/>
      <c r="E97" s="55"/>
    </row>
    <row r="98" spans="1:5" x14ac:dyDescent="0.25">
      <c r="A98" s="54" t="s">
        <v>1283</v>
      </c>
      <c r="B98" s="55"/>
      <c r="E98" s="55"/>
    </row>
    <row r="99" spans="1:5" x14ac:dyDescent="0.25">
      <c r="A99" s="54" t="s">
        <v>2865</v>
      </c>
      <c r="B99" s="55"/>
      <c r="E99" s="55"/>
    </row>
    <row r="100" spans="1:5" x14ac:dyDescent="0.25">
      <c r="A100" s="54" t="s">
        <v>2866</v>
      </c>
      <c r="B100" s="55"/>
      <c r="E100" s="55"/>
    </row>
    <row r="101" spans="1:5" x14ac:dyDescent="0.25">
      <c r="A101" s="54" t="s">
        <v>2867</v>
      </c>
      <c r="B101" s="55"/>
      <c r="E101" s="55"/>
    </row>
    <row r="102" spans="1:5" x14ac:dyDescent="0.25">
      <c r="A102" s="54" t="s">
        <v>301</v>
      </c>
      <c r="B102" s="55"/>
      <c r="E102" s="55"/>
    </row>
    <row r="103" spans="1:5" x14ac:dyDescent="0.25">
      <c r="A103" s="54" t="s">
        <v>2868</v>
      </c>
      <c r="B103" s="55"/>
      <c r="E103" s="55"/>
    </row>
    <row r="104" spans="1:5" x14ac:dyDescent="0.25">
      <c r="A104" s="54" t="s">
        <v>737</v>
      </c>
      <c r="B104" s="55"/>
      <c r="E104" s="55"/>
    </row>
    <row r="105" spans="1:5" x14ac:dyDescent="0.25">
      <c r="A105" s="54" t="s">
        <v>743</v>
      </c>
      <c r="B105" s="55"/>
      <c r="E105" s="55"/>
    </row>
    <row r="106" spans="1:5" x14ac:dyDescent="0.25">
      <c r="A106" s="54" t="s">
        <v>2869</v>
      </c>
      <c r="B106" s="55"/>
      <c r="E106" s="55"/>
    </row>
    <row r="107" spans="1:5" x14ac:dyDescent="0.25">
      <c r="A107" s="54" t="s">
        <v>748</v>
      </c>
      <c r="B107" s="55"/>
      <c r="E107" s="55"/>
    </row>
    <row r="108" spans="1:5" x14ac:dyDescent="0.25">
      <c r="A108" s="54" t="s">
        <v>753</v>
      </c>
      <c r="B108" s="55"/>
      <c r="E108" s="55"/>
    </row>
    <row r="109" spans="1:5" x14ac:dyDescent="0.25">
      <c r="A109" s="54" t="s">
        <v>2870</v>
      </c>
      <c r="B109" s="55"/>
      <c r="E109" s="55"/>
    </row>
    <row r="110" spans="1:5" x14ac:dyDescent="0.25">
      <c r="A110" s="54" t="s">
        <v>2871</v>
      </c>
      <c r="B110" s="55"/>
      <c r="E110" s="55"/>
    </row>
    <row r="111" spans="1:5" x14ac:dyDescent="0.25">
      <c r="A111" s="54" t="s">
        <v>2872</v>
      </c>
      <c r="B111" s="55"/>
      <c r="E111" s="55"/>
    </row>
    <row r="112" spans="1:5" x14ac:dyDescent="0.25">
      <c r="A112" s="54" t="s">
        <v>2873</v>
      </c>
      <c r="B112" s="55"/>
      <c r="E112" s="55"/>
    </row>
    <row r="113" spans="1:5" x14ac:dyDescent="0.25">
      <c r="A113" s="54" t="s">
        <v>2874</v>
      </c>
      <c r="B113" s="55"/>
      <c r="E113" s="55"/>
    </row>
    <row r="114" spans="1:5" x14ac:dyDescent="0.25">
      <c r="A114" s="54" t="s">
        <v>2875</v>
      </c>
      <c r="B114" s="55"/>
      <c r="E114" s="55"/>
    </row>
    <row r="115" spans="1:5" x14ac:dyDescent="0.25">
      <c r="A115" s="54" t="s">
        <v>2876</v>
      </c>
      <c r="B115" s="55"/>
      <c r="E115" s="55"/>
    </row>
    <row r="116" spans="1:5" x14ac:dyDescent="0.25">
      <c r="A116" s="54" t="s">
        <v>162</v>
      </c>
      <c r="B116" s="55"/>
      <c r="E116" s="55"/>
    </row>
    <row r="117" spans="1:5" x14ac:dyDescent="0.25">
      <c r="A117" s="54" t="s">
        <v>163</v>
      </c>
      <c r="B117" s="55"/>
      <c r="E117" s="55"/>
    </row>
    <row r="118" spans="1:5" x14ac:dyDescent="0.25">
      <c r="A118" s="54" t="s">
        <v>165</v>
      </c>
      <c r="B118" s="55"/>
      <c r="E118" s="55"/>
    </row>
    <row r="119" spans="1:5" x14ac:dyDescent="0.25">
      <c r="A119" s="54" t="s">
        <v>145</v>
      </c>
      <c r="B119" s="55"/>
      <c r="E119" s="55"/>
    </row>
    <row r="120" spans="1:5" x14ac:dyDescent="0.25">
      <c r="A120" s="54" t="s">
        <v>2877</v>
      </c>
      <c r="B120" s="55"/>
      <c r="E120" s="55"/>
    </row>
    <row r="121" spans="1:5" x14ac:dyDescent="0.25">
      <c r="A121" s="54" t="s">
        <v>2878</v>
      </c>
      <c r="B121" s="55"/>
      <c r="E121" s="55"/>
    </row>
    <row r="122" spans="1:5" x14ac:dyDescent="0.25">
      <c r="A122" s="54" t="s">
        <v>2879</v>
      </c>
      <c r="B122" s="132" t="s">
        <v>2880</v>
      </c>
      <c r="E122" s="55"/>
    </row>
    <row r="123" spans="1:5" x14ac:dyDescent="0.25">
      <c r="A123" s="54" t="s">
        <v>2881</v>
      </c>
      <c r="B123" s="55"/>
      <c r="E123" s="55"/>
    </row>
    <row r="124" spans="1:5" x14ac:dyDescent="0.25">
      <c r="A124" s="54" t="s">
        <v>149</v>
      </c>
      <c r="B124" s="55"/>
      <c r="E124" s="55"/>
    </row>
    <row r="125" spans="1:5" x14ac:dyDescent="0.25">
      <c r="A125" s="54" t="s">
        <v>821</v>
      </c>
      <c r="B125" s="132" t="s">
        <v>2882</v>
      </c>
      <c r="E125" s="55"/>
    </row>
    <row r="126" spans="1:5" x14ac:dyDescent="0.25">
      <c r="A126" s="54" t="s">
        <v>2883</v>
      </c>
      <c r="B126" s="132" t="s">
        <v>2884</v>
      </c>
      <c r="E126" s="55"/>
    </row>
    <row r="127" spans="1:5" x14ac:dyDescent="0.25">
      <c r="A127" s="54" t="s">
        <v>2885</v>
      </c>
      <c r="B127" s="132" t="s">
        <v>2884</v>
      </c>
      <c r="E127" s="55"/>
    </row>
    <row r="128" spans="1:5" x14ac:dyDescent="0.25">
      <c r="A128" s="54" t="s">
        <v>2886</v>
      </c>
      <c r="B128" s="132" t="s">
        <v>2887</v>
      </c>
      <c r="E128" s="55"/>
    </row>
    <row r="129" spans="1:5" x14ac:dyDescent="0.25">
      <c r="A129" s="54" t="s">
        <v>2888</v>
      </c>
      <c r="B129" s="132" t="s">
        <v>2889</v>
      </c>
      <c r="E129" s="55"/>
    </row>
    <row r="130" spans="1:5" x14ac:dyDescent="0.25">
      <c r="A130" s="54" t="s">
        <v>2890</v>
      </c>
      <c r="B130" s="55"/>
      <c r="E130" s="55"/>
    </row>
    <row r="131" spans="1:5" x14ac:dyDescent="0.25">
      <c r="A131" s="54" t="s">
        <v>2891</v>
      </c>
      <c r="B131" s="55"/>
      <c r="E131" s="55"/>
    </row>
    <row r="132" spans="1:5" x14ac:dyDescent="0.25">
      <c r="A132" s="54" t="s">
        <v>2892</v>
      </c>
      <c r="B132" s="55"/>
      <c r="E132" s="55"/>
    </row>
    <row r="133" spans="1:5" x14ac:dyDescent="0.25">
      <c r="A133" s="54" t="s">
        <v>2893</v>
      </c>
      <c r="B133" s="55"/>
      <c r="E133" s="55"/>
    </row>
    <row r="134" spans="1:5" x14ac:dyDescent="0.25">
      <c r="A134" s="54" t="s">
        <v>2894</v>
      </c>
      <c r="B134" s="55"/>
      <c r="E134" s="55"/>
    </row>
    <row r="135" spans="1:5" x14ac:dyDescent="0.25">
      <c r="A135" s="54" t="s">
        <v>2895</v>
      </c>
      <c r="B135" s="55"/>
      <c r="E135" s="55"/>
    </row>
    <row r="136" spans="1:5" x14ac:dyDescent="0.25">
      <c r="A136" s="54" t="s">
        <v>2896</v>
      </c>
      <c r="B136" s="55"/>
      <c r="E136" s="55"/>
    </row>
    <row r="137" spans="1:5" x14ac:dyDescent="0.25">
      <c r="A137" s="54" t="s">
        <v>2897</v>
      </c>
      <c r="B137" s="55"/>
      <c r="E137" s="55"/>
    </row>
    <row r="138" spans="1:5" x14ac:dyDescent="0.25">
      <c r="A138" s="54" t="s">
        <v>2898</v>
      </c>
      <c r="B138" s="55"/>
      <c r="E138" s="55"/>
    </row>
    <row r="139" spans="1:5" x14ac:dyDescent="0.25">
      <c r="A139" s="54" t="s">
        <v>2899</v>
      </c>
      <c r="B139" s="55"/>
      <c r="E139" s="55"/>
    </row>
    <row r="140" spans="1:5" x14ac:dyDescent="0.25">
      <c r="A140" s="54" t="s">
        <v>2900</v>
      </c>
      <c r="B140" s="55"/>
      <c r="E140" s="55"/>
    </row>
    <row r="141" spans="1:5" x14ac:dyDescent="0.25">
      <c r="A141" s="54" t="s">
        <v>2901</v>
      </c>
      <c r="B141" s="55"/>
      <c r="E141" s="55"/>
    </row>
    <row r="142" spans="1:5" x14ac:dyDescent="0.25">
      <c r="A142" s="54" t="s">
        <v>2902</v>
      </c>
      <c r="B142" s="55"/>
      <c r="E142" s="55"/>
    </row>
  </sheetData>
  <hyperlinks>
    <hyperlink ref="G2" r:id="rId1" xr:uid="{B7F52AE7-CFE3-4F25-A315-941401718AD8}"/>
  </hyperlinks>
  <pageMargins left="0.70866141732283472" right="0.70866141732283472" top="0.74803149606299213" bottom="0.74803149606299213" header="0.31496062992125984" footer="0.31496062992125984"/>
  <pageSetup paperSize="8" scale="52"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B33B1-1CD0-4564-A6DB-19F8C3B47141}">
  <sheetPr codeName="Sheet18"/>
  <dimension ref="A1:AN44"/>
  <sheetViews>
    <sheetView topLeftCell="A13" workbookViewId="0">
      <selection activeCell="D13" sqref="D13"/>
    </sheetView>
  </sheetViews>
  <sheetFormatPr defaultRowHeight="14.25" x14ac:dyDescent="0.2"/>
  <cols>
    <col min="1" max="1" width="9.25" customWidth="1"/>
    <col min="2" max="2" width="36" customWidth="1"/>
    <col min="3" max="3" width="10.5" customWidth="1"/>
    <col min="4" max="4" width="45.375" customWidth="1"/>
    <col min="5" max="5" width="38.625" customWidth="1"/>
    <col min="6" max="6" width="15.625" customWidth="1"/>
    <col min="8" max="8" width="18.125" customWidth="1"/>
    <col min="9" max="9" width="13.25" customWidth="1"/>
    <col min="10" max="10" width="13.625" customWidth="1"/>
    <col min="11" max="11" width="20.125" customWidth="1"/>
    <col min="12" max="12" width="15.5" customWidth="1"/>
    <col min="13" max="13" width="27.75" customWidth="1"/>
    <col min="14" max="14" width="23.375" customWidth="1"/>
    <col min="15" max="15" width="14.25" customWidth="1"/>
    <col min="16" max="16" width="12.375" customWidth="1"/>
    <col min="17" max="17" width="20.75" customWidth="1"/>
    <col min="18" max="18" width="23.5" customWidth="1"/>
    <col min="19" max="19" width="22.5" customWidth="1"/>
    <col min="22" max="22" width="17.5" customWidth="1"/>
    <col min="23" max="23" width="16.875" customWidth="1"/>
    <col min="24" max="24" width="9.875" customWidth="1"/>
    <col min="25" max="25" width="15.875" customWidth="1"/>
    <col min="27" max="27" width="14.625" customWidth="1"/>
    <col min="28" max="28" width="25.375" customWidth="1"/>
    <col min="29" max="29" width="18.75" customWidth="1"/>
    <col min="30" max="30" width="15.75" customWidth="1"/>
    <col min="31" max="31" width="9.5" customWidth="1"/>
    <col min="32" max="32" width="20.25" customWidth="1"/>
    <col min="34" max="34" width="16.25" customWidth="1"/>
    <col min="35" max="35" width="13.875" customWidth="1"/>
    <col min="36" max="36" width="16.125" customWidth="1"/>
    <col min="37" max="37" width="10.375" customWidth="1"/>
    <col min="38" max="38" width="22.125" customWidth="1"/>
    <col min="39" max="39" width="25.25" customWidth="1"/>
    <col min="40" max="40" width="48.625" customWidth="1"/>
  </cols>
  <sheetData>
    <row r="1" spans="1:40" x14ac:dyDescent="0.2">
      <c r="A1" t="s">
        <v>265</v>
      </c>
      <c r="B1" t="s">
        <v>266</v>
      </c>
      <c r="C1" t="s">
        <v>1406</v>
      </c>
      <c r="D1" t="s">
        <v>1407</v>
      </c>
      <c r="E1" t="s">
        <v>1408</v>
      </c>
      <c r="F1" t="s">
        <v>1409</v>
      </c>
      <c r="G1" t="s">
        <v>1410</v>
      </c>
      <c r="H1" t="s">
        <v>1411</v>
      </c>
      <c r="I1" t="s">
        <v>1412</v>
      </c>
      <c r="J1" t="s">
        <v>1413</v>
      </c>
      <c r="K1" t="s">
        <v>1414</v>
      </c>
      <c r="L1" t="s">
        <v>1415</v>
      </c>
      <c r="M1" t="s">
        <v>1416</v>
      </c>
      <c r="N1" t="s">
        <v>1417</v>
      </c>
      <c r="O1" t="s">
        <v>263</v>
      </c>
      <c r="P1" t="s">
        <v>1418</v>
      </c>
      <c r="Q1" t="s">
        <v>1419</v>
      </c>
      <c r="R1" t="s">
        <v>549</v>
      </c>
      <c r="S1" t="s">
        <v>551</v>
      </c>
      <c r="T1" t="s">
        <v>554</v>
      </c>
      <c r="U1" t="s">
        <v>167</v>
      </c>
      <c r="V1" t="s">
        <v>556</v>
      </c>
      <c r="W1" t="s">
        <v>1420</v>
      </c>
      <c r="X1" t="s">
        <v>559</v>
      </c>
      <c r="Y1" t="s">
        <v>1421</v>
      </c>
      <c r="Z1" t="s">
        <v>142</v>
      </c>
      <c r="AA1" t="s">
        <v>564</v>
      </c>
      <c r="AB1" t="s">
        <v>1423</v>
      </c>
      <c r="AC1" t="s">
        <v>1424</v>
      </c>
      <c r="AD1" t="s">
        <v>1425</v>
      </c>
      <c r="AE1" t="s">
        <v>267</v>
      </c>
      <c r="AF1" t="s">
        <v>1426</v>
      </c>
      <c r="AG1" t="s">
        <v>1427</v>
      </c>
      <c r="AH1" t="s">
        <v>1428</v>
      </c>
      <c r="AI1" t="s">
        <v>1429</v>
      </c>
      <c r="AJ1" t="s">
        <v>1430</v>
      </c>
      <c r="AK1" t="s">
        <v>1431</v>
      </c>
      <c r="AL1" t="s">
        <v>261</v>
      </c>
      <c r="AM1" t="s">
        <v>1432</v>
      </c>
      <c r="AN1" t="s">
        <v>1434</v>
      </c>
    </row>
    <row r="2" spans="1:40" ht="128.25" x14ac:dyDescent="0.2">
      <c r="A2" t="s">
        <v>516</v>
      </c>
      <c r="B2" t="s">
        <v>512</v>
      </c>
      <c r="C2" t="s">
        <v>1437</v>
      </c>
      <c r="E2" t="s">
        <v>1514</v>
      </c>
      <c r="F2" s="36" t="s">
        <v>2064</v>
      </c>
      <c r="G2" t="s">
        <v>1440</v>
      </c>
      <c r="H2" s="36" t="s">
        <v>1529</v>
      </c>
      <c r="I2" t="s">
        <v>1530</v>
      </c>
      <c r="J2" t="s">
        <v>629</v>
      </c>
      <c r="M2" t="s">
        <v>1514</v>
      </c>
      <c r="O2" t="s">
        <v>1514</v>
      </c>
      <c r="Q2" t="s">
        <v>549</v>
      </c>
      <c r="R2" t="s">
        <v>549</v>
      </c>
      <c r="AE2">
        <v>3</v>
      </c>
      <c r="AG2">
        <v>0</v>
      </c>
      <c r="AL2" t="s">
        <v>1437</v>
      </c>
    </row>
    <row r="3" spans="1:40" x14ac:dyDescent="0.2">
      <c r="A3" t="s">
        <v>330</v>
      </c>
      <c r="B3" t="s">
        <v>331</v>
      </c>
      <c r="C3" t="s">
        <v>1437</v>
      </c>
      <c r="D3" t="s">
        <v>1685</v>
      </c>
      <c r="E3" t="s">
        <v>1514</v>
      </c>
      <c r="F3" t="s">
        <v>1546</v>
      </c>
      <c r="G3" t="s">
        <v>1514</v>
      </c>
      <c r="H3" t="s">
        <v>1514</v>
      </c>
      <c r="I3" t="s">
        <v>1514</v>
      </c>
      <c r="J3" t="s">
        <v>1514</v>
      </c>
      <c r="L3" t="s">
        <v>1686</v>
      </c>
      <c r="M3" t="s">
        <v>1687</v>
      </c>
      <c r="N3" t="s">
        <v>1688</v>
      </c>
      <c r="O3" t="s">
        <v>2338</v>
      </c>
      <c r="Q3" t="s">
        <v>1689</v>
      </c>
      <c r="AE3">
        <v>1</v>
      </c>
      <c r="AG3" t="s">
        <v>1585</v>
      </c>
      <c r="AI3">
        <v>1</v>
      </c>
      <c r="AL3" t="s">
        <v>1437</v>
      </c>
    </row>
    <row r="4" spans="1:40" ht="128.25" x14ac:dyDescent="0.2">
      <c r="A4" t="s">
        <v>533</v>
      </c>
      <c r="B4" t="s">
        <v>529</v>
      </c>
      <c r="C4" t="s">
        <v>1437</v>
      </c>
      <c r="E4" t="s">
        <v>1514</v>
      </c>
      <c r="F4" s="36" t="s">
        <v>2110</v>
      </c>
      <c r="G4" t="s">
        <v>1440</v>
      </c>
      <c r="H4" s="36" t="s">
        <v>1529</v>
      </c>
      <c r="I4" t="s">
        <v>1530</v>
      </c>
      <c r="J4" t="s">
        <v>629</v>
      </c>
      <c r="M4" t="s">
        <v>1514</v>
      </c>
      <c r="O4" t="s">
        <v>1514</v>
      </c>
      <c r="Q4" t="s">
        <v>549</v>
      </c>
      <c r="R4" t="s">
        <v>549</v>
      </c>
      <c r="AE4">
        <v>3</v>
      </c>
      <c r="AG4" t="s">
        <v>1532</v>
      </c>
      <c r="AL4" t="s">
        <v>1437</v>
      </c>
    </row>
    <row r="5" spans="1:40" ht="128.25" x14ac:dyDescent="0.2">
      <c r="A5" t="s">
        <v>515</v>
      </c>
      <c r="B5" t="s">
        <v>512</v>
      </c>
      <c r="C5" t="s">
        <v>1437</v>
      </c>
      <c r="E5" t="s">
        <v>1514</v>
      </c>
      <c r="F5" s="36" t="s">
        <v>2063</v>
      </c>
      <c r="G5" t="s">
        <v>1440</v>
      </c>
      <c r="H5" s="36" t="s">
        <v>1529</v>
      </c>
      <c r="I5" t="s">
        <v>1530</v>
      </c>
      <c r="J5" t="s">
        <v>629</v>
      </c>
      <c r="M5" t="s">
        <v>1514</v>
      </c>
      <c r="O5" t="s">
        <v>1514</v>
      </c>
      <c r="Q5" t="s">
        <v>549</v>
      </c>
      <c r="R5" t="s">
        <v>549</v>
      </c>
      <c r="AE5">
        <v>3</v>
      </c>
      <c r="AG5" t="s">
        <v>1585</v>
      </c>
      <c r="AL5" t="s">
        <v>1437</v>
      </c>
    </row>
    <row r="6" spans="1:40" ht="128.25" x14ac:dyDescent="0.2">
      <c r="A6" t="s">
        <v>514</v>
      </c>
      <c r="B6" t="s">
        <v>512</v>
      </c>
      <c r="C6" t="s">
        <v>1437</v>
      </c>
      <c r="E6" t="s">
        <v>1514</v>
      </c>
      <c r="F6" s="36" t="s">
        <v>2055</v>
      </c>
      <c r="G6" t="s">
        <v>1440</v>
      </c>
      <c r="H6" s="36" t="s">
        <v>1529</v>
      </c>
      <c r="I6" t="s">
        <v>1530</v>
      </c>
      <c r="J6" t="s">
        <v>629</v>
      </c>
      <c r="M6" t="s">
        <v>1514</v>
      </c>
      <c r="O6" t="s">
        <v>1514</v>
      </c>
      <c r="Q6" t="s">
        <v>549</v>
      </c>
      <c r="R6" t="s">
        <v>549</v>
      </c>
      <c r="AE6">
        <v>3</v>
      </c>
      <c r="AG6">
        <v>0</v>
      </c>
      <c r="AL6" t="s">
        <v>1437</v>
      </c>
    </row>
    <row r="7" spans="1:40" ht="128.25" x14ac:dyDescent="0.2">
      <c r="A7" t="s">
        <v>531</v>
      </c>
      <c r="B7" t="s">
        <v>529</v>
      </c>
      <c r="C7" t="s">
        <v>1437</v>
      </c>
      <c r="E7" t="s">
        <v>1514</v>
      </c>
      <c r="F7" s="36" t="s">
        <v>2108</v>
      </c>
      <c r="G7" t="s">
        <v>1440</v>
      </c>
      <c r="H7" s="36" t="s">
        <v>1529</v>
      </c>
      <c r="I7" t="s">
        <v>1530</v>
      </c>
      <c r="J7" t="s">
        <v>629</v>
      </c>
      <c r="M7" t="s">
        <v>1514</v>
      </c>
      <c r="O7" t="s">
        <v>1514</v>
      </c>
      <c r="Q7" t="s">
        <v>549</v>
      </c>
      <c r="R7" t="s">
        <v>549</v>
      </c>
      <c r="AE7">
        <v>3</v>
      </c>
      <c r="AG7" t="s">
        <v>1532</v>
      </c>
      <c r="AL7" t="s">
        <v>1437</v>
      </c>
    </row>
    <row r="8" spans="1:40" ht="128.25" x14ac:dyDescent="0.2">
      <c r="A8" t="s">
        <v>513</v>
      </c>
      <c r="B8" t="s">
        <v>512</v>
      </c>
      <c r="C8" t="s">
        <v>1437</v>
      </c>
      <c r="E8" t="s">
        <v>1514</v>
      </c>
      <c r="F8" s="36" t="s">
        <v>2054</v>
      </c>
      <c r="G8" t="s">
        <v>1440</v>
      </c>
      <c r="H8" s="36" t="s">
        <v>1529</v>
      </c>
      <c r="I8" t="s">
        <v>1530</v>
      </c>
      <c r="J8" t="s">
        <v>629</v>
      </c>
      <c r="M8" t="s">
        <v>1514</v>
      </c>
      <c r="O8" t="s">
        <v>1514</v>
      </c>
      <c r="Q8" t="s">
        <v>549</v>
      </c>
      <c r="R8" t="s">
        <v>549</v>
      </c>
      <c r="AE8">
        <v>3</v>
      </c>
      <c r="AG8" t="s">
        <v>1859</v>
      </c>
      <c r="AL8" t="s">
        <v>1437</v>
      </c>
    </row>
    <row r="9" spans="1:40" ht="128.25" x14ac:dyDescent="0.2">
      <c r="A9" t="s">
        <v>530</v>
      </c>
      <c r="B9" t="s">
        <v>529</v>
      </c>
      <c r="C9" t="s">
        <v>1437</v>
      </c>
      <c r="E9" t="s">
        <v>1514</v>
      </c>
      <c r="F9" s="36" t="s">
        <v>2107</v>
      </c>
      <c r="G9" t="s">
        <v>1440</v>
      </c>
      <c r="H9" s="36" t="s">
        <v>1529</v>
      </c>
      <c r="I9" t="s">
        <v>1530</v>
      </c>
      <c r="J9" t="s">
        <v>629</v>
      </c>
      <c r="M9" t="s">
        <v>1514</v>
      </c>
      <c r="O9" t="s">
        <v>1514</v>
      </c>
      <c r="Q9" t="s">
        <v>549</v>
      </c>
      <c r="R9" t="s">
        <v>549</v>
      </c>
      <c r="AE9">
        <v>3</v>
      </c>
      <c r="AG9" t="s">
        <v>1532</v>
      </c>
      <c r="AL9" t="s">
        <v>1437</v>
      </c>
    </row>
    <row r="10" spans="1:40" ht="270.75" x14ac:dyDescent="0.2">
      <c r="A10" t="s">
        <v>256</v>
      </c>
      <c r="B10" t="s">
        <v>512</v>
      </c>
      <c r="C10" t="s">
        <v>1437</v>
      </c>
      <c r="E10" s="36" t="s">
        <v>2028</v>
      </c>
      <c r="F10" s="36" t="s">
        <v>2029</v>
      </c>
      <c r="G10" t="s">
        <v>1440</v>
      </c>
      <c r="H10" s="36" t="s">
        <v>1529</v>
      </c>
      <c r="I10" t="s">
        <v>1530</v>
      </c>
      <c r="J10" t="s">
        <v>629</v>
      </c>
      <c r="M10" t="s">
        <v>2030</v>
      </c>
      <c r="O10" t="s">
        <v>2619</v>
      </c>
      <c r="Q10" t="s">
        <v>549</v>
      </c>
      <c r="R10" t="s">
        <v>549</v>
      </c>
      <c r="AE10">
        <v>3</v>
      </c>
      <c r="AG10" t="s">
        <v>1532</v>
      </c>
      <c r="AL10" t="s">
        <v>1437</v>
      </c>
    </row>
    <row r="11" spans="1:40" ht="228" x14ac:dyDescent="0.2">
      <c r="A11" t="s">
        <v>258</v>
      </c>
      <c r="B11" t="s">
        <v>529</v>
      </c>
      <c r="C11" t="s">
        <v>1437</v>
      </c>
      <c r="E11" s="36" t="s">
        <v>2103</v>
      </c>
      <c r="F11" s="36" t="s">
        <v>2104</v>
      </c>
      <c r="G11" t="s">
        <v>1440</v>
      </c>
      <c r="H11" s="36" t="s">
        <v>1846</v>
      </c>
      <c r="I11" t="s">
        <v>1530</v>
      </c>
      <c r="J11" t="s">
        <v>629</v>
      </c>
      <c r="M11" t="s">
        <v>2105</v>
      </c>
      <c r="O11" t="s">
        <v>2616</v>
      </c>
      <c r="Q11" t="s">
        <v>549</v>
      </c>
      <c r="R11" t="s">
        <v>549</v>
      </c>
      <c r="AE11">
        <v>3</v>
      </c>
      <c r="AG11" t="s">
        <v>1532</v>
      </c>
      <c r="AL11" t="s">
        <v>1437</v>
      </c>
    </row>
    <row r="12" spans="1:40" ht="409.5" x14ac:dyDescent="0.2">
      <c r="A12" t="s">
        <v>423</v>
      </c>
      <c r="B12" t="s">
        <v>424</v>
      </c>
      <c r="C12" t="s">
        <v>1437</v>
      </c>
      <c r="E12" s="36" t="s">
        <v>1854</v>
      </c>
      <c r="F12" s="36" t="s">
        <v>1855</v>
      </c>
      <c r="G12" t="s">
        <v>1440</v>
      </c>
      <c r="H12" s="36" t="s">
        <v>1856</v>
      </c>
      <c r="I12" t="s">
        <v>629</v>
      </c>
      <c r="J12" t="s">
        <v>637</v>
      </c>
      <c r="M12" s="36" t="s">
        <v>1857</v>
      </c>
      <c r="O12" t="s">
        <v>1858</v>
      </c>
      <c r="Q12" t="s">
        <v>561</v>
      </c>
      <c r="Y12" t="s">
        <v>561</v>
      </c>
      <c r="AE12" t="s">
        <v>274</v>
      </c>
      <c r="AG12" t="s">
        <v>1859</v>
      </c>
      <c r="AI12">
        <v>1</v>
      </c>
      <c r="AL12" t="s">
        <v>1437</v>
      </c>
    </row>
    <row r="13" spans="1:40" ht="409.5" x14ac:dyDescent="0.2">
      <c r="A13" t="s">
        <v>373</v>
      </c>
      <c r="B13" t="s">
        <v>374</v>
      </c>
      <c r="C13" t="s">
        <v>1437</v>
      </c>
      <c r="E13" s="36" t="s">
        <v>1770</v>
      </c>
      <c r="F13" t="s">
        <v>1753</v>
      </c>
      <c r="G13" t="s">
        <v>1514</v>
      </c>
      <c r="H13" s="36" t="s">
        <v>1771</v>
      </c>
      <c r="I13" t="s">
        <v>1442</v>
      </c>
      <c r="J13" t="s">
        <v>642</v>
      </c>
      <c r="M13" s="36" t="s">
        <v>1772</v>
      </c>
      <c r="O13" t="s">
        <v>1445</v>
      </c>
      <c r="Q13" t="s">
        <v>2903</v>
      </c>
      <c r="R13" t="s">
        <v>549</v>
      </c>
      <c r="T13" t="s">
        <v>554</v>
      </c>
      <c r="AE13" t="s">
        <v>274</v>
      </c>
      <c r="AG13" t="s">
        <v>1585</v>
      </c>
      <c r="AI13">
        <v>1</v>
      </c>
      <c r="AL13" t="s">
        <v>1437</v>
      </c>
    </row>
    <row r="14" spans="1:40" ht="409.5" x14ac:dyDescent="0.2">
      <c r="A14" t="s">
        <v>224</v>
      </c>
      <c r="B14" t="s">
        <v>363</v>
      </c>
      <c r="C14" t="s">
        <v>1437</v>
      </c>
      <c r="E14" s="36" t="s">
        <v>1742</v>
      </c>
      <c r="F14" s="36" t="s">
        <v>1743</v>
      </c>
      <c r="G14" t="s">
        <v>1440</v>
      </c>
      <c r="H14" s="36" t="s">
        <v>1744</v>
      </c>
      <c r="I14" t="s">
        <v>1442</v>
      </c>
      <c r="J14" t="s">
        <v>666</v>
      </c>
      <c r="M14" s="36" t="s">
        <v>1745</v>
      </c>
      <c r="O14" t="s">
        <v>1445</v>
      </c>
      <c r="Q14" t="s">
        <v>554</v>
      </c>
      <c r="T14" t="s">
        <v>554</v>
      </c>
      <c r="AE14">
        <v>3</v>
      </c>
      <c r="AG14" t="s">
        <v>1746</v>
      </c>
      <c r="AL14" t="s">
        <v>1437</v>
      </c>
    </row>
    <row r="15" spans="1:40" ht="228" x14ac:dyDescent="0.2">
      <c r="A15" t="s">
        <v>231</v>
      </c>
      <c r="B15" t="s">
        <v>378</v>
      </c>
      <c r="C15" t="s">
        <v>1437</v>
      </c>
      <c r="E15" s="36" t="s">
        <v>1787</v>
      </c>
      <c r="F15" s="36" t="s">
        <v>1788</v>
      </c>
      <c r="G15" t="s">
        <v>1440</v>
      </c>
      <c r="H15" s="36" t="s">
        <v>1463</v>
      </c>
      <c r="I15" t="s">
        <v>1442</v>
      </c>
      <c r="J15" t="s">
        <v>629</v>
      </c>
      <c r="M15" s="36" t="s">
        <v>1789</v>
      </c>
      <c r="N15" t="s">
        <v>1437</v>
      </c>
      <c r="O15" t="s">
        <v>1790</v>
      </c>
      <c r="Q15" t="s">
        <v>549</v>
      </c>
      <c r="R15" t="s">
        <v>549</v>
      </c>
      <c r="AE15">
        <v>3</v>
      </c>
      <c r="AG15" t="s">
        <v>1532</v>
      </c>
      <c r="AL15" t="s">
        <v>1437</v>
      </c>
    </row>
    <row r="16" spans="1:40" ht="242.25" x14ac:dyDescent="0.2">
      <c r="A16" t="s">
        <v>435</v>
      </c>
      <c r="B16" t="s">
        <v>436</v>
      </c>
      <c r="C16" t="s">
        <v>1437</v>
      </c>
      <c r="E16" s="36" t="s">
        <v>1872</v>
      </c>
      <c r="F16" s="36" t="s">
        <v>1873</v>
      </c>
      <c r="G16" t="s">
        <v>1440</v>
      </c>
      <c r="H16" s="36" t="s">
        <v>1778</v>
      </c>
      <c r="I16" t="s">
        <v>1530</v>
      </c>
      <c r="J16" t="s">
        <v>637</v>
      </c>
      <c r="M16" s="36" t="s">
        <v>1874</v>
      </c>
      <c r="O16" t="s">
        <v>1875</v>
      </c>
      <c r="Q16" t="s">
        <v>554</v>
      </c>
      <c r="T16" t="s">
        <v>554</v>
      </c>
      <c r="AE16" t="s">
        <v>272</v>
      </c>
      <c r="AG16" t="s">
        <v>1532</v>
      </c>
      <c r="AI16">
        <v>1</v>
      </c>
      <c r="AL16" t="s">
        <v>1437</v>
      </c>
    </row>
    <row r="17" spans="1:39" ht="409.5" x14ac:dyDescent="0.2">
      <c r="A17" t="s">
        <v>433</v>
      </c>
      <c r="B17" t="s">
        <v>434</v>
      </c>
      <c r="C17" t="s">
        <v>1437</v>
      </c>
      <c r="E17" s="36" t="s">
        <v>1869</v>
      </c>
      <c r="F17" s="36" t="s">
        <v>1870</v>
      </c>
      <c r="G17" t="s">
        <v>1440</v>
      </c>
      <c r="H17" s="36" t="s">
        <v>1846</v>
      </c>
      <c r="I17" t="s">
        <v>1530</v>
      </c>
      <c r="J17" t="s">
        <v>629</v>
      </c>
      <c r="M17" s="36" t="s">
        <v>1871</v>
      </c>
      <c r="O17" t="s">
        <v>1848</v>
      </c>
      <c r="Q17" t="s">
        <v>554</v>
      </c>
      <c r="T17" t="s">
        <v>554</v>
      </c>
      <c r="AE17" t="s">
        <v>272</v>
      </c>
      <c r="AG17" t="s">
        <v>1532</v>
      </c>
      <c r="AI17">
        <v>1</v>
      </c>
      <c r="AL17" t="s">
        <v>1437</v>
      </c>
    </row>
    <row r="18" spans="1:39" ht="156.75" x14ac:dyDescent="0.2">
      <c r="A18" t="s">
        <v>113</v>
      </c>
      <c r="B18" t="s">
        <v>319</v>
      </c>
      <c r="C18" t="s">
        <v>1437</v>
      </c>
      <c r="E18" s="36" t="s">
        <v>1649</v>
      </c>
      <c r="F18" s="36" t="s">
        <v>1650</v>
      </c>
      <c r="G18" t="s">
        <v>1440</v>
      </c>
      <c r="H18" s="36" t="s">
        <v>2572</v>
      </c>
      <c r="I18" t="s">
        <v>1442</v>
      </c>
      <c r="J18" t="s">
        <v>642</v>
      </c>
      <c r="M18" s="36" t="s">
        <v>1651</v>
      </c>
      <c r="O18" t="s">
        <v>1553</v>
      </c>
      <c r="Q18" t="s">
        <v>142</v>
      </c>
      <c r="Z18" t="s">
        <v>142</v>
      </c>
      <c r="AE18" t="s">
        <v>272</v>
      </c>
      <c r="AG18" t="s">
        <v>738</v>
      </c>
      <c r="AI18">
        <v>1</v>
      </c>
      <c r="AL18" t="s">
        <v>1437</v>
      </c>
    </row>
    <row r="19" spans="1:39" ht="128.25" x14ac:dyDescent="0.2">
      <c r="A19" t="s">
        <v>115</v>
      </c>
      <c r="B19" t="s">
        <v>327</v>
      </c>
      <c r="C19" t="s">
        <v>1437</v>
      </c>
      <c r="E19" s="36" t="s">
        <v>1681</v>
      </c>
      <c r="F19" s="36" t="s">
        <v>1682</v>
      </c>
      <c r="G19" t="s">
        <v>1440</v>
      </c>
      <c r="H19" s="36" t="s">
        <v>2572</v>
      </c>
      <c r="I19" t="s">
        <v>1442</v>
      </c>
      <c r="J19" t="s">
        <v>642</v>
      </c>
      <c r="M19" s="36" t="s">
        <v>1639</v>
      </c>
      <c r="O19" t="s">
        <v>1553</v>
      </c>
      <c r="Q19" t="s">
        <v>142</v>
      </c>
      <c r="Z19" t="s">
        <v>142</v>
      </c>
      <c r="AE19" t="s">
        <v>272</v>
      </c>
      <c r="AG19" t="s">
        <v>738</v>
      </c>
      <c r="AI19">
        <v>1</v>
      </c>
      <c r="AL19" t="s">
        <v>1437</v>
      </c>
    </row>
    <row r="20" spans="1:39" ht="128.25" x14ac:dyDescent="0.2">
      <c r="A20" t="s">
        <v>119</v>
      </c>
      <c r="B20" t="s">
        <v>317</v>
      </c>
      <c r="C20" t="s">
        <v>1437</v>
      </c>
      <c r="E20" s="36" t="s">
        <v>1637</v>
      </c>
      <c r="F20" s="36" t="s">
        <v>1638</v>
      </c>
      <c r="G20" t="s">
        <v>1440</v>
      </c>
      <c r="H20" s="36" t="s">
        <v>2572</v>
      </c>
      <c r="I20" t="s">
        <v>1442</v>
      </c>
      <c r="J20" t="s">
        <v>642</v>
      </c>
      <c r="M20" s="36" t="s">
        <v>1639</v>
      </c>
      <c r="O20" t="s">
        <v>1553</v>
      </c>
      <c r="Q20" t="s">
        <v>142</v>
      </c>
      <c r="Z20" t="s">
        <v>142</v>
      </c>
      <c r="AE20" t="s">
        <v>272</v>
      </c>
      <c r="AG20" t="s">
        <v>738</v>
      </c>
      <c r="AI20">
        <v>1</v>
      </c>
      <c r="AL20" t="s">
        <v>1437</v>
      </c>
    </row>
    <row r="21" spans="1:39" ht="99.75" x14ac:dyDescent="0.2">
      <c r="A21" t="s">
        <v>117</v>
      </c>
      <c r="B21" t="s">
        <v>299</v>
      </c>
      <c r="C21" t="s">
        <v>1437</v>
      </c>
      <c r="E21" s="36" t="s">
        <v>1570</v>
      </c>
      <c r="F21" s="36" t="s">
        <v>1571</v>
      </c>
      <c r="G21" t="s">
        <v>1440</v>
      </c>
      <c r="H21" s="36" t="s">
        <v>2572</v>
      </c>
      <c r="I21" t="s">
        <v>1442</v>
      </c>
      <c r="J21" t="s">
        <v>642</v>
      </c>
      <c r="L21" t="s">
        <v>1573</v>
      </c>
      <c r="M21" s="36" t="s">
        <v>1574</v>
      </c>
      <c r="O21" t="s">
        <v>1553</v>
      </c>
      <c r="Q21" t="s">
        <v>142</v>
      </c>
      <c r="Z21" t="s">
        <v>142</v>
      </c>
      <c r="AC21">
        <v>347829</v>
      </c>
      <c r="AE21" t="s">
        <v>272</v>
      </c>
      <c r="AG21" t="s">
        <v>738</v>
      </c>
      <c r="AI21">
        <v>1</v>
      </c>
      <c r="AL21" t="s">
        <v>1437</v>
      </c>
    </row>
    <row r="22" spans="1:39" ht="171" x14ac:dyDescent="0.2">
      <c r="A22" t="s">
        <v>137</v>
      </c>
      <c r="B22" t="s">
        <v>290</v>
      </c>
      <c r="C22" t="s">
        <v>1437</v>
      </c>
      <c r="E22" t="s">
        <v>1548</v>
      </c>
      <c r="F22" s="36" t="s">
        <v>1549</v>
      </c>
      <c r="G22" t="s">
        <v>1440</v>
      </c>
      <c r="H22" s="36" t="s">
        <v>1550</v>
      </c>
      <c r="I22" t="s">
        <v>1530</v>
      </c>
      <c r="J22" t="s">
        <v>629</v>
      </c>
      <c r="L22" s="36" t="s">
        <v>1551</v>
      </c>
      <c r="M22" s="36" t="s">
        <v>1552</v>
      </c>
      <c r="O22" t="s">
        <v>1553</v>
      </c>
      <c r="Q22" t="s">
        <v>2904</v>
      </c>
      <c r="W22" t="s">
        <v>557</v>
      </c>
      <c r="Z22" t="s">
        <v>142</v>
      </c>
      <c r="AC22">
        <v>696056</v>
      </c>
      <c r="AE22" t="s">
        <v>272</v>
      </c>
      <c r="AG22" t="s">
        <v>738</v>
      </c>
      <c r="AI22">
        <v>1</v>
      </c>
      <c r="AL22" t="s">
        <v>1437</v>
      </c>
      <c r="AM22" t="s">
        <v>142</v>
      </c>
    </row>
    <row r="23" spans="1:39" ht="356.25" x14ac:dyDescent="0.2">
      <c r="A23" t="s">
        <v>375</v>
      </c>
      <c r="B23" t="s">
        <v>376</v>
      </c>
      <c r="C23" t="s">
        <v>1437</v>
      </c>
      <c r="E23" s="36" t="s">
        <v>1776</v>
      </c>
      <c r="F23" s="36" t="s">
        <v>1777</v>
      </c>
      <c r="G23" t="s">
        <v>1440</v>
      </c>
      <c r="H23" s="36" t="s">
        <v>1778</v>
      </c>
      <c r="I23" t="s">
        <v>1530</v>
      </c>
      <c r="J23" t="s">
        <v>637</v>
      </c>
      <c r="L23" t="s">
        <v>1779</v>
      </c>
      <c r="M23" s="36" t="s">
        <v>1780</v>
      </c>
      <c r="O23" t="s">
        <v>1781</v>
      </c>
      <c r="Q23" t="s">
        <v>554</v>
      </c>
      <c r="T23" t="s">
        <v>554</v>
      </c>
      <c r="AE23" t="s">
        <v>272</v>
      </c>
      <c r="AG23" t="s">
        <v>1532</v>
      </c>
      <c r="AI23">
        <v>1</v>
      </c>
      <c r="AL23" t="s">
        <v>1437</v>
      </c>
    </row>
    <row r="24" spans="1:39" ht="409.5" x14ac:dyDescent="0.2">
      <c r="A24" t="s">
        <v>170</v>
      </c>
      <c r="B24" t="s">
        <v>228</v>
      </c>
      <c r="C24" t="s">
        <v>1437</v>
      </c>
      <c r="E24" s="36" t="s">
        <v>1773</v>
      </c>
      <c r="F24" t="s">
        <v>1753</v>
      </c>
      <c r="G24" t="s">
        <v>1440</v>
      </c>
      <c r="H24" s="36" t="s">
        <v>1463</v>
      </c>
      <c r="I24" t="s">
        <v>1442</v>
      </c>
      <c r="J24" t="s">
        <v>629</v>
      </c>
      <c r="M24" s="36" t="s">
        <v>1774</v>
      </c>
      <c r="O24" t="s">
        <v>1445</v>
      </c>
      <c r="Q24" t="s">
        <v>554</v>
      </c>
      <c r="T24" t="s">
        <v>554</v>
      </c>
      <c r="AE24" t="s">
        <v>272</v>
      </c>
      <c r="AG24" t="s">
        <v>1532</v>
      </c>
      <c r="AI24">
        <v>1</v>
      </c>
      <c r="AL24" t="s">
        <v>1437</v>
      </c>
    </row>
    <row r="25" spans="1:39" ht="409.5" x14ac:dyDescent="0.2">
      <c r="A25" t="s">
        <v>109</v>
      </c>
      <c r="B25" t="s">
        <v>271</v>
      </c>
      <c r="C25" t="s">
        <v>1437</v>
      </c>
      <c r="E25" s="36" t="s">
        <v>1438</v>
      </c>
      <c r="F25" t="s">
        <v>1439</v>
      </c>
      <c r="G25" t="s">
        <v>1440</v>
      </c>
      <c r="H25" s="36" t="s">
        <v>1441</v>
      </c>
      <c r="I25" t="s">
        <v>1442</v>
      </c>
      <c r="J25" t="s">
        <v>629</v>
      </c>
      <c r="L25" t="s">
        <v>1443</v>
      </c>
      <c r="M25" s="36" t="s">
        <v>1444</v>
      </c>
      <c r="O25" t="s">
        <v>1445</v>
      </c>
      <c r="Q25" t="s">
        <v>549</v>
      </c>
      <c r="R25" t="s">
        <v>549</v>
      </c>
      <c r="AE25" t="s">
        <v>272</v>
      </c>
      <c r="AG25" t="s">
        <v>1447</v>
      </c>
      <c r="AH25" s="36" t="s">
        <v>1448</v>
      </c>
      <c r="AI25">
        <v>1</v>
      </c>
      <c r="AL25" t="s">
        <v>1437</v>
      </c>
      <c r="AM25" t="s">
        <v>2905</v>
      </c>
    </row>
    <row r="26" spans="1:39" ht="228" x14ac:dyDescent="0.2">
      <c r="A26" t="s">
        <v>332</v>
      </c>
      <c r="B26" s="36" t="s">
        <v>333</v>
      </c>
      <c r="C26" t="s">
        <v>1437</v>
      </c>
      <c r="E26" s="36" t="s">
        <v>1690</v>
      </c>
      <c r="F26" s="36" t="s">
        <v>1691</v>
      </c>
      <c r="G26" t="s">
        <v>1692</v>
      </c>
      <c r="H26" t="s">
        <v>1693</v>
      </c>
      <c r="I26" t="s">
        <v>1694</v>
      </c>
      <c r="J26" t="s">
        <v>1023</v>
      </c>
      <c r="M26" s="36" t="s">
        <v>2906</v>
      </c>
      <c r="O26" t="s">
        <v>1696</v>
      </c>
      <c r="Q26" t="s">
        <v>551</v>
      </c>
      <c r="S26" t="s">
        <v>551</v>
      </c>
      <c r="AE26" t="s">
        <v>334</v>
      </c>
      <c r="AG26" t="s">
        <v>1602</v>
      </c>
      <c r="AL26" t="s">
        <v>1437</v>
      </c>
      <c r="AM26" t="s">
        <v>1715</v>
      </c>
    </row>
    <row r="27" spans="1:39" ht="114" x14ac:dyDescent="0.2">
      <c r="A27" t="s">
        <v>446</v>
      </c>
      <c r="B27" t="s">
        <v>245</v>
      </c>
      <c r="C27" t="s">
        <v>1437</v>
      </c>
      <c r="E27" t="s">
        <v>1514</v>
      </c>
      <c r="F27" s="36" t="s">
        <v>1892</v>
      </c>
      <c r="G27" t="s">
        <v>1440</v>
      </c>
      <c r="H27" s="36" t="s">
        <v>1529</v>
      </c>
      <c r="I27" t="s">
        <v>1530</v>
      </c>
      <c r="J27" t="s">
        <v>629</v>
      </c>
      <c r="M27" t="s">
        <v>1514</v>
      </c>
      <c r="O27" t="s">
        <v>1514</v>
      </c>
      <c r="Q27" t="s">
        <v>554</v>
      </c>
      <c r="T27" t="s">
        <v>554</v>
      </c>
      <c r="AE27">
        <v>3</v>
      </c>
      <c r="AG27" t="s">
        <v>1532</v>
      </c>
      <c r="AH27" t="s">
        <v>1893</v>
      </c>
      <c r="AI27">
        <v>1</v>
      </c>
      <c r="AL27" t="s">
        <v>1437</v>
      </c>
      <c r="AM27" t="s">
        <v>1534</v>
      </c>
    </row>
    <row r="28" spans="1:39" ht="57" x14ac:dyDescent="0.2">
      <c r="A28" t="s">
        <v>295</v>
      </c>
      <c r="B28" t="s">
        <v>247</v>
      </c>
      <c r="C28" t="s">
        <v>1437</v>
      </c>
      <c r="E28" t="s">
        <v>1514</v>
      </c>
      <c r="F28" t="s">
        <v>1558</v>
      </c>
      <c r="G28" t="s">
        <v>1440</v>
      </c>
      <c r="H28" s="36" t="s">
        <v>1559</v>
      </c>
      <c r="I28" t="s">
        <v>629</v>
      </c>
      <c r="J28" t="s">
        <v>629</v>
      </c>
      <c r="M28" t="s">
        <v>1514</v>
      </c>
      <c r="O28" t="s">
        <v>1514</v>
      </c>
      <c r="Q28" t="s">
        <v>554</v>
      </c>
      <c r="T28" t="s">
        <v>554</v>
      </c>
      <c r="AE28" t="s">
        <v>292</v>
      </c>
      <c r="AG28" t="s">
        <v>1585</v>
      </c>
      <c r="AH28" t="s">
        <v>1563</v>
      </c>
      <c r="AI28">
        <v>1</v>
      </c>
      <c r="AL28" t="s">
        <v>1437</v>
      </c>
      <c r="AM28" t="s">
        <v>1534</v>
      </c>
    </row>
    <row r="29" spans="1:39" ht="114" x14ac:dyDescent="0.2">
      <c r="A29" t="s">
        <v>445</v>
      </c>
      <c r="B29" t="s">
        <v>245</v>
      </c>
      <c r="C29" t="s">
        <v>1437</v>
      </c>
      <c r="E29" t="s">
        <v>1514</v>
      </c>
      <c r="F29" s="36" t="s">
        <v>1890</v>
      </c>
      <c r="G29" t="s">
        <v>1440</v>
      </c>
      <c r="H29" s="36" t="s">
        <v>1529</v>
      </c>
      <c r="I29" t="s">
        <v>1530</v>
      </c>
      <c r="J29" t="s">
        <v>629</v>
      </c>
      <c r="M29" t="s">
        <v>1514</v>
      </c>
      <c r="O29" t="s">
        <v>1514</v>
      </c>
      <c r="Q29" t="s">
        <v>554</v>
      </c>
      <c r="T29" t="s">
        <v>554</v>
      </c>
      <c r="AE29" t="s">
        <v>292</v>
      </c>
      <c r="AG29">
        <v>0</v>
      </c>
      <c r="AH29" t="s">
        <v>1891</v>
      </c>
      <c r="AI29">
        <v>1</v>
      </c>
      <c r="AL29" t="s">
        <v>1437</v>
      </c>
      <c r="AM29" t="s">
        <v>1534</v>
      </c>
    </row>
    <row r="30" spans="1:39" ht="57" x14ac:dyDescent="0.2">
      <c r="A30" t="s">
        <v>294</v>
      </c>
      <c r="B30" t="s">
        <v>247</v>
      </c>
      <c r="C30" t="s">
        <v>1437</v>
      </c>
      <c r="E30" t="s">
        <v>1514</v>
      </c>
      <c r="F30" t="s">
        <v>1558</v>
      </c>
      <c r="G30" t="s">
        <v>1440</v>
      </c>
      <c r="H30" s="36" t="s">
        <v>1559</v>
      </c>
      <c r="I30" t="s">
        <v>629</v>
      </c>
      <c r="J30" t="s">
        <v>629</v>
      </c>
      <c r="M30" t="s">
        <v>1514</v>
      </c>
      <c r="O30" t="s">
        <v>1514</v>
      </c>
      <c r="Q30" t="s">
        <v>554</v>
      </c>
      <c r="T30" t="s">
        <v>554</v>
      </c>
      <c r="AE30" t="s">
        <v>292</v>
      </c>
      <c r="AG30" t="s">
        <v>1532</v>
      </c>
      <c r="AH30" t="s">
        <v>1562</v>
      </c>
      <c r="AI30">
        <v>1</v>
      </c>
      <c r="AL30" t="s">
        <v>1437</v>
      </c>
      <c r="AM30" t="s">
        <v>1534</v>
      </c>
    </row>
    <row r="31" spans="1:39" ht="114" x14ac:dyDescent="0.2">
      <c r="A31" t="s">
        <v>444</v>
      </c>
      <c r="B31" t="s">
        <v>245</v>
      </c>
      <c r="C31" t="s">
        <v>1437</v>
      </c>
      <c r="E31" t="s">
        <v>1514</v>
      </c>
      <c r="F31" s="36" t="s">
        <v>1888</v>
      </c>
      <c r="G31" t="s">
        <v>1440</v>
      </c>
      <c r="H31" s="36" t="s">
        <v>1529</v>
      </c>
      <c r="I31" t="s">
        <v>1530</v>
      </c>
      <c r="J31" t="s">
        <v>629</v>
      </c>
      <c r="M31" t="s">
        <v>1514</v>
      </c>
      <c r="O31" t="s">
        <v>1514</v>
      </c>
      <c r="Q31" t="s">
        <v>554</v>
      </c>
      <c r="T31" t="s">
        <v>554</v>
      </c>
      <c r="AE31" t="s">
        <v>292</v>
      </c>
      <c r="AG31">
        <v>0</v>
      </c>
      <c r="AH31" t="s">
        <v>1889</v>
      </c>
      <c r="AI31">
        <v>1</v>
      </c>
      <c r="AL31" t="s">
        <v>1437</v>
      </c>
      <c r="AM31" t="s">
        <v>1534</v>
      </c>
    </row>
    <row r="32" spans="1:39" ht="57" x14ac:dyDescent="0.2">
      <c r="A32" t="s">
        <v>293</v>
      </c>
      <c r="B32" t="s">
        <v>247</v>
      </c>
      <c r="C32" t="s">
        <v>1437</v>
      </c>
      <c r="E32" t="s">
        <v>1514</v>
      </c>
      <c r="F32" t="s">
        <v>1558</v>
      </c>
      <c r="G32" t="s">
        <v>1440</v>
      </c>
      <c r="H32" s="36" t="s">
        <v>1559</v>
      </c>
      <c r="I32" t="s">
        <v>629</v>
      </c>
      <c r="J32" t="s">
        <v>629</v>
      </c>
      <c r="M32" t="s">
        <v>1514</v>
      </c>
      <c r="O32" t="s">
        <v>1514</v>
      </c>
      <c r="Q32" t="s">
        <v>554</v>
      </c>
      <c r="T32" t="s">
        <v>554</v>
      </c>
      <c r="AE32" t="s">
        <v>282</v>
      </c>
      <c r="AG32">
        <v>0</v>
      </c>
      <c r="AH32" t="s">
        <v>1561</v>
      </c>
      <c r="AI32">
        <v>1</v>
      </c>
      <c r="AL32" t="s">
        <v>1437</v>
      </c>
      <c r="AM32" t="s">
        <v>1534</v>
      </c>
    </row>
    <row r="33" spans="1:40" ht="171" x14ac:dyDescent="0.2">
      <c r="A33" t="s">
        <v>173</v>
      </c>
      <c r="B33" t="s">
        <v>377</v>
      </c>
      <c r="C33" t="s">
        <v>1437</v>
      </c>
      <c r="E33" t="s">
        <v>1782</v>
      </c>
      <c r="F33" t="s">
        <v>1783</v>
      </c>
      <c r="G33" t="s">
        <v>1440</v>
      </c>
      <c r="H33" s="36" t="s">
        <v>1441</v>
      </c>
      <c r="I33" t="s">
        <v>1442</v>
      </c>
      <c r="J33" t="s">
        <v>629</v>
      </c>
      <c r="M33" s="36" t="s">
        <v>1784</v>
      </c>
      <c r="O33" t="s">
        <v>1601</v>
      </c>
      <c r="Q33" t="s">
        <v>554</v>
      </c>
      <c r="T33" t="s">
        <v>554</v>
      </c>
      <c r="AE33" t="s">
        <v>282</v>
      </c>
      <c r="AG33" t="s">
        <v>1532</v>
      </c>
      <c r="AH33" t="s">
        <v>1785</v>
      </c>
      <c r="AI33">
        <v>1</v>
      </c>
      <c r="AL33" t="s">
        <v>1437</v>
      </c>
      <c r="AM33" s="36" t="s">
        <v>1786</v>
      </c>
      <c r="AN33" t="s">
        <v>1437</v>
      </c>
    </row>
    <row r="34" spans="1:40" ht="114" x14ac:dyDescent="0.2">
      <c r="A34" t="s">
        <v>443</v>
      </c>
      <c r="B34" t="s">
        <v>245</v>
      </c>
      <c r="C34" t="s">
        <v>1437</v>
      </c>
      <c r="E34" t="s">
        <v>1514</v>
      </c>
      <c r="F34" s="36" t="s">
        <v>1886</v>
      </c>
      <c r="G34" t="s">
        <v>1440</v>
      </c>
      <c r="H34" s="36" t="s">
        <v>1529</v>
      </c>
      <c r="I34" t="s">
        <v>1530</v>
      </c>
      <c r="J34" t="s">
        <v>629</v>
      </c>
      <c r="M34" t="s">
        <v>1514</v>
      </c>
      <c r="O34" t="s">
        <v>1514</v>
      </c>
      <c r="Q34" t="s">
        <v>554</v>
      </c>
      <c r="T34" t="s">
        <v>554</v>
      </c>
      <c r="AE34" t="s">
        <v>292</v>
      </c>
      <c r="AG34" t="s">
        <v>1585</v>
      </c>
      <c r="AH34" t="s">
        <v>1887</v>
      </c>
      <c r="AI34">
        <v>1</v>
      </c>
      <c r="AL34" t="s">
        <v>1437</v>
      </c>
      <c r="AM34" t="s">
        <v>1534</v>
      </c>
    </row>
    <row r="35" spans="1:40" ht="57" x14ac:dyDescent="0.2">
      <c r="A35" t="s">
        <v>291</v>
      </c>
      <c r="B35" t="s">
        <v>247</v>
      </c>
      <c r="C35" t="s">
        <v>1437</v>
      </c>
      <c r="E35" t="s">
        <v>1514</v>
      </c>
      <c r="F35" t="s">
        <v>1558</v>
      </c>
      <c r="G35" t="s">
        <v>1440</v>
      </c>
      <c r="H35" s="36" t="s">
        <v>1559</v>
      </c>
      <c r="I35" t="s">
        <v>629</v>
      </c>
      <c r="J35" t="s">
        <v>629</v>
      </c>
      <c r="M35" t="s">
        <v>1514</v>
      </c>
      <c r="O35" t="s">
        <v>1514</v>
      </c>
      <c r="Q35" t="s">
        <v>554</v>
      </c>
      <c r="T35" t="s">
        <v>554</v>
      </c>
      <c r="AE35" t="s">
        <v>292</v>
      </c>
      <c r="AG35">
        <v>0</v>
      </c>
      <c r="AH35" t="s">
        <v>1560</v>
      </c>
      <c r="AI35">
        <v>1</v>
      </c>
      <c r="AL35" t="s">
        <v>1437</v>
      </c>
      <c r="AM35" t="s">
        <v>1534</v>
      </c>
    </row>
    <row r="36" spans="1:40" ht="114" x14ac:dyDescent="0.2">
      <c r="A36" t="s">
        <v>455</v>
      </c>
      <c r="B36" t="s">
        <v>451</v>
      </c>
      <c r="C36" t="s">
        <v>1437</v>
      </c>
      <c r="E36" t="s">
        <v>1514</v>
      </c>
      <c r="F36" s="36" t="s">
        <v>1916</v>
      </c>
      <c r="G36" t="s">
        <v>1440</v>
      </c>
      <c r="H36" s="36" t="s">
        <v>1529</v>
      </c>
      <c r="I36" t="s">
        <v>1530</v>
      </c>
      <c r="J36" t="s">
        <v>629</v>
      </c>
      <c r="M36" t="s">
        <v>1514</v>
      </c>
      <c r="O36" t="s">
        <v>1514</v>
      </c>
      <c r="Q36" t="s">
        <v>554</v>
      </c>
      <c r="T36" t="s">
        <v>554</v>
      </c>
      <c r="AE36" t="s">
        <v>282</v>
      </c>
      <c r="AG36" t="s">
        <v>1532</v>
      </c>
      <c r="AH36" t="s">
        <v>1917</v>
      </c>
      <c r="AI36">
        <v>1</v>
      </c>
      <c r="AJ36">
        <v>1</v>
      </c>
      <c r="AL36" t="s">
        <v>1437</v>
      </c>
      <c r="AM36" t="s">
        <v>1534</v>
      </c>
    </row>
    <row r="37" spans="1:40" ht="114" x14ac:dyDescent="0.2">
      <c r="A37" t="s">
        <v>454</v>
      </c>
      <c r="B37" t="s">
        <v>451</v>
      </c>
      <c r="C37" t="s">
        <v>1437</v>
      </c>
      <c r="E37" t="s">
        <v>1514</v>
      </c>
      <c r="F37" s="36" t="s">
        <v>1914</v>
      </c>
      <c r="G37" t="s">
        <v>1440</v>
      </c>
      <c r="H37" s="36" t="s">
        <v>1529</v>
      </c>
      <c r="I37" t="s">
        <v>1530</v>
      </c>
      <c r="J37" t="s">
        <v>629</v>
      </c>
      <c r="O37" t="s">
        <v>1514</v>
      </c>
      <c r="Q37" t="s">
        <v>554</v>
      </c>
      <c r="T37" t="s">
        <v>554</v>
      </c>
      <c r="AE37" t="s">
        <v>282</v>
      </c>
      <c r="AG37" t="s">
        <v>1532</v>
      </c>
      <c r="AH37" t="s">
        <v>1915</v>
      </c>
      <c r="AI37">
        <v>1</v>
      </c>
      <c r="AJ37">
        <v>1</v>
      </c>
      <c r="AL37" t="s">
        <v>1437</v>
      </c>
      <c r="AM37" t="s">
        <v>1534</v>
      </c>
    </row>
    <row r="38" spans="1:40" ht="114" x14ac:dyDescent="0.2">
      <c r="A38" t="s">
        <v>453</v>
      </c>
      <c r="B38" t="s">
        <v>451</v>
      </c>
      <c r="C38" t="s">
        <v>1437</v>
      </c>
      <c r="E38" t="s">
        <v>1514</v>
      </c>
      <c r="F38" s="36" t="s">
        <v>1912</v>
      </c>
      <c r="G38" t="s">
        <v>1440</v>
      </c>
      <c r="H38" s="36" t="s">
        <v>1529</v>
      </c>
      <c r="I38" t="s">
        <v>1530</v>
      </c>
      <c r="J38" t="s">
        <v>629</v>
      </c>
      <c r="M38" t="s">
        <v>1514</v>
      </c>
      <c r="O38" t="s">
        <v>1514</v>
      </c>
      <c r="Q38" t="s">
        <v>554</v>
      </c>
      <c r="T38" t="s">
        <v>554</v>
      </c>
      <c r="AE38" t="s">
        <v>282</v>
      </c>
      <c r="AG38" t="s">
        <v>1532</v>
      </c>
      <c r="AH38" t="s">
        <v>1913</v>
      </c>
      <c r="AI38">
        <v>1</v>
      </c>
      <c r="AJ38">
        <v>1</v>
      </c>
      <c r="AL38" t="s">
        <v>1437</v>
      </c>
      <c r="AM38" t="s">
        <v>1534</v>
      </c>
    </row>
    <row r="39" spans="1:40" ht="114" x14ac:dyDescent="0.2">
      <c r="A39" t="s">
        <v>452</v>
      </c>
      <c r="B39" t="s">
        <v>451</v>
      </c>
      <c r="C39" t="s">
        <v>1437</v>
      </c>
      <c r="E39" t="s">
        <v>1514</v>
      </c>
      <c r="F39" s="36" t="s">
        <v>1910</v>
      </c>
      <c r="G39" t="s">
        <v>1440</v>
      </c>
      <c r="H39" s="36" t="s">
        <v>1529</v>
      </c>
      <c r="I39" t="s">
        <v>1530</v>
      </c>
      <c r="J39" t="s">
        <v>629</v>
      </c>
      <c r="M39" t="s">
        <v>1514</v>
      </c>
      <c r="O39" t="s">
        <v>1514</v>
      </c>
      <c r="Q39" t="s">
        <v>554</v>
      </c>
      <c r="T39" t="s">
        <v>554</v>
      </c>
      <c r="AE39" t="s">
        <v>282</v>
      </c>
      <c r="AG39" t="s">
        <v>1532</v>
      </c>
      <c r="AH39" t="s">
        <v>1911</v>
      </c>
      <c r="AI39">
        <v>1</v>
      </c>
      <c r="AJ39">
        <v>1</v>
      </c>
      <c r="AL39" t="s">
        <v>1437</v>
      </c>
      <c r="AM39" t="s">
        <v>1534</v>
      </c>
    </row>
    <row r="40" spans="1:40" ht="228" x14ac:dyDescent="0.2">
      <c r="A40" t="s">
        <v>177</v>
      </c>
      <c r="B40" t="s">
        <v>451</v>
      </c>
      <c r="C40" t="s">
        <v>1437</v>
      </c>
      <c r="E40" t="s">
        <v>1906</v>
      </c>
      <c r="F40" s="36" t="s">
        <v>1907</v>
      </c>
      <c r="G40" t="s">
        <v>1440</v>
      </c>
      <c r="H40" s="36" t="s">
        <v>1846</v>
      </c>
      <c r="I40" t="s">
        <v>1530</v>
      </c>
      <c r="J40" t="s">
        <v>629</v>
      </c>
      <c r="M40" t="s">
        <v>1908</v>
      </c>
      <c r="O40" t="s">
        <v>1531</v>
      </c>
      <c r="Q40" t="s">
        <v>554</v>
      </c>
      <c r="T40" t="s">
        <v>554</v>
      </c>
      <c r="AE40" t="s">
        <v>282</v>
      </c>
      <c r="AG40" t="s">
        <v>1532</v>
      </c>
      <c r="AH40" t="s">
        <v>1909</v>
      </c>
      <c r="AI40">
        <v>1</v>
      </c>
      <c r="AJ40">
        <v>1</v>
      </c>
      <c r="AL40" t="s">
        <v>1437</v>
      </c>
      <c r="AM40" t="s">
        <v>1534</v>
      </c>
    </row>
    <row r="41" spans="1:40" ht="228" x14ac:dyDescent="0.2">
      <c r="A41" t="s">
        <v>175</v>
      </c>
      <c r="B41" t="s">
        <v>245</v>
      </c>
      <c r="C41" t="s">
        <v>1437</v>
      </c>
      <c r="E41" t="s">
        <v>1882</v>
      </c>
      <c r="F41" s="36" t="s">
        <v>1883</v>
      </c>
      <c r="G41" t="s">
        <v>1440</v>
      </c>
      <c r="H41" s="36" t="s">
        <v>1846</v>
      </c>
      <c r="I41" t="s">
        <v>1530</v>
      </c>
      <c r="J41" t="s">
        <v>629</v>
      </c>
      <c r="M41" t="s">
        <v>1884</v>
      </c>
      <c r="O41" t="s">
        <v>1531</v>
      </c>
      <c r="Q41" t="s">
        <v>554</v>
      </c>
      <c r="T41" t="s">
        <v>554</v>
      </c>
      <c r="AE41" t="s">
        <v>282</v>
      </c>
      <c r="AG41" t="s">
        <v>1532</v>
      </c>
      <c r="AH41" t="s">
        <v>1885</v>
      </c>
      <c r="AI41">
        <v>1</v>
      </c>
      <c r="AJ41">
        <v>1</v>
      </c>
      <c r="AL41" t="s">
        <v>1437</v>
      </c>
      <c r="AM41" t="s">
        <v>1534</v>
      </c>
    </row>
    <row r="42" spans="1:40" ht="409.5" x14ac:dyDescent="0.2">
      <c r="A42" t="s">
        <v>246</v>
      </c>
      <c r="B42" t="s">
        <v>247</v>
      </c>
      <c r="C42" t="s">
        <v>1437</v>
      </c>
      <c r="E42" s="36" t="s">
        <v>1555</v>
      </c>
      <c r="F42" s="36" t="s">
        <v>1556</v>
      </c>
      <c r="G42" t="s">
        <v>1440</v>
      </c>
      <c r="H42" s="36" t="s">
        <v>1529</v>
      </c>
      <c r="I42" t="s">
        <v>1530</v>
      </c>
      <c r="J42" t="s">
        <v>629</v>
      </c>
      <c r="M42" t="s">
        <v>1557</v>
      </c>
      <c r="O42" t="s">
        <v>1445</v>
      </c>
      <c r="Q42" t="s">
        <v>554</v>
      </c>
      <c r="T42" t="s">
        <v>554</v>
      </c>
      <c r="AE42" t="s">
        <v>282</v>
      </c>
      <c r="AG42" t="s">
        <v>1532</v>
      </c>
      <c r="AH42" t="s">
        <v>2907</v>
      </c>
      <c r="AJ42">
        <v>1</v>
      </c>
      <c r="AL42" t="s">
        <v>1437</v>
      </c>
      <c r="AM42" t="s">
        <v>1534</v>
      </c>
    </row>
    <row r="43" spans="1:40" ht="409.5" x14ac:dyDescent="0.2">
      <c r="A43" t="s">
        <v>123</v>
      </c>
      <c r="B43" t="s">
        <v>450</v>
      </c>
      <c r="C43" t="s">
        <v>1437</v>
      </c>
      <c r="E43" s="36" t="s">
        <v>1901</v>
      </c>
      <c r="F43" s="36" t="s">
        <v>1902</v>
      </c>
      <c r="G43" t="s">
        <v>1440</v>
      </c>
      <c r="H43" s="36" t="s">
        <v>1903</v>
      </c>
      <c r="I43" t="s">
        <v>629</v>
      </c>
      <c r="J43" t="s">
        <v>687</v>
      </c>
      <c r="M43" s="36" t="s">
        <v>871</v>
      </c>
      <c r="O43" t="s">
        <v>1445</v>
      </c>
      <c r="Q43" t="s">
        <v>549</v>
      </c>
      <c r="R43" t="s">
        <v>549</v>
      </c>
      <c r="AE43">
        <v>3</v>
      </c>
      <c r="AG43" t="s">
        <v>1447</v>
      </c>
      <c r="AL43" t="s">
        <v>1437</v>
      </c>
      <c r="AM43" t="s">
        <v>1905</v>
      </c>
    </row>
    <row r="44" spans="1:40" ht="409.5" x14ac:dyDescent="0.2">
      <c r="A44" t="s">
        <v>105</v>
      </c>
      <c r="B44" t="s">
        <v>314</v>
      </c>
      <c r="C44" t="s">
        <v>1437</v>
      </c>
      <c r="E44" s="36" t="s">
        <v>2908</v>
      </c>
      <c r="F44" s="36" t="s">
        <v>1619</v>
      </c>
      <c r="G44">
        <v>4</v>
      </c>
      <c r="H44" s="36" t="s">
        <v>1620</v>
      </c>
      <c r="I44" t="s">
        <v>629</v>
      </c>
      <c r="J44" t="s">
        <v>660</v>
      </c>
      <c r="M44" s="36" t="s">
        <v>2909</v>
      </c>
      <c r="N44" t="s">
        <v>1622</v>
      </c>
      <c r="O44" t="s">
        <v>1445</v>
      </c>
      <c r="Q44" t="s">
        <v>554</v>
      </c>
      <c r="T44" t="s">
        <v>554</v>
      </c>
      <c r="AE44" t="s">
        <v>282</v>
      </c>
      <c r="AF44" t="s">
        <v>1446</v>
      </c>
      <c r="AG44" t="s">
        <v>1532</v>
      </c>
      <c r="AH44" t="s">
        <v>1623</v>
      </c>
      <c r="AI44">
        <v>1</v>
      </c>
      <c r="AL44" t="s">
        <v>1437</v>
      </c>
      <c r="AM44" s="36" t="s">
        <v>2910</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E0523-4276-4653-9211-4CBE9EBF0968}">
  <sheetPr codeName="Sheet19"/>
  <dimension ref="A1:AN44"/>
  <sheetViews>
    <sheetView topLeftCell="A42" workbookViewId="0">
      <selection activeCell="A26" sqref="A26"/>
    </sheetView>
  </sheetViews>
  <sheetFormatPr defaultRowHeight="14.25" x14ac:dyDescent="0.2"/>
  <cols>
    <col min="1" max="1" width="34.5" customWidth="1"/>
    <col min="2" max="2" width="72.5" customWidth="1"/>
    <col min="3" max="3" width="10.5" customWidth="1"/>
    <col min="4" max="4" width="14.5" customWidth="1"/>
    <col min="5" max="5" width="38.625" customWidth="1"/>
    <col min="6" max="6" width="15.625" customWidth="1"/>
    <col min="8" max="8" width="18.125" customWidth="1"/>
    <col min="9" max="9" width="13.25" customWidth="1"/>
    <col min="10" max="10" width="13.625" customWidth="1"/>
    <col min="11" max="11" width="20.125" customWidth="1"/>
    <col min="12" max="12" width="15.5" customWidth="1"/>
    <col min="13" max="13" width="27.75" customWidth="1"/>
    <col min="14" max="14" width="23.375" customWidth="1"/>
    <col min="15" max="15" width="14.25" customWidth="1"/>
    <col min="16" max="16" width="12.375" customWidth="1"/>
    <col min="17" max="17" width="20.75" customWidth="1"/>
    <col min="18" max="18" width="23.5" customWidth="1"/>
    <col min="19" max="19" width="22.5" customWidth="1"/>
    <col min="22" max="22" width="17.5" customWidth="1"/>
    <col min="23" max="23" width="16.875" customWidth="1"/>
    <col min="24" max="24" width="9.875" customWidth="1"/>
    <col min="25" max="25" width="15.875" customWidth="1"/>
    <col min="27" max="27" width="14.625" customWidth="1"/>
    <col min="28" max="28" width="25.375" customWidth="1"/>
    <col min="29" max="29" width="18.75" customWidth="1"/>
    <col min="30" max="30" width="15.75" customWidth="1"/>
    <col min="31" max="31" width="9.5" customWidth="1"/>
    <col min="32" max="32" width="20.25" customWidth="1"/>
    <col min="34" max="34" width="16.25" customWidth="1"/>
    <col min="35" max="35" width="13.875" customWidth="1"/>
    <col min="36" max="36" width="16.125" customWidth="1"/>
    <col min="37" max="37" width="10.375" customWidth="1"/>
    <col min="38" max="38" width="22.125" customWidth="1"/>
    <col min="39" max="39" width="25.25" customWidth="1"/>
    <col min="40" max="40" width="48.625" customWidth="1"/>
  </cols>
  <sheetData>
    <row r="1" spans="1:40" x14ac:dyDescent="0.2">
      <c r="A1" t="s">
        <v>265</v>
      </c>
      <c r="B1" t="s">
        <v>266</v>
      </c>
      <c r="C1" t="s">
        <v>1406</v>
      </c>
      <c r="D1" t="s">
        <v>1407</v>
      </c>
      <c r="E1" t="s">
        <v>1408</v>
      </c>
      <c r="F1" t="s">
        <v>1409</v>
      </c>
      <c r="G1" t="s">
        <v>1410</v>
      </c>
      <c r="H1" t="s">
        <v>1411</v>
      </c>
      <c r="I1" t="s">
        <v>1412</v>
      </c>
      <c r="J1" t="s">
        <v>1413</v>
      </c>
      <c r="K1" t="s">
        <v>1414</v>
      </c>
      <c r="L1" t="s">
        <v>1415</v>
      </c>
      <c r="M1" t="s">
        <v>1416</v>
      </c>
      <c r="N1" t="s">
        <v>1417</v>
      </c>
      <c r="O1" t="s">
        <v>263</v>
      </c>
      <c r="P1" t="s">
        <v>1418</v>
      </c>
      <c r="Q1" t="s">
        <v>1419</v>
      </c>
      <c r="R1" t="s">
        <v>549</v>
      </c>
      <c r="S1" t="s">
        <v>551</v>
      </c>
      <c r="T1" t="s">
        <v>554</v>
      </c>
      <c r="U1" t="s">
        <v>167</v>
      </c>
      <c r="V1" t="s">
        <v>556</v>
      </c>
      <c r="W1" t="s">
        <v>1420</v>
      </c>
      <c r="X1" t="s">
        <v>559</v>
      </c>
      <c r="Y1" t="s">
        <v>1421</v>
      </c>
      <c r="Z1" t="s">
        <v>142</v>
      </c>
      <c r="AA1" t="s">
        <v>564</v>
      </c>
      <c r="AB1" t="s">
        <v>1423</v>
      </c>
      <c r="AC1" t="s">
        <v>1424</v>
      </c>
      <c r="AD1" t="s">
        <v>1425</v>
      </c>
      <c r="AE1" t="s">
        <v>267</v>
      </c>
      <c r="AF1" t="s">
        <v>1426</v>
      </c>
      <c r="AG1" t="s">
        <v>1427</v>
      </c>
      <c r="AH1" t="s">
        <v>1428</v>
      </c>
      <c r="AI1" t="s">
        <v>1429</v>
      </c>
      <c r="AJ1" t="s">
        <v>1430</v>
      </c>
      <c r="AK1" t="s">
        <v>1431</v>
      </c>
      <c r="AL1" t="s">
        <v>261</v>
      </c>
      <c r="AM1" t="s">
        <v>1432</v>
      </c>
      <c r="AN1" t="s">
        <v>1434</v>
      </c>
    </row>
    <row r="2" spans="1:40" ht="128.25" x14ac:dyDescent="0.2">
      <c r="A2" t="s">
        <v>516</v>
      </c>
      <c r="B2" t="s">
        <v>512</v>
      </c>
      <c r="C2" t="s">
        <v>1437</v>
      </c>
      <c r="E2" t="s">
        <v>1514</v>
      </c>
      <c r="F2" s="36" t="s">
        <v>2064</v>
      </c>
      <c r="G2" t="s">
        <v>1440</v>
      </c>
      <c r="H2" s="36" t="s">
        <v>1529</v>
      </c>
      <c r="I2" t="s">
        <v>1530</v>
      </c>
      <c r="J2" t="s">
        <v>629</v>
      </c>
      <c r="M2" t="s">
        <v>1514</v>
      </c>
      <c r="O2" t="s">
        <v>1514</v>
      </c>
      <c r="Q2" t="s">
        <v>549</v>
      </c>
      <c r="R2" t="s">
        <v>549</v>
      </c>
      <c r="AE2">
        <v>3</v>
      </c>
      <c r="AG2">
        <v>0</v>
      </c>
      <c r="AL2" t="s">
        <v>1437</v>
      </c>
    </row>
    <row r="3" spans="1:40" s="116" customFormat="1" x14ac:dyDescent="0.2">
      <c r="A3" s="116" t="s">
        <v>330</v>
      </c>
      <c r="B3" s="116" t="s">
        <v>331</v>
      </c>
      <c r="C3" s="116" t="s">
        <v>1437</v>
      </c>
      <c r="D3" s="116" t="s">
        <v>1685</v>
      </c>
      <c r="E3" s="116" t="s">
        <v>1514</v>
      </c>
      <c r="F3" s="116" t="s">
        <v>1546</v>
      </c>
      <c r="G3" s="116" t="s">
        <v>1514</v>
      </c>
      <c r="H3" s="116" t="s">
        <v>1514</v>
      </c>
      <c r="I3" s="116" t="s">
        <v>1514</v>
      </c>
      <c r="J3" s="116" t="s">
        <v>1514</v>
      </c>
      <c r="L3" s="116" t="s">
        <v>1686</v>
      </c>
      <c r="M3" s="116" t="s">
        <v>1687</v>
      </c>
      <c r="N3" s="116" t="s">
        <v>1688</v>
      </c>
      <c r="O3" s="116" t="s">
        <v>2338</v>
      </c>
      <c r="Q3" s="116" t="s">
        <v>1689</v>
      </c>
      <c r="AE3" s="116">
        <v>1</v>
      </c>
      <c r="AG3" s="116" t="s">
        <v>1585</v>
      </c>
      <c r="AI3" s="116">
        <v>1</v>
      </c>
      <c r="AL3" s="116" t="s">
        <v>1437</v>
      </c>
    </row>
    <row r="4" spans="1:40" ht="128.25" x14ac:dyDescent="0.2">
      <c r="A4" t="s">
        <v>533</v>
      </c>
      <c r="B4" t="s">
        <v>529</v>
      </c>
      <c r="C4" t="s">
        <v>1437</v>
      </c>
      <c r="E4" t="s">
        <v>1514</v>
      </c>
      <c r="F4" s="36" t="s">
        <v>2110</v>
      </c>
      <c r="G4" t="s">
        <v>1440</v>
      </c>
      <c r="H4" s="36" t="s">
        <v>1529</v>
      </c>
      <c r="I4" t="s">
        <v>1530</v>
      </c>
      <c r="J4" t="s">
        <v>629</v>
      </c>
      <c r="M4" t="s">
        <v>1514</v>
      </c>
      <c r="O4" t="s">
        <v>1514</v>
      </c>
      <c r="Q4" t="s">
        <v>549</v>
      </c>
      <c r="R4" t="s">
        <v>549</v>
      </c>
      <c r="AE4">
        <v>3</v>
      </c>
      <c r="AG4" t="s">
        <v>1532</v>
      </c>
      <c r="AL4" t="s">
        <v>1437</v>
      </c>
    </row>
    <row r="5" spans="1:40" ht="128.25" x14ac:dyDescent="0.2">
      <c r="A5" t="s">
        <v>515</v>
      </c>
      <c r="B5" t="s">
        <v>512</v>
      </c>
      <c r="C5" t="s">
        <v>1437</v>
      </c>
      <c r="E5" t="s">
        <v>1514</v>
      </c>
      <c r="F5" s="36" t="s">
        <v>2063</v>
      </c>
      <c r="G5" t="s">
        <v>1440</v>
      </c>
      <c r="H5" s="36" t="s">
        <v>1529</v>
      </c>
      <c r="I5" t="s">
        <v>1530</v>
      </c>
      <c r="J5" t="s">
        <v>629</v>
      </c>
      <c r="M5" t="s">
        <v>1514</v>
      </c>
      <c r="O5" t="s">
        <v>1514</v>
      </c>
      <c r="Q5" t="s">
        <v>549</v>
      </c>
      <c r="R5" t="s">
        <v>549</v>
      </c>
      <c r="AE5">
        <v>3</v>
      </c>
      <c r="AG5" t="s">
        <v>1585</v>
      </c>
      <c r="AL5" t="s">
        <v>1437</v>
      </c>
    </row>
    <row r="6" spans="1:40" ht="128.25" x14ac:dyDescent="0.2">
      <c r="A6" t="s">
        <v>514</v>
      </c>
      <c r="B6" t="s">
        <v>512</v>
      </c>
      <c r="C6" t="s">
        <v>1437</v>
      </c>
      <c r="E6" t="s">
        <v>1514</v>
      </c>
      <c r="F6" s="36" t="s">
        <v>2055</v>
      </c>
      <c r="G6" t="s">
        <v>1440</v>
      </c>
      <c r="H6" s="36" t="s">
        <v>1529</v>
      </c>
      <c r="I6" t="s">
        <v>1530</v>
      </c>
      <c r="J6" t="s">
        <v>629</v>
      </c>
      <c r="M6" t="s">
        <v>1514</v>
      </c>
      <c r="O6" t="s">
        <v>1514</v>
      </c>
      <c r="Q6" t="s">
        <v>549</v>
      </c>
      <c r="R6" t="s">
        <v>549</v>
      </c>
      <c r="AE6">
        <v>3</v>
      </c>
      <c r="AG6">
        <v>0</v>
      </c>
      <c r="AL6" t="s">
        <v>1437</v>
      </c>
    </row>
    <row r="7" spans="1:40" ht="128.25" x14ac:dyDescent="0.2">
      <c r="A7" t="s">
        <v>531</v>
      </c>
      <c r="B7" t="s">
        <v>529</v>
      </c>
      <c r="C7" t="s">
        <v>1437</v>
      </c>
      <c r="E7" t="s">
        <v>1514</v>
      </c>
      <c r="F7" s="36" t="s">
        <v>2108</v>
      </c>
      <c r="G7" t="s">
        <v>1440</v>
      </c>
      <c r="H7" s="36" t="s">
        <v>1529</v>
      </c>
      <c r="I7" t="s">
        <v>1530</v>
      </c>
      <c r="J7" t="s">
        <v>629</v>
      </c>
      <c r="M7" t="s">
        <v>1514</v>
      </c>
      <c r="O7" t="s">
        <v>1514</v>
      </c>
      <c r="Q7" t="s">
        <v>549</v>
      </c>
      <c r="R7" t="s">
        <v>549</v>
      </c>
      <c r="AE7">
        <v>3</v>
      </c>
      <c r="AG7" t="s">
        <v>1532</v>
      </c>
      <c r="AL7" t="s">
        <v>1437</v>
      </c>
    </row>
    <row r="8" spans="1:40" ht="128.25" x14ac:dyDescent="0.2">
      <c r="A8" t="s">
        <v>513</v>
      </c>
      <c r="B8" t="s">
        <v>512</v>
      </c>
      <c r="C8" t="s">
        <v>1437</v>
      </c>
      <c r="E8" t="s">
        <v>1514</v>
      </c>
      <c r="F8" s="36" t="s">
        <v>2054</v>
      </c>
      <c r="G8" t="s">
        <v>1440</v>
      </c>
      <c r="H8" s="36" t="s">
        <v>1529</v>
      </c>
      <c r="I8" t="s">
        <v>1530</v>
      </c>
      <c r="J8" t="s">
        <v>629</v>
      </c>
      <c r="M8" t="s">
        <v>1514</v>
      </c>
      <c r="O8" t="s">
        <v>1514</v>
      </c>
      <c r="Q8" t="s">
        <v>549</v>
      </c>
      <c r="R8" t="s">
        <v>549</v>
      </c>
      <c r="AE8">
        <v>3</v>
      </c>
      <c r="AG8" t="s">
        <v>1859</v>
      </c>
      <c r="AL8" t="s">
        <v>1437</v>
      </c>
    </row>
    <row r="9" spans="1:40" ht="128.25" x14ac:dyDescent="0.2">
      <c r="A9" t="s">
        <v>530</v>
      </c>
      <c r="B9" t="s">
        <v>529</v>
      </c>
      <c r="C9" t="s">
        <v>1437</v>
      </c>
      <c r="E9" t="s">
        <v>1514</v>
      </c>
      <c r="F9" s="36" t="s">
        <v>2107</v>
      </c>
      <c r="G9" t="s">
        <v>1440</v>
      </c>
      <c r="H9" s="36" t="s">
        <v>1529</v>
      </c>
      <c r="I9" t="s">
        <v>1530</v>
      </c>
      <c r="J9" t="s">
        <v>629</v>
      </c>
      <c r="M9" t="s">
        <v>1514</v>
      </c>
      <c r="O9" t="s">
        <v>1514</v>
      </c>
      <c r="Q9" t="s">
        <v>549</v>
      </c>
      <c r="R9" t="s">
        <v>549</v>
      </c>
      <c r="AE9">
        <v>3</v>
      </c>
      <c r="AG9" t="s">
        <v>1532</v>
      </c>
      <c r="AL9" t="s">
        <v>1437</v>
      </c>
    </row>
    <row r="10" spans="1:40" ht="270.75" x14ac:dyDescent="0.2">
      <c r="A10" t="s">
        <v>256</v>
      </c>
      <c r="B10" t="s">
        <v>512</v>
      </c>
      <c r="C10" t="s">
        <v>1437</v>
      </c>
      <c r="E10" s="36" t="s">
        <v>2028</v>
      </c>
      <c r="F10" s="36" t="s">
        <v>2029</v>
      </c>
      <c r="G10" t="s">
        <v>1440</v>
      </c>
      <c r="H10" s="36" t="s">
        <v>1529</v>
      </c>
      <c r="I10" t="s">
        <v>1530</v>
      </c>
      <c r="J10" t="s">
        <v>629</v>
      </c>
      <c r="M10" t="s">
        <v>2030</v>
      </c>
      <c r="O10" t="s">
        <v>2619</v>
      </c>
      <c r="Q10" t="s">
        <v>549</v>
      </c>
      <c r="R10" t="s">
        <v>549</v>
      </c>
      <c r="AE10">
        <v>3</v>
      </c>
      <c r="AG10" t="s">
        <v>1532</v>
      </c>
      <c r="AL10" t="s">
        <v>1437</v>
      </c>
    </row>
    <row r="11" spans="1:40" ht="228" x14ac:dyDescent="0.2">
      <c r="A11" t="s">
        <v>258</v>
      </c>
      <c r="B11" t="s">
        <v>529</v>
      </c>
      <c r="C11" t="s">
        <v>1437</v>
      </c>
      <c r="E11" s="36" t="s">
        <v>2103</v>
      </c>
      <c r="F11" s="36" t="s">
        <v>2104</v>
      </c>
      <c r="G11" t="s">
        <v>1440</v>
      </c>
      <c r="H11" s="36" t="s">
        <v>1846</v>
      </c>
      <c r="I11" t="s">
        <v>1530</v>
      </c>
      <c r="J11" t="s">
        <v>629</v>
      </c>
      <c r="M11" t="s">
        <v>2105</v>
      </c>
      <c r="O11" t="s">
        <v>2616</v>
      </c>
      <c r="Q11" t="s">
        <v>549</v>
      </c>
      <c r="R11" t="s">
        <v>549</v>
      </c>
      <c r="AE11">
        <v>3</v>
      </c>
      <c r="AG11" t="s">
        <v>1532</v>
      </c>
      <c r="AL11" t="s">
        <v>1437</v>
      </c>
    </row>
    <row r="12" spans="1:40" s="116" customFormat="1" ht="31.5" customHeight="1" x14ac:dyDescent="0.2">
      <c r="A12" s="116" t="s">
        <v>423</v>
      </c>
      <c r="B12" s="116" t="s">
        <v>424</v>
      </c>
      <c r="C12" s="116" t="s">
        <v>1437</v>
      </c>
      <c r="E12" s="117" t="s">
        <v>1854</v>
      </c>
      <c r="F12" s="117" t="s">
        <v>1855</v>
      </c>
      <c r="G12" s="116" t="s">
        <v>1440</v>
      </c>
      <c r="H12" s="117" t="s">
        <v>1856</v>
      </c>
      <c r="I12" s="116" t="s">
        <v>629</v>
      </c>
      <c r="J12" s="116" t="s">
        <v>637</v>
      </c>
      <c r="M12" s="117" t="s">
        <v>1857</v>
      </c>
      <c r="O12" s="116" t="s">
        <v>1858</v>
      </c>
      <c r="Q12" s="116" t="s">
        <v>561</v>
      </c>
      <c r="Y12" s="116" t="s">
        <v>561</v>
      </c>
      <c r="AE12" s="116" t="s">
        <v>274</v>
      </c>
      <c r="AG12" s="116" t="s">
        <v>1859</v>
      </c>
      <c r="AI12" s="116">
        <v>1</v>
      </c>
      <c r="AL12" s="116" t="s">
        <v>1437</v>
      </c>
    </row>
    <row r="13" spans="1:40" ht="409.5" x14ac:dyDescent="0.2">
      <c r="A13" t="s">
        <v>373</v>
      </c>
      <c r="B13" t="s">
        <v>374</v>
      </c>
      <c r="C13" t="s">
        <v>1437</v>
      </c>
      <c r="E13" s="36" t="s">
        <v>1770</v>
      </c>
      <c r="F13" t="s">
        <v>1753</v>
      </c>
      <c r="G13" t="s">
        <v>1514</v>
      </c>
      <c r="H13" s="36" t="s">
        <v>1771</v>
      </c>
      <c r="I13" t="s">
        <v>1442</v>
      </c>
      <c r="J13" t="s">
        <v>642</v>
      </c>
      <c r="M13" s="36" t="s">
        <v>1772</v>
      </c>
      <c r="O13" t="s">
        <v>1445</v>
      </c>
      <c r="Q13" t="s">
        <v>2903</v>
      </c>
      <c r="R13" t="s">
        <v>549</v>
      </c>
      <c r="T13" t="s">
        <v>554</v>
      </c>
      <c r="AE13" t="s">
        <v>274</v>
      </c>
      <c r="AG13" t="s">
        <v>1585</v>
      </c>
      <c r="AI13">
        <v>1</v>
      </c>
      <c r="AL13" t="s">
        <v>1437</v>
      </c>
    </row>
    <row r="14" spans="1:40" ht="409.5" x14ac:dyDescent="0.2">
      <c r="A14" t="s">
        <v>224</v>
      </c>
      <c r="B14" t="s">
        <v>363</v>
      </c>
      <c r="C14" t="s">
        <v>1437</v>
      </c>
      <c r="E14" s="36" t="s">
        <v>1742</v>
      </c>
      <c r="F14" s="36" t="s">
        <v>1743</v>
      </c>
      <c r="G14" t="s">
        <v>1440</v>
      </c>
      <c r="H14" s="36" t="s">
        <v>1744</v>
      </c>
      <c r="I14" t="s">
        <v>1442</v>
      </c>
      <c r="J14" t="s">
        <v>666</v>
      </c>
      <c r="M14" s="36" t="s">
        <v>1745</v>
      </c>
      <c r="O14" t="s">
        <v>1445</v>
      </c>
      <c r="Q14" t="s">
        <v>554</v>
      </c>
      <c r="T14" t="s">
        <v>554</v>
      </c>
      <c r="AE14">
        <v>3</v>
      </c>
      <c r="AG14" t="s">
        <v>1746</v>
      </c>
      <c r="AL14" t="s">
        <v>1437</v>
      </c>
    </row>
    <row r="15" spans="1:40" ht="228" x14ac:dyDescent="0.2">
      <c r="A15" t="s">
        <v>231</v>
      </c>
      <c r="B15" t="s">
        <v>378</v>
      </c>
      <c r="C15" t="s">
        <v>1437</v>
      </c>
      <c r="E15" s="36" t="s">
        <v>1787</v>
      </c>
      <c r="F15" s="36" t="s">
        <v>1788</v>
      </c>
      <c r="G15" t="s">
        <v>1440</v>
      </c>
      <c r="H15" s="36" t="s">
        <v>1463</v>
      </c>
      <c r="I15" t="s">
        <v>1442</v>
      </c>
      <c r="J15" t="s">
        <v>629</v>
      </c>
      <c r="M15" s="36" t="s">
        <v>1789</v>
      </c>
      <c r="N15" t="s">
        <v>1437</v>
      </c>
      <c r="O15" t="s">
        <v>1790</v>
      </c>
      <c r="Q15" t="s">
        <v>549</v>
      </c>
      <c r="R15" t="s">
        <v>549</v>
      </c>
      <c r="AE15">
        <v>3</v>
      </c>
      <c r="AG15" t="s">
        <v>1532</v>
      </c>
      <c r="AL15" t="s">
        <v>1437</v>
      </c>
    </row>
    <row r="16" spans="1:40" ht="242.25" x14ac:dyDescent="0.2">
      <c r="A16" t="s">
        <v>435</v>
      </c>
      <c r="B16" t="s">
        <v>436</v>
      </c>
      <c r="C16" t="s">
        <v>1437</v>
      </c>
      <c r="E16" s="36" t="s">
        <v>1872</v>
      </c>
      <c r="F16" s="36" t="s">
        <v>1873</v>
      </c>
      <c r="G16" t="s">
        <v>1440</v>
      </c>
      <c r="H16" s="36" t="s">
        <v>1778</v>
      </c>
      <c r="I16" t="s">
        <v>1530</v>
      </c>
      <c r="J16" t="s">
        <v>637</v>
      </c>
      <c r="M16" s="36" t="s">
        <v>1874</v>
      </c>
      <c r="O16" t="s">
        <v>1875</v>
      </c>
      <c r="Q16" t="s">
        <v>554</v>
      </c>
      <c r="T16" t="s">
        <v>554</v>
      </c>
      <c r="AE16" t="s">
        <v>272</v>
      </c>
      <c r="AG16" t="s">
        <v>1532</v>
      </c>
      <c r="AI16">
        <v>1</v>
      </c>
      <c r="AL16" t="s">
        <v>1437</v>
      </c>
    </row>
    <row r="17" spans="1:39" ht="409.5" x14ac:dyDescent="0.2">
      <c r="A17" t="s">
        <v>433</v>
      </c>
      <c r="B17" t="s">
        <v>434</v>
      </c>
      <c r="C17" t="s">
        <v>1437</v>
      </c>
      <c r="E17" s="36" t="s">
        <v>1869</v>
      </c>
      <c r="F17" s="36" t="s">
        <v>1870</v>
      </c>
      <c r="G17" t="s">
        <v>1440</v>
      </c>
      <c r="H17" s="36" t="s">
        <v>1846</v>
      </c>
      <c r="I17" t="s">
        <v>1530</v>
      </c>
      <c r="J17" t="s">
        <v>629</v>
      </c>
      <c r="M17" s="36" t="s">
        <v>1871</v>
      </c>
      <c r="O17" t="s">
        <v>1848</v>
      </c>
      <c r="Q17" t="s">
        <v>554</v>
      </c>
      <c r="T17" t="s">
        <v>554</v>
      </c>
      <c r="AE17" t="s">
        <v>272</v>
      </c>
      <c r="AG17" t="s">
        <v>1532</v>
      </c>
      <c r="AI17">
        <v>1</v>
      </c>
      <c r="AL17" t="s">
        <v>1437</v>
      </c>
    </row>
    <row r="18" spans="1:39" s="116" customFormat="1" ht="156.75" x14ac:dyDescent="0.2">
      <c r="A18" s="116" t="s">
        <v>113</v>
      </c>
      <c r="B18" s="116" t="s">
        <v>319</v>
      </c>
      <c r="C18" s="116" t="s">
        <v>1437</v>
      </c>
      <c r="E18" s="117" t="s">
        <v>1649</v>
      </c>
      <c r="F18" s="117" t="s">
        <v>1650</v>
      </c>
      <c r="G18" s="116" t="s">
        <v>1440</v>
      </c>
      <c r="H18" s="117" t="s">
        <v>2572</v>
      </c>
      <c r="I18" s="116" t="s">
        <v>1442</v>
      </c>
      <c r="J18" s="116" t="s">
        <v>642</v>
      </c>
      <c r="M18" s="117" t="s">
        <v>1651</v>
      </c>
      <c r="O18" s="116" t="s">
        <v>1553</v>
      </c>
      <c r="Q18" s="116" t="s">
        <v>142</v>
      </c>
      <c r="Z18" s="116" t="s">
        <v>142</v>
      </c>
      <c r="AE18" s="116" t="s">
        <v>272</v>
      </c>
      <c r="AG18" s="116" t="s">
        <v>738</v>
      </c>
      <c r="AI18" s="116">
        <v>1</v>
      </c>
      <c r="AL18" s="116" t="s">
        <v>1437</v>
      </c>
    </row>
    <row r="19" spans="1:39" s="116" customFormat="1" ht="128.25" x14ac:dyDescent="0.2">
      <c r="A19" s="116" t="s">
        <v>115</v>
      </c>
      <c r="B19" s="116" t="s">
        <v>327</v>
      </c>
      <c r="C19" s="116" t="s">
        <v>1437</v>
      </c>
      <c r="E19" s="117" t="s">
        <v>1681</v>
      </c>
      <c r="F19" s="117" t="s">
        <v>1682</v>
      </c>
      <c r="G19" s="116" t="s">
        <v>1440</v>
      </c>
      <c r="H19" s="117" t="s">
        <v>2572</v>
      </c>
      <c r="I19" s="116" t="s">
        <v>1442</v>
      </c>
      <c r="J19" s="116" t="s">
        <v>642</v>
      </c>
      <c r="M19" s="117" t="s">
        <v>1639</v>
      </c>
      <c r="O19" s="116" t="s">
        <v>1553</v>
      </c>
      <c r="Q19" s="116" t="s">
        <v>142</v>
      </c>
      <c r="Z19" s="116" t="s">
        <v>142</v>
      </c>
      <c r="AE19" s="116" t="s">
        <v>272</v>
      </c>
      <c r="AG19" s="116" t="s">
        <v>738</v>
      </c>
      <c r="AI19" s="116">
        <v>1</v>
      </c>
      <c r="AL19" s="116" t="s">
        <v>1437</v>
      </c>
    </row>
    <row r="20" spans="1:39" s="116" customFormat="1" ht="128.25" x14ac:dyDescent="0.2">
      <c r="A20" s="116" t="s">
        <v>119</v>
      </c>
      <c r="B20" s="116" t="s">
        <v>317</v>
      </c>
      <c r="C20" s="116" t="s">
        <v>1437</v>
      </c>
      <c r="E20" s="117" t="s">
        <v>1637</v>
      </c>
      <c r="F20" s="117" t="s">
        <v>1638</v>
      </c>
      <c r="G20" s="116" t="s">
        <v>1440</v>
      </c>
      <c r="H20" s="117" t="s">
        <v>2572</v>
      </c>
      <c r="I20" s="116" t="s">
        <v>1442</v>
      </c>
      <c r="J20" s="116" t="s">
        <v>642</v>
      </c>
      <c r="M20" s="117" t="s">
        <v>1639</v>
      </c>
      <c r="O20" s="116" t="s">
        <v>1553</v>
      </c>
      <c r="Q20" s="116" t="s">
        <v>142</v>
      </c>
      <c r="Z20" s="116" t="s">
        <v>142</v>
      </c>
      <c r="AE20" s="116" t="s">
        <v>272</v>
      </c>
      <c r="AG20" s="116" t="s">
        <v>738</v>
      </c>
      <c r="AI20" s="116">
        <v>1</v>
      </c>
      <c r="AL20" s="116" t="s">
        <v>1437</v>
      </c>
    </row>
    <row r="21" spans="1:39" s="116" customFormat="1" ht="99.75" x14ac:dyDescent="0.2">
      <c r="A21" s="116" t="s">
        <v>117</v>
      </c>
      <c r="B21" s="116" t="s">
        <v>299</v>
      </c>
      <c r="C21" s="116" t="s">
        <v>1437</v>
      </c>
      <c r="E21" s="117" t="s">
        <v>1570</v>
      </c>
      <c r="F21" s="117" t="s">
        <v>1571</v>
      </c>
      <c r="G21" s="116" t="s">
        <v>1440</v>
      </c>
      <c r="H21" s="117" t="s">
        <v>2572</v>
      </c>
      <c r="I21" s="116" t="s">
        <v>1442</v>
      </c>
      <c r="J21" s="116" t="s">
        <v>642</v>
      </c>
      <c r="L21" s="116" t="s">
        <v>1573</v>
      </c>
      <c r="M21" s="117" t="s">
        <v>1574</v>
      </c>
      <c r="O21" s="116" t="s">
        <v>1553</v>
      </c>
      <c r="Q21" s="116" t="s">
        <v>142</v>
      </c>
      <c r="Z21" s="116" t="s">
        <v>142</v>
      </c>
      <c r="AC21" s="116">
        <v>347829</v>
      </c>
      <c r="AE21" s="116" t="s">
        <v>272</v>
      </c>
      <c r="AG21" s="116" t="s">
        <v>738</v>
      </c>
      <c r="AI21" s="116">
        <v>1</v>
      </c>
      <c r="AL21" s="116" t="s">
        <v>1437</v>
      </c>
    </row>
    <row r="22" spans="1:39" ht="171" x14ac:dyDescent="0.2">
      <c r="A22" t="s">
        <v>137</v>
      </c>
      <c r="B22" t="s">
        <v>290</v>
      </c>
      <c r="C22" t="s">
        <v>1437</v>
      </c>
      <c r="E22" t="s">
        <v>1548</v>
      </c>
      <c r="F22" s="36" t="s">
        <v>1549</v>
      </c>
      <c r="G22" t="s">
        <v>1440</v>
      </c>
      <c r="H22" s="36" t="s">
        <v>1550</v>
      </c>
      <c r="I22" t="s">
        <v>1530</v>
      </c>
      <c r="J22" t="s">
        <v>629</v>
      </c>
      <c r="L22" s="36" t="s">
        <v>1551</v>
      </c>
      <c r="M22" s="36" t="s">
        <v>1552</v>
      </c>
      <c r="O22" t="s">
        <v>1553</v>
      </c>
      <c r="Q22" t="s">
        <v>2904</v>
      </c>
      <c r="W22" t="s">
        <v>557</v>
      </c>
      <c r="Z22" t="s">
        <v>142</v>
      </c>
      <c r="AC22">
        <v>696056</v>
      </c>
      <c r="AE22" t="s">
        <v>272</v>
      </c>
      <c r="AG22" t="s">
        <v>738</v>
      </c>
      <c r="AI22">
        <v>1</v>
      </c>
      <c r="AL22" t="s">
        <v>1437</v>
      </c>
      <c r="AM22" t="s">
        <v>142</v>
      </c>
    </row>
    <row r="23" spans="1:39" s="116" customFormat="1" ht="356.25" x14ac:dyDescent="0.2">
      <c r="A23" s="116" t="s">
        <v>375</v>
      </c>
      <c r="B23" s="116" t="s">
        <v>376</v>
      </c>
      <c r="C23" s="116" t="s">
        <v>1437</v>
      </c>
      <c r="E23" s="117" t="s">
        <v>1776</v>
      </c>
      <c r="F23" s="117" t="s">
        <v>1777</v>
      </c>
      <c r="G23" s="116" t="s">
        <v>1440</v>
      </c>
      <c r="H23" s="117" t="s">
        <v>1778</v>
      </c>
      <c r="I23" s="116" t="s">
        <v>1530</v>
      </c>
      <c r="J23" s="116" t="s">
        <v>637</v>
      </c>
      <c r="L23" s="116" t="s">
        <v>1779</v>
      </c>
      <c r="M23" s="117" t="s">
        <v>1780</v>
      </c>
      <c r="O23" s="116" t="s">
        <v>1781</v>
      </c>
      <c r="Q23" s="116" t="s">
        <v>554</v>
      </c>
      <c r="T23" s="116" t="s">
        <v>554</v>
      </c>
      <c r="AE23" s="116" t="s">
        <v>272</v>
      </c>
      <c r="AG23" s="116" t="s">
        <v>1532</v>
      </c>
      <c r="AI23" s="116">
        <v>1</v>
      </c>
      <c r="AL23" s="116" t="s">
        <v>1437</v>
      </c>
    </row>
    <row r="24" spans="1:39" s="116" customFormat="1" ht="409.5" x14ac:dyDescent="0.2">
      <c r="A24" s="116" t="s">
        <v>170</v>
      </c>
      <c r="B24" s="116" t="s">
        <v>228</v>
      </c>
      <c r="C24" s="116" t="s">
        <v>1437</v>
      </c>
      <c r="E24" s="117" t="s">
        <v>1773</v>
      </c>
      <c r="F24" s="116" t="s">
        <v>1753</v>
      </c>
      <c r="G24" s="116" t="s">
        <v>1440</v>
      </c>
      <c r="H24" s="117" t="s">
        <v>1463</v>
      </c>
      <c r="I24" s="116" t="s">
        <v>1442</v>
      </c>
      <c r="J24" s="116" t="s">
        <v>629</v>
      </c>
      <c r="M24" s="117" t="s">
        <v>1774</v>
      </c>
      <c r="O24" s="116" t="s">
        <v>1445</v>
      </c>
      <c r="Q24" s="116" t="s">
        <v>554</v>
      </c>
      <c r="T24" s="116" t="s">
        <v>554</v>
      </c>
      <c r="AE24" s="116" t="s">
        <v>272</v>
      </c>
      <c r="AG24" s="116" t="s">
        <v>1532</v>
      </c>
      <c r="AI24" s="116">
        <v>1</v>
      </c>
      <c r="AL24" s="116" t="s">
        <v>1437</v>
      </c>
    </row>
    <row r="25" spans="1:39" ht="409.5" x14ac:dyDescent="0.2">
      <c r="A25" t="s">
        <v>109</v>
      </c>
      <c r="B25" t="s">
        <v>271</v>
      </c>
      <c r="C25" t="s">
        <v>1437</v>
      </c>
      <c r="E25" s="36" t="s">
        <v>1438</v>
      </c>
      <c r="F25" t="s">
        <v>1439</v>
      </c>
      <c r="G25" t="s">
        <v>1440</v>
      </c>
      <c r="H25" s="36" t="s">
        <v>1441</v>
      </c>
      <c r="I25" t="s">
        <v>1442</v>
      </c>
      <c r="J25" t="s">
        <v>629</v>
      </c>
      <c r="L25" t="s">
        <v>1443</v>
      </c>
      <c r="M25" s="36" t="s">
        <v>1444</v>
      </c>
      <c r="O25" t="s">
        <v>1445</v>
      </c>
      <c r="Q25" t="s">
        <v>549</v>
      </c>
      <c r="R25" t="s">
        <v>549</v>
      </c>
      <c r="AE25" t="s">
        <v>272</v>
      </c>
      <c r="AG25" t="s">
        <v>1447</v>
      </c>
      <c r="AH25" s="36" t="s">
        <v>1448</v>
      </c>
      <c r="AI25">
        <v>1</v>
      </c>
      <c r="AL25" t="s">
        <v>1437</v>
      </c>
      <c r="AM25" t="s">
        <v>2905</v>
      </c>
    </row>
    <row r="26" spans="1:39" ht="228" x14ac:dyDescent="0.2">
      <c r="A26" t="s">
        <v>332</v>
      </c>
      <c r="B26" s="36" t="s">
        <v>333</v>
      </c>
      <c r="C26" t="s">
        <v>1437</v>
      </c>
      <c r="E26" s="36" t="s">
        <v>1690</v>
      </c>
      <c r="F26" s="36" t="s">
        <v>1691</v>
      </c>
      <c r="G26" t="s">
        <v>1692</v>
      </c>
      <c r="H26" t="s">
        <v>1693</v>
      </c>
      <c r="I26" t="s">
        <v>1694</v>
      </c>
      <c r="J26" t="s">
        <v>1023</v>
      </c>
      <c r="M26" s="36" t="s">
        <v>2906</v>
      </c>
      <c r="O26" t="s">
        <v>1696</v>
      </c>
      <c r="Q26" t="s">
        <v>551</v>
      </c>
      <c r="S26" t="s">
        <v>551</v>
      </c>
      <c r="AE26" t="s">
        <v>334</v>
      </c>
      <c r="AG26" t="s">
        <v>1602</v>
      </c>
      <c r="AL26" t="s">
        <v>1437</v>
      </c>
      <c r="AM26" t="s">
        <v>1715</v>
      </c>
    </row>
    <row r="27" spans="1:39" ht="114" x14ac:dyDescent="0.2">
      <c r="A27" t="s">
        <v>446</v>
      </c>
      <c r="B27" t="s">
        <v>245</v>
      </c>
      <c r="C27" t="s">
        <v>1437</v>
      </c>
      <c r="E27" t="s">
        <v>1514</v>
      </c>
      <c r="F27" s="36" t="s">
        <v>1892</v>
      </c>
      <c r="G27" t="s">
        <v>1440</v>
      </c>
      <c r="H27" s="36" t="s">
        <v>1529</v>
      </c>
      <c r="I27" t="s">
        <v>1530</v>
      </c>
      <c r="J27" t="s">
        <v>629</v>
      </c>
      <c r="M27" t="s">
        <v>1514</v>
      </c>
      <c r="O27" t="s">
        <v>1514</v>
      </c>
      <c r="Q27" t="s">
        <v>554</v>
      </c>
      <c r="T27" t="s">
        <v>554</v>
      </c>
      <c r="AE27">
        <v>3</v>
      </c>
      <c r="AG27" t="s">
        <v>1532</v>
      </c>
      <c r="AH27" t="s">
        <v>1893</v>
      </c>
      <c r="AI27">
        <v>1</v>
      </c>
      <c r="AL27" t="s">
        <v>1437</v>
      </c>
      <c r="AM27" t="s">
        <v>1534</v>
      </c>
    </row>
    <row r="28" spans="1:39" ht="57" x14ac:dyDescent="0.2">
      <c r="A28" t="s">
        <v>295</v>
      </c>
      <c r="B28" t="s">
        <v>247</v>
      </c>
      <c r="C28" t="s">
        <v>1437</v>
      </c>
      <c r="E28" t="s">
        <v>1514</v>
      </c>
      <c r="F28" t="s">
        <v>1558</v>
      </c>
      <c r="G28" t="s">
        <v>1440</v>
      </c>
      <c r="H28" s="36" t="s">
        <v>1559</v>
      </c>
      <c r="I28" t="s">
        <v>629</v>
      </c>
      <c r="J28" t="s">
        <v>629</v>
      </c>
      <c r="M28" t="s">
        <v>1514</v>
      </c>
      <c r="O28" t="s">
        <v>1514</v>
      </c>
      <c r="Q28" t="s">
        <v>554</v>
      </c>
      <c r="T28" t="s">
        <v>554</v>
      </c>
      <c r="AE28" t="s">
        <v>292</v>
      </c>
      <c r="AG28" t="s">
        <v>1585</v>
      </c>
      <c r="AH28" t="s">
        <v>1563</v>
      </c>
      <c r="AI28">
        <v>1</v>
      </c>
      <c r="AL28" t="s">
        <v>1437</v>
      </c>
      <c r="AM28" t="s">
        <v>1534</v>
      </c>
    </row>
    <row r="29" spans="1:39" s="116" customFormat="1" ht="114" x14ac:dyDescent="0.2">
      <c r="A29" s="116" t="s">
        <v>445</v>
      </c>
      <c r="B29" s="116" t="s">
        <v>245</v>
      </c>
      <c r="C29" s="116" t="s">
        <v>1437</v>
      </c>
      <c r="E29" s="116" t="s">
        <v>1514</v>
      </c>
      <c r="F29" s="117" t="s">
        <v>1890</v>
      </c>
      <c r="G29" s="116" t="s">
        <v>1440</v>
      </c>
      <c r="H29" s="117" t="s">
        <v>1529</v>
      </c>
      <c r="I29" s="116" t="s">
        <v>1530</v>
      </c>
      <c r="J29" s="116" t="s">
        <v>629</v>
      </c>
      <c r="M29" s="116" t="s">
        <v>1514</v>
      </c>
      <c r="O29" s="116" t="s">
        <v>1514</v>
      </c>
      <c r="Q29" s="116" t="s">
        <v>554</v>
      </c>
      <c r="T29" s="116" t="s">
        <v>554</v>
      </c>
      <c r="AE29" s="116" t="s">
        <v>292</v>
      </c>
      <c r="AG29" s="116">
        <v>0</v>
      </c>
      <c r="AH29" s="116" t="s">
        <v>1891</v>
      </c>
      <c r="AI29" s="116">
        <v>1</v>
      </c>
      <c r="AL29" s="116" t="s">
        <v>1437</v>
      </c>
      <c r="AM29" s="116" t="s">
        <v>1534</v>
      </c>
    </row>
    <row r="30" spans="1:39" s="116" customFormat="1" ht="57" x14ac:dyDescent="0.2">
      <c r="A30" s="116" t="s">
        <v>294</v>
      </c>
      <c r="B30" s="116" t="s">
        <v>247</v>
      </c>
      <c r="C30" s="116" t="s">
        <v>1437</v>
      </c>
      <c r="E30" s="116" t="s">
        <v>1514</v>
      </c>
      <c r="F30" s="116" t="s">
        <v>1558</v>
      </c>
      <c r="G30" s="116" t="s">
        <v>1440</v>
      </c>
      <c r="H30" s="117" t="s">
        <v>1559</v>
      </c>
      <c r="I30" s="116" t="s">
        <v>629</v>
      </c>
      <c r="J30" s="116" t="s">
        <v>629</v>
      </c>
      <c r="M30" s="116" t="s">
        <v>1514</v>
      </c>
      <c r="O30" s="116" t="s">
        <v>1514</v>
      </c>
      <c r="Q30" s="116" t="s">
        <v>554</v>
      </c>
      <c r="T30" s="116" t="s">
        <v>554</v>
      </c>
      <c r="AE30" s="116" t="s">
        <v>292</v>
      </c>
      <c r="AG30" s="116" t="s">
        <v>1532</v>
      </c>
      <c r="AH30" s="116" t="s">
        <v>1562</v>
      </c>
      <c r="AI30" s="116">
        <v>1</v>
      </c>
      <c r="AL30" s="116" t="s">
        <v>1437</v>
      </c>
      <c r="AM30" s="116" t="s">
        <v>1534</v>
      </c>
    </row>
    <row r="31" spans="1:39" s="116" customFormat="1" ht="114" x14ac:dyDescent="0.2">
      <c r="A31" s="116" t="s">
        <v>444</v>
      </c>
      <c r="B31" s="116" t="s">
        <v>245</v>
      </c>
      <c r="C31" s="116" t="s">
        <v>1437</v>
      </c>
      <c r="E31" s="116" t="s">
        <v>1514</v>
      </c>
      <c r="F31" s="117" t="s">
        <v>1888</v>
      </c>
      <c r="G31" s="116" t="s">
        <v>1440</v>
      </c>
      <c r="H31" s="117" t="s">
        <v>1529</v>
      </c>
      <c r="I31" s="116" t="s">
        <v>1530</v>
      </c>
      <c r="J31" s="116" t="s">
        <v>629</v>
      </c>
      <c r="M31" s="116" t="s">
        <v>1514</v>
      </c>
      <c r="O31" s="116" t="s">
        <v>1514</v>
      </c>
      <c r="Q31" s="116" t="s">
        <v>554</v>
      </c>
      <c r="T31" s="116" t="s">
        <v>554</v>
      </c>
      <c r="AE31" s="116" t="s">
        <v>292</v>
      </c>
      <c r="AG31" s="116">
        <v>0</v>
      </c>
      <c r="AH31" s="116" t="s">
        <v>1889</v>
      </c>
      <c r="AI31" s="116">
        <v>1</v>
      </c>
      <c r="AL31" s="116" t="s">
        <v>1437</v>
      </c>
      <c r="AM31" s="116" t="s">
        <v>1534</v>
      </c>
    </row>
    <row r="32" spans="1:39" s="116" customFormat="1" ht="57" x14ac:dyDescent="0.2">
      <c r="A32" s="116" t="s">
        <v>293</v>
      </c>
      <c r="B32" s="116" t="s">
        <v>247</v>
      </c>
      <c r="C32" s="116" t="s">
        <v>1437</v>
      </c>
      <c r="E32" s="116" t="s">
        <v>1514</v>
      </c>
      <c r="F32" s="116" t="s">
        <v>1558</v>
      </c>
      <c r="G32" s="116" t="s">
        <v>1440</v>
      </c>
      <c r="H32" s="117" t="s">
        <v>1559</v>
      </c>
      <c r="I32" s="116" t="s">
        <v>629</v>
      </c>
      <c r="J32" s="116" t="s">
        <v>629</v>
      </c>
      <c r="M32" s="116" t="s">
        <v>1514</v>
      </c>
      <c r="O32" s="116" t="s">
        <v>1514</v>
      </c>
      <c r="Q32" s="116" t="s">
        <v>554</v>
      </c>
      <c r="T32" s="116" t="s">
        <v>554</v>
      </c>
      <c r="AE32" s="116" t="s">
        <v>282</v>
      </c>
      <c r="AG32" s="116">
        <v>0</v>
      </c>
      <c r="AH32" s="116" t="s">
        <v>1561</v>
      </c>
      <c r="AI32" s="116">
        <v>1</v>
      </c>
      <c r="AL32" s="116" t="s">
        <v>1437</v>
      </c>
      <c r="AM32" s="116" t="s">
        <v>1534</v>
      </c>
    </row>
    <row r="33" spans="1:40" ht="171" x14ac:dyDescent="0.2">
      <c r="A33" t="s">
        <v>173</v>
      </c>
      <c r="B33" t="s">
        <v>377</v>
      </c>
      <c r="C33" t="s">
        <v>1437</v>
      </c>
      <c r="E33" t="s">
        <v>1782</v>
      </c>
      <c r="F33" t="s">
        <v>1783</v>
      </c>
      <c r="G33" t="s">
        <v>1440</v>
      </c>
      <c r="H33" s="36" t="s">
        <v>1441</v>
      </c>
      <c r="I33" t="s">
        <v>1442</v>
      </c>
      <c r="J33" t="s">
        <v>629</v>
      </c>
      <c r="M33" s="36" t="s">
        <v>1784</v>
      </c>
      <c r="O33" t="s">
        <v>1601</v>
      </c>
      <c r="Q33" t="s">
        <v>554</v>
      </c>
      <c r="T33" t="s">
        <v>554</v>
      </c>
      <c r="AE33" t="s">
        <v>282</v>
      </c>
      <c r="AG33" t="s">
        <v>1532</v>
      </c>
      <c r="AH33" t="s">
        <v>1785</v>
      </c>
      <c r="AI33">
        <v>1</v>
      </c>
      <c r="AL33" t="s">
        <v>1437</v>
      </c>
      <c r="AM33" s="36" t="s">
        <v>1786</v>
      </c>
      <c r="AN33" t="s">
        <v>1437</v>
      </c>
    </row>
    <row r="34" spans="1:40" ht="114" x14ac:dyDescent="0.2">
      <c r="A34" t="s">
        <v>443</v>
      </c>
      <c r="B34" t="s">
        <v>245</v>
      </c>
      <c r="C34" t="s">
        <v>1437</v>
      </c>
      <c r="E34" t="s">
        <v>1514</v>
      </c>
      <c r="F34" s="36" t="s">
        <v>1886</v>
      </c>
      <c r="G34" t="s">
        <v>1440</v>
      </c>
      <c r="H34" s="36" t="s">
        <v>1529</v>
      </c>
      <c r="I34" t="s">
        <v>1530</v>
      </c>
      <c r="J34" t="s">
        <v>629</v>
      </c>
      <c r="M34" t="s">
        <v>1514</v>
      </c>
      <c r="O34" t="s">
        <v>1514</v>
      </c>
      <c r="Q34" t="s">
        <v>554</v>
      </c>
      <c r="T34" t="s">
        <v>554</v>
      </c>
      <c r="AE34" t="s">
        <v>292</v>
      </c>
      <c r="AG34" t="s">
        <v>1585</v>
      </c>
      <c r="AH34" t="s">
        <v>1887</v>
      </c>
      <c r="AI34">
        <v>1</v>
      </c>
      <c r="AL34" t="s">
        <v>1437</v>
      </c>
      <c r="AM34" t="s">
        <v>1534</v>
      </c>
    </row>
    <row r="35" spans="1:40" ht="57" x14ac:dyDescent="0.2">
      <c r="A35" t="s">
        <v>291</v>
      </c>
      <c r="B35" t="s">
        <v>247</v>
      </c>
      <c r="C35" t="s">
        <v>1437</v>
      </c>
      <c r="E35" t="s">
        <v>1514</v>
      </c>
      <c r="F35" t="s">
        <v>1558</v>
      </c>
      <c r="G35" t="s">
        <v>1440</v>
      </c>
      <c r="H35" s="36" t="s">
        <v>1559</v>
      </c>
      <c r="I35" t="s">
        <v>629</v>
      </c>
      <c r="J35" t="s">
        <v>629</v>
      </c>
      <c r="M35" t="s">
        <v>1514</v>
      </c>
      <c r="O35" t="s">
        <v>1514</v>
      </c>
      <c r="Q35" t="s">
        <v>554</v>
      </c>
      <c r="T35" t="s">
        <v>554</v>
      </c>
      <c r="AE35" t="s">
        <v>292</v>
      </c>
      <c r="AG35">
        <v>0</v>
      </c>
      <c r="AH35" t="s">
        <v>1560</v>
      </c>
      <c r="AI35">
        <v>1</v>
      </c>
      <c r="AL35" t="s">
        <v>1437</v>
      </c>
      <c r="AM35" t="s">
        <v>1534</v>
      </c>
    </row>
    <row r="36" spans="1:40" s="116" customFormat="1" ht="114" x14ac:dyDescent="0.2">
      <c r="A36" s="116" t="s">
        <v>455</v>
      </c>
      <c r="B36" s="116" t="s">
        <v>451</v>
      </c>
      <c r="C36" s="116" t="s">
        <v>1437</v>
      </c>
      <c r="E36" s="116" t="s">
        <v>1514</v>
      </c>
      <c r="F36" s="117" t="s">
        <v>1916</v>
      </c>
      <c r="G36" s="116" t="s">
        <v>1440</v>
      </c>
      <c r="H36" s="117" t="s">
        <v>1529</v>
      </c>
      <c r="I36" s="116" t="s">
        <v>1530</v>
      </c>
      <c r="J36" s="116" t="s">
        <v>629</v>
      </c>
      <c r="M36" s="116" t="s">
        <v>1514</v>
      </c>
      <c r="O36" s="116" t="s">
        <v>1514</v>
      </c>
      <c r="Q36" s="116" t="s">
        <v>554</v>
      </c>
      <c r="T36" s="116" t="s">
        <v>554</v>
      </c>
      <c r="AE36" s="116" t="s">
        <v>282</v>
      </c>
      <c r="AG36" s="116" t="s">
        <v>1532</v>
      </c>
      <c r="AH36" s="116" t="s">
        <v>1917</v>
      </c>
      <c r="AI36" s="116">
        <v>1</v>
      </c>
      <c r="AJ36" s="116">
        <v>1</v>
      </c>
      <c r="AL36" s="116" t="s">
        <v>1437</v>
      </c>
      <c r="AM36" s="116" t="s">
        <v>1534</v>
      </c>
    </row>
    <row r="37" spans="1:40" s="116" customFormat="1" ht="114" x14ac:dyDescent="0.2">
      <c r="A37" s="116" t="s">
        <v>454</v>
      </c>
      <c r="B37" s="116" t="s">
        <v>451</v>
      </c>
      <c r="C37" s="116" t="s">
        <v>1437</v>
      </c>
      <c r="E37" s="116" t="s">
        <v>1514</v>
      </c>
      <c r="F37" s="117" t="s">
        <v>1914</v>
      </c>
      <c r="G37" s="116" t="s">
        <v>1440</v>
      </c>
      <c r="H37" s="117" t="s">
        <v>1529</v>
      </c>
      <c r="I37" s="116" t="s">
        <v>1530</v>
      </c>
      <c r="J37" s="116" t="s">
        <v>629</v>
      </c>
      <c r="O37" s="116" t="s">
        <v>1514</v>
      </c>
      <c r="Q37" s="116" t="s">
        <v>554</v>
      </c>
      <c r="T37" s="116" t="s">
        <v>554</v>
      </c>
      <c r="AE37" s="116" t="s">
        <v>282</v>
      </c>
      <c r="AG37" s="116" t="s">
        <v>1532</v>
      </c>
      <c r="AH37" s="116" t="s">
        <v>1915</v>
      </c>
      <c r="AI37" s="116">
        <v>1</v>
      </c>
      <c r="AJ37" s="116">
        <v>1</v>
      </c>
      <c r="AL37" s="116" t="s">
        <v>1437</v>
      </c>
      <c r="AM37" s="116" t="s">
        <v>1534</v>
      </c>
    </row>
    <row r="38" spans="1:40" s="116" customFormat="1" ht="114" x14ac:dyDescent="0.2">
      <c r="A38" s="116" t="s">
        <v>453</v>
      </c>
      <c r="B38" s="116" t="s">
        <v>451</v>
      </c>
      <c r="C38" s="116" t="s">
        <v>1437</v>
      </c>
      <c r="E38" s="116" t="s">
        <v>1514</v>
      </c>
      <c r="F38" s="117" t="s">
        <v>1912</v>
      </c>
      <c r="G38" s="116" t="s">
        <v>1440</v>
      </c>
      <c r="H38" s="117" t="s">
        <v>1529</v>
      </c>
      <c r="I38" s="116" t="s">
        <v>1530</v>
      </c>
      <c r="J38" s="116" t="s">
        <v>629</v>
      </c>
      <c r="M38" s="116" t="s">
        <v>1514</v>
      </c>
      <c r="O38" s="116" t="s">
        <v>1514</v>
      </c>
      <c r="Q38" s="116" t="s">
        <v>554</v>
      </c>
      <c r="T38" s="116" t="s">
        <v>554</v>
      </c>
      <c r="AE38" s="116" t="s">
        <v>282</v>
      </c>
      <c r="AG38" s="116" t="s">
        <v>1532</v>
      </c>
      <c r="AH38" s="116" t="s">
        <v>1913</v>
      </c>
      <c r="AI38" s="116">
        <v>1</v>
      </c>
      <c r="AJ38" s="116">
        <v>1</v>
      </c>
      <c r="AL38" s="116" t="s">
        <v>1437</v>
      </c>
      <c r="AM38" s="116" t="s">
        <v>1534</v>
      </c>
    </row>
    <row r="39" spans="1:40" s="116" customFormat="1" ht="114" x14ac:dyDescent="0.2">
      <c r="A39" s="116" t="s">
        <v>452</v>
      </c>
      <c r="B39" s="116" t="s">
        <v>451</v>
      </c>
      <c r="C39" s="116" t="s">
        <v>1437</v>
      </c>
      <c r="E39" s="116" t="s">
        <v>1514</v>
      </c>
      <c r="F39" s="117" t="s">
        <v>1910</v>
      </c>
      <c r="G39" s="116" t="s">
        <v>1440</v>
      </c>
      <c r="H39" s="117" t="s">
        <v>1529</v>
      </c>
      <c r="I39" s="116" t="s">
        <v>1530</v>
      </c>
      <c r="J39" s="116" t="s">
        <v>629</v>
      </c>
      <c r="M39" s="116" t="s">
        <v>1514</v>
      </c>
      <c r="O39" s="116" t="s">
        <v>1514</v>
      </c>
      <c r="Q39" s="116" t="s">
        <v>554</v>
      </c>
      <c r="T39" s="116" t="s">
        <v>554</v>
      </c>
      <c r="AE39" s="116" t="s">
        <v>282</v>
      </c>
      <c r="AG39" s="116" t="s">
        <v>1532</v>
      </c>
      <c r="AH39" s="116" t="s">
        <v>1911</v>
      </c>
      <c r="AI39" s="116">
        <v>1</v>
      </c>
      <c r="AJ39" s="116">
        <v>1</v>
      </c>
      <c r="AL39" s="116" t="s">
        <v>1437</v>
      </c>
      <c r="AM39" s="116" t="s">
        <v>1534</v>
      </c>
    </row>
    <row r="40" spans="1:40" s="116" customFormat="1" ht="228" x14ac:dyDescent="0.2">
      <c r="A40" s="116" t="s">
        <v>177</v>
      </c>
      <c r="B40" s="116" t="s">
        <v>451</v>
      </c>
      <c r="C40" s="116" t="s">
        <v>1437</v>
      </c>
      <c r="E40" s="116" t="s">
        <v>1906</v>
      </c>
      <c r="F40" s="117" t="s">
        <v>1907</v>
      </c>
      <c r="G40" s="116" t="s">
        <v>1440</v>
      </c>
      <c r="H40" s="117" t="s">
        <v>1846</v>
      </c>
      <c r="I40" s="116" t="s">
        <v>1530</v>
      </c>
      <c r="J40" s="116" t="s">
        <v>629</v>
      </c>
      <c r="M40" s="116" t="s">
        <v>1908</v>
      </c>
      <c r="O40" s="116" t="s">
        <v>1531</v>
      </c>
      <c r="Q40" s="116" t="s">
        <v>554</v>
      </c>
      <c r="T40" s="116" t="s">
        <v>554</v>
      </c>
      <c r="AE40" s="116" t="s">
        <v>282</v>
      </c>
      <c r="AG40" s="116" t="s">
        <v>1532</v>
      </c>
      <c r="AH40" s="116" t="s">
        <v>1909</v>
      </c>
      <c r="AI40" s="116">
        <v>1</v>
      </c>
      <c r="AJ40" s="116">
        <v>1</v>
      </c>
      <c r="AL40" s="116" t="s">
        <v>1437</v>
      </c>
      <c r="AM40" s="116" t="s">
        <v>1534</v>
      </c>
    </row>
    <row r="41" spans="1:40" ht="228" x14ac:dyDescent="0.2">
      <c r="A41" t="s">
        <v>175</v>
      </c>
      <c r="B41" t="s">
        <v>245</v>
      </c>
      <c r="C41" t="s">
        <v>1437</v>
      </c>
      <c r="E41" t="s">
        <v>1882</v>
      </c>
      <c r="F41" s="36" t="s">
        <v>1883</v>
      </c>
      <c r="G41" t="s">
        <v>1440</v>
      </c>
      <c r="H41" s="36" t="s">
        <v>1846</v>
      </c>
      <c r="I41" t="s">
        <v>1530</v>
      </c>
      <c r="J41" t="s">
        <v>629</v>
      </c>
      <c r="M41" t="s">
        <v>1884</v>
      </c>
      <c r="O41" t="s">
        <v>1531</v>
      </c>
      <c r="Q41" t="s">
        <v>554</v>
      </c>
      <c r="T41" t="s">
        <v>554</v>
      </c>
      <c r="AE41" t="s">
        <v>282</v>
      </c>
      <c r="AG41" t="s">
        <v>1532</v>
      </c>
      <c r="AH41" t="s">
        <v>1885</v>
      </c>
      <c r="AI41">
        <v>1</v>
      </c>
      <c r="AJ41">
        <v>1</v>
      </c>
      <c r="AL41" t="s">
        <v>1437</v>
      </c>
      <c r="AM41" t="s">
        <v>1534</v>
      </c>
    </row>
    <row r="42" spans="1:40" ht="409.5" x14ac:dyDescent="0.2">
      <c r="A42" t="s">
        <v>246</v>
      </c>
      <c r="B42" t="s">
        <v>247</v>
      </c>
      <c r="C42" t="s">
        <v>1437</v>
      </c>
      <c r="E42" s="36" t="s">
        <v>1555</v>
      </c>
      <c r="F42" s="36" t="s">
        <v>1556</v>
      </c>
      <c r="G42" t="s">
        <v>1440</v>
      </c>
      <c r="H42" s="36" t="s">
        <v>1529</v>
      </c>
      <c r="I42" t="s">
        <v>1530</v>
      </c>
      <c r="J42" t="s">
        <v>629</v>
      </c>
      <c r="M42" t="s">
        <v>1557</v>
      </c>
      <c r="O42" t="s">
        <v>1445</v>
      </c>
      <c r="Q42" t="s">
        <v>554</v>
      </c>
      <c r="T42" t="s">
        <v>554</v>
      </c>
      <c r="AE42" t="s">
        <v>282</v>
      </c>
      <c r="AG42" t="s">
        <v>1532</v>
      </c>
      <c r="AH42" t="s">
        <v>2907</v>
      </c>
      <c r="AJ42">
        <v>1</v>
      </c>
      <c r="AL42" t="s">
        <v>1437</v>
      </c>
      <c r="AM42" t="s">
        <v>1534</v>
      </c>
    </row>
    <row r="43" spans="1:40" ht="409.5" x14ac:dyDescent="0.2">
      <c r="A43" t="s">
        <v>123</v>
      </c>
      <c r="B43" t="s">
        <v>450</v>
      </c>
      <c r="C43" t="s">
        <v>1437</v>
      </c>
      <c r="E43" s="36" t="s">
        <v>1901</v>
      </c>
      <c r="F43" s="36" t="s">
        <v>1902</v>
      </c>
      <c r="G43" t="s">
        <v>1440</v>
      </c>
      <c r="H43" s="36" t="s">
        <v>1903</v>
      </c>
      <c r="I43" t="s">
        <v>629</v>
      </c>
      <c r="J43" t="s">
        <v>687</v>
      </c>
      <c r="M43" s="36" t="s">
        <v>871</v>
      </c>
      <c r="O43" t="s">
        <v>1445</v>
      </c>
      <c r="Q43" t="s">
        <v>549</v>
      </c>
      <c r="R43" t="s">
        <v>549</v>
      </c>
      <c r="AE43">
        <v>3</v>
      </c>
      <c r="AG43" t="s">
        <v>1447</v>
      </c>
      <c r="AL43" t="s">
        <v>1437</v>
      </c>
      <c r="AM43" t="s">
        <v>1905</v>
      </c>
    </row>
    <row r="44" spans="1:40" s="116" customFormat="1" ht="409.5" x14ac:dyDescent="0.2">
      <c r="A44" s="116" t="s">
        <v>105</v>
      </c>
      <c r="B44" s="116" t="s">
        <v>314</v>
      </c>
      <c r="C44" s="116" t="s">
        <v>1437</v>
      </c>
      <c r="E44" s="117" t="s">
        <v>2908</v>
      </c>
      <c r="F44" s="117" t="s">
        <v>1619</v>
      </c>
      <c r="G44" s="116">
        <v>4</v>
      </c>
      <c r="H44" s="117" t="s">
        <v>1620</v>
      </c>
      <c r="I44" s="116" t="s">
        <v>629</v>
      </c>
      <c r="J44" s="116" t="s">
        <v>660</v>
      </c>
      <c r="M44" s="117" t="s">
        <v>2909</v>
      </c>
      <c r="N44" s="116" t="s">
        <v>1622</v>
      </c>
      <c r="O44" s="116" t="s">
        <v>1445</v>
      </c>
      <c r="Q44" s="116" t="s">
        <v>554</v>
      </c>
      <c r="T44" s="116" t="s">
        <v>554</v>
      </c>
      <c r="AE44" s="116" t="s">
        <v>282</v>
      </c>
      <c r="AF44" s="116" t="s">
        <v>1446</v>
      </c>
      <c r="AG44" s="116" t="s">
        <v>1532</v>
      </c>
      <c r="AH44" s="116" t="s">
        <v>1623</v>
      </c>
      <c r="AI44" s="116">
        <v>1</v>
      </c>
      <c r="AL44" s="116" t="s">
        <v>1437</v>
      </c>
      <c r="AM44" s="117" t="s">
        <v>2910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092076992353FD4EB6C705398B2F4837" ma:contentTypeVersion="13" ma:contentTypeDescription="Create a new document." ma:contentTypeScope="" ma:versionID="153deceafeaca2ce7a606cb2f8654c17">
  <xsd:schema xmlns:xsd="http://www.w3.org/2001/XMLSchema" xmlns:xs="http://www.w3.org/2001/XMLSchema" xmlns:p="http://schemas.microsoft.com/office/2006/metadata/properties" xmlns:ns2="23e4ba26-c26c-405a-b359-c2cadfe42449" xmlns:ns3="dc510f82-a634-43cd-841f-d17c3d50b6ba" targetNamespace="http://schemas.microsoft.com/office/2006/metadata/properties" ma:root="true" ma:fieldsID="edaccee8a4065971f1c4a320ce9f8ec3" ns2:_="" ns3:_="">
    <xsd:import namespace="23e4ba26-c26c-405a-b359-c2cadfe42449"/>
    <xsd:import namespace="dc510f82-a634-43cd-841f-d17c3d50b6b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AutoKeyPoints" minOccurs="0"/>
                <xsd:element ref="ns2:MediaServiceKeyPoints" minOccurs="0"/>
                <xsd:element ref="ns2:MediaServiceDateTaken"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3e4ba26-c26c-405a-b359-c2cadfe4244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c510f82-a634-43cd-841f-d17c3d50b6ba"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814A21-EA11-4551-8869-FDF28E33551E}">
  <ds:schemaRefs>
    <ds:schemaRef ds:uri="http://schemas.microsoft.com/sharepoint/v3/contenttype/forms"/>
  </ds:schemaRefs>
</ds:datastoreItem>
</file>

<file path=customXml/itemProps2.xml><?xml version="1.0" encoding="utf-8"?>
<ds:datastoreItem xmlns:ds="http://schemas.openxmlformats.org/officeDocument/2006/customXml" ds:itemID="{16F63DDD-1983-4709-93C4-DC66E9AD34D4}">
  <ds:schemaRefs>
    <ds:schemaRef ds:uri="http://schemas.microsoft.com/DataMashup"/>
  </ds:schemaRefs>
</ds:datastoreItem>
</file>

<file path=customXml/itemProps3.xml><?xml version="1.0" encoding="utf-8"?>
<ds:datastoreItem xmlns:ds="http://schemas.openxmlformats.org/officeDocument/2006/customXml" ds:itemID="{137C964F-78E5-48A4-803B-40F9C3A8B075}">
  <ds:schemaRefs>
    <ds:schemaRef ds:uri="http://www.w3.org/2001/XMLSchema"/>
  </ds:schemaRefs>
</ds:datastoreItem>
</file>

<file path=customXml/itemProps4.xml><?xml version="1.0" encoding="utf-8"?>
<ds:datastoreItem xmlns:ds="http://schemas.openxmlformats.org/officeDocument/2006/customXml" ds:itemID="{B9B53E4B-5CE7-4B20-8E3B-5D53D5790AD1}">
  <ds:schemaRefs>
    <ds:schemaRef ds:uri="http://schemas.microsoft.com/office/2006/documentManagement/types"/>
    <ds:schemaRef ds:uri="http://schemas.microsoft.com/office/2006/metadata/properties"/>
    <ds:schemaRef ds:uri="http://schemas.openxmlformats.org/package/2006/metadata/core-properties"/>
    <ds:schemaRef ds:uri="dc510f82-a634-43cd-841f-d17c3d50b6ba"/>
    <ds:schemaRef ds:uri="23e4ba26-c26c-405a-b359-c2cadfe42449"/>
    <ds:schemaRef ds:uri="http://purl.org/dc/terms/"/>
    <ds:schemaRef ds:uri="http://purl.org/dc/elements/1.1/"/>
    <ds:schemaRef ds:uri="http://purl.org/dc/dcmitype/"/>
    <ds:schemaRef ds:uri="http://schemas.microsoft.com/office/infopath/2007/PartnerControls"/>
    <ds:schemaRef ds:uri="http://www.w3.org/XML/1998/namespace"/>
  </ds:schemaRefs>
</ds:datastoreItem>
</file>

<file path=customXml/itemProps5.xml><?xml version="1.0" encoding="utf-8"?>
<ds:datastoreItem xmlns:ds="http://schemas.openxmlformats.org/officeDocument/2006/customXml" ds:itemID="{E33425F6-CC4F-45D6-A17A-D6A0288B8D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3e4ba26-c26c-405a-b359-c2cadfe42449"/>
    <ds:schemaRef ds:uri="dc510f82-a634-43cd-841f-d17c3d50b6b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5</vt:i4>
      </vt:variant>
    </vt:vector>
  </HeadingPairs>
  <TitlesOfParts>
    <vt:vector size="29" baseType="lpstr">
      <vt:lpstr>Intro</vt:lpstr>
      <vt:lpstr>column_rules</vt:lpstr>
      <vt:lpstr>Column_rules_v2</vt:lpstr>
      <vt:lpstr>column_reliance</vt:lpstr>
      <vt:lpstr>PCI_registry_lookup</vt:lpstr>
      <vt:lpstr>sources</vt:lpstr>
      <vt:lpstr>source_summary</vt:lpstr>
      <vt:lpstr>change_log</vt:lpstr>
      <vt:lpstr>upload_notes</vt:lpstr>
      <vt:lpstr>Cardiobase PCI Indications</vt:lpstr>
      <vt:lpstr>indicator_elements</vt:lpstr>
      <vt:lpstr>data_elements</vt:lpstr>
      <vt:lpstr>NCR Indicators</vt:lpstr>
      <vt:lpstr>elements_for_indicators</vt:lpstr>
      <vt:lpstr>NCR Business Rules Impact</vt:lpstr>
      <vt:lpstr>NCR Col notes</vt:lpstr>
      <vt:lpstr>ncr_merged</vt:lpstr>
      <vt:lpstr>tranche_summary</vt:lpstr>
      <vt:lpstr>Tranche 2</vt:lpstr>
      <vt:lpstr>data_elements_bkp</vt:lpstr>
      <vt:lpstr>Disease Register Views</vt:lpstr>
      <vt:lpstr>cardiobase_field_list</vt:lpstr>
      <vt:lpstr>Sheet2</vt:lpstr>
      <vt:lpstr>Sheet3</vt:lpstr>
      <vt:lpstr>data_elements!Print_Area</vt:lpstr>
      <vt:lpstr>data_elements_bkp!Print_Area</vt:lpstr>
      <vt:lpstr>data_elements!Print_Titles</vt:lpstr>
      <vt:lpstr>data_elements_bkp!Print_Titles</vt:lpstr>
      <vt:lpstr>wacor_data_elements</vt:lpstr>
    </vt:vector>
  </TitlesOfParts>
  <Manager>Richard.Gillett@health.wa.gov.au</Manager>
  <Company>West Australia Department of Health</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PCI Data Dictionary</dc:title>
  <dc:subject>WACOR Data Dictionary</dc:subject>
  <dc:creator>Weber, Ben</dc:creator>
  <cp:keywords>PCI</cp:keywords>
  <dc:description/>
  <cp:lastModifiedBy>Gillett, Richard</cp:lastModifiedBy>
  <cp:revision/>
  <dcterms:created xsi:type="dcterms:W3CDTF">2021-07-27T05:14:54Z</dcterms:created>
  <dcterms:modified xsi:type="dcterms:W3CDTF">2026-01-11T10:56:50Z</dcterms:modified>
  <cp:category>Clinical Quality Registry</cp:category>
  <cp:contentStatus>Draft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0x010100092076992353FD4EB6C705398B2F4837</vt:lpwstr>
  </property>
</Properties>
</file>